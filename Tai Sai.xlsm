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20490" windowHeight="8910"/>
  </bookViews>
  <sheets>
    <sheet name="Main" sheetId="1" r:id="rId1"/>
    <sheet name="Database" sheetId="2" state="hidden" r:id="rId2"/>
  </sheets>
  <definedNames>
    <definedName name="Dice11a">Database!$N$16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7" i="2" l="1"/>
  <c r="A69" i="2"/>
  <c r="A77" i="2"/>
  <c r="A79" i="2"/>
  <c r="A87" i="2"/>
  <c r="A89" i="2"/>
  <c r="A93" i="2"/>
  <c r="A95" i="2"/>
  <c r="A97" i="2"/>
  <c r="A99" i="2"/>
  <c r="A107" i="2"/>
  <c r="A109" i="2"/>
  <c r="A61" i="2"/>
  <c r="F91" i="2"/>
  <c r="F92" i="2"/>
  <c r="F93" i="2"/>
  <c r="F94" i="2"/>
  <c r="F95" i="2"/>
  <c r="J96" i="2"/>
  <c r="J97" i="2"/>
  <c r="J98" i="2"/>
  <c r="J99" i="2"/>
  <c r="J100" i="2"/>
  <c r="F96" i="2"/>
  <c r="F97" i="2"/>
  <c r="F98" i="2"/>
  <c r="F99" i="2"/>
  <c r="F100" i="2"/>
  <c r="J101" i="2"/>
  <c r="J102" i="2"/>
  <c r="J103" i="2"/>
  <c r="A103" i="2" s="1"/>
  <c r="J104" i="2"/>
  <c r="J105" i="2"/>
  <c r="F101" i="2"/>
  <c r="F102" i="2"/>
  <c r="F103" i="2"/>
  <c r="F104" i="2"/>
  <c r="F105" i="2"/>
  <c r="J106" i="2"/>
  <c r="J107" i="2"/>
  <c r="J108" i="2"/>
  <c r="J109" i="2"/>
  <c r="J110" i="2"/>
  <c r="F106" i="2"/>
  <c r="F107" i="2"/>
  <c r="F108" i="2"/>
  <c r="F109" i="2"/>
  <c r="F110" i="2"/>
  <c r="J92" i="2"/>
  <c r="J93" i="2"/>
  <c r="J94" i="2"/>
  <c r="J95" i="2"/>
  <c r="J91" i="2"/>
  <c r="A91" i="2" s="1"/>
  <c r="F86" i="2"/>
  <c r="F87" i="2"/>
  <c r="F88" i="2"/>
  <c r="F89" i="2"/>
  <c r="F90" i="2"/>
  <c r="F61" i="2"/>
  <c r="F62" i="2"/>
  <c r="F63" i="2"/>
  <c r="F64" i="2"/>
  <c r="F65" i="2"/>
  <c r="J66" i="2"/>
  <c r="J67" i="2"/>
  <c r="J68" i="2"/>
  <c r="J69" i="2"/>
  <c r="J70" i="2"/>
  <c r="F66" i="2"/>
  <c r="F67" i="2"/>
  <c r="F68" i="2"/>
  <c r="F69" i="2"/>
  <c r="F70" i="2"/>
  <c r="J71" i="2"/>
  <c r="A71" i="2" s="1"/>
  <c r="J72" i="2"/>
  <c r="A72" i="2" s="1"/>
  <c r="J73" i="2"/>
  <c r="J74" i="2"/>
  <c r="A74" i="2" s="1"/>
  <c r="J75" i="2"/>
  <c r="A75" i="2" s="1"/>
  <c r="F71" i="2"/>
  <c r="F72" i="2"/>
  <c r="F73" i="2"/>
  <c r="F74" i="2"/>
  <c r="F75" i="2"/>
  <c r="J76" i="2"/>
  <c r="J77" i="2"/>
  <c r="J78" i="2"/>
  <c r="J79" i="2"/>
  <c r="J80" i="2"/>
  <c r="F76" i="2"/>
  <c r="F77" i="2"/>
  <c r="F78" i="2"/>
  <c r="F79" i="2"/>
  <c r="F80" i="2"/>
  <c r="J81" i="2"/>
  <c r="A81" i="2" s="1"/>
  <c r="J82" i="2"/>
  <c r="A82" i="2" s="1"/>
  <c r="J83" i="2"/>
  <c r="A83" i="2" s="1"/>
  <c r="J84" i="2"/>
  <c r="A84" i="2" s="1"/>
  <c r="J85" i="2"/>
  <c r="A85" i="2" s="1"/>
  <c r="F81" i="2"/>
  <c r="F82" i="2"/>
  <c r="F83" i="2"/>
  <c r="F84" i="2"/>
  <c r="F85" i="2"/>
  <c r="J86" i="2"/>
  <c r="J87" i="2"/>
  <c r="J88" i="2"/>
  <c r="J89" i="2"/>
  <c r="J90" i="2"/>
  <c r="J62" i="2"/>
  <c r="A62" i="2" s="1"/>
  <c r="J63" i="2"/>
  <c r="A63" i="2" s="1"/>
  <c r="J64" i="2"/>
  <c r="A64" i="2" s="1"/>
  <c r="J65" i="2"/>
  <c r="J61" i="2"/>
  <c r="A90" i="2" l="1"/>
  <c r="A88" i="2"/>
  <c r="A80" i="2"/>
  <c r="A68" i="2"/>
  <c r="A105" i="2"/>
  <c r="A101" i="2"/>
  <c r="A73" i="2"/>
  <c r="A65" i="2"/>
  <c r="A86" i="2"/>
  <c r="A78" i="2"/>
  <c r="A76" i="2"/>
  <c r="A70" i="2"/>
  <c r="A66" i="2"/>
  <c r="A94" i="2"/>
  <c r="A92" i="2"/>
  <c r="A110" i="2"/>
  <c r="A108" i="2"/>
  <c r="A106" i="2"/>
  <c r="A100" i="2"/>
  <c r="A98" i="2"/>
  <c r="A96" i="2"/>
  <c r="A104" i="2"/>
  <c r="A102" i="2"/>
  <c r="F60" i="2"/>
  <c r="F59" i="2"/>
  <c r="F58" i="2"/>
  <c r="F57" i="2"/>
  <c r="F56" i="2"/>
  <c r="F55" i="2"/>
  <c r="F54" i="2"/>
  <c r="F53" i="2"/>
  <c r="F52" i="2"/>
  <c r="F51" i="2"/>
  <c r="F49" i="2"/>
  <c r="F50" i="2"/>
  <c r="F45" i="2"/>
  <c r="F46" i="2"/>
  <c r="F47" i="2"/>
  <c r="F48" i="2"/>
  <c r="F41" i="2"/>
  <c r="F42" i="2"/>
  <c r="F43" i="2"/>
  <c r="F44" i="2"/>
  <c r="F37" i="2"/>
  <c r="F38" i="2"/>
  <c r="F39" i="2"/>
  <c r="F40" i="2"/>
  <c r="F36" i="2"/>
  <c r="F35" i="2"/>
  <c r="F32" i="2"/>
  <c r="F33" i="2"/>
  <c r="F34" i="2"/>
  <c r="F29" i="2"/>
  <c r="F30" i="2"/>
  <c r="F31" i="2"/>
  <c r="F26" i="2"/>
  <c r="F27" i="2"/>
  <c r="F28" i="2"/>
  <c r="F23" i="2"/>
  <c r="F24" i="2"/>
  <c r="F25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C1" i="2"/>
  <c r="B1" i="2"/>
  <c r="A1" i="2"/>
  <c r="F3" i="2" l="1"/>
  <c r="R9" i="1" s="1"/>
  <c r="G73" i="2"/>
  <c r="I73" i="2" s="1"/>
  <c r="G62" i="2"/>
  <c r="I62" i="2" s="1"/>
  <c r="G72" i="2"/>
  <c r="I72" i="2" s="1"/>
  <c r="G82" i="2"/>
  <c r="I82" i="2" s="1"/>
  <c r="G66" i="2"/>
  <c r="I66" i="2" s="1"/>
  <c r="G70" i="2"/>
  <c r="I70" i="2" s="1"/>
  <c r="G76" i="2"/>
  <c r="I76" i="2" s="1"/>
  <c r="G78" i="2"/>
  <c r="I78" i="2" s="1"/>
  <c r="G86" i="2"/>
  <c r="I86" i="2" s="1"/>
  <c r="G103" i="2"/>
  <c r="I103" i="2" s="1"/>
  <c r="G102" i="2"/>
  <c r="I102" i="2" s="1"/>
  <c r="G63" i="2"/>
  <c r="I63" i="2" s="1"/>
  <c r="G75" i="2"/>
  <c r="I75" i="2" s="1"/>
  <c r="G81" i="2"/>
  <c r="I81" i="2" s="1"/>
  <c r="G68" i="2"/>
  <c r="I68" i="2" s="1"/>
  <c r="G80" i="2"/>
  <c r="I80" i="2" s="1"/>
  <c r="G88" i="2"/>
  <c r="I88" i="2" s="1"/>
  <c r="G90" i="2"/>
  <c r="I90" i="2" s="1"/>
  <c r="G101" i="2"/>
  <c r="I101" i="2" s="1"/>
  <c r="G93" i="2"/>
  <c r="I93" i="2" s="1"/>
  <c r="G97" i="2"/>
  <c r="I97" i="2" s="1"/>
  <c r="G109" i="2"/>
  <c r="I109" i="2" s="1"/>
  <c r="G69" i="2"/>
  <c r="I69" i="2" s="1"/>
  <c r="G77" i="2"/>
  <c r="I77" i="2" s="1"/>
  <c r="G95" i="2"/>
  <c r="I95" i="2" s="1"/>
  <c r="G99" i="2"/>
  <c r="I99" i="2" s="1"/>
  <c r="G107" i="2"/>
  <c r="I107" i="2" s="1"/>
  <c r="G67" i="2"/>
  <c r="I67" i="2" s="1"/>
  <c r="G79" i="2"/>
  <c r="I79" i="2" s="1"/>
  <c r="G87" i="2"/>
  <c r="I87" i="2" s="1"/>
  <c r="G61" i="2"/>
  <c r="I61" i="2" s="1"/>
  <c r="G89" i="2"/>
  <c r="I89" i="2" s="1"/>
  <c r="G64" i="2"/>
  <c r="I64" i="2" s="1"/>
  <c r="G74" i="2"/>
  <c r="I74" i="2" s="1"/>
  <c r="G84" i="2"/>
  <c r="I84" i="2" s="1"/>
  <c r="G96" i="2"/>
  <c r="I96" i="2" s="1"/>
  <c r="G98" i="2"/>
  <c r="I98" i="2" s="1"/>
  <c r="G100" i="2"/>
  <c r="I100" i="2" s="1"/>
  <c r="G106" i="2"/>
  <c r="I106" i="2" s="1"/>
  <c r="G108" i="2"/>
  <c r="I108" i="2" s="1"/>
  <c r="G110" i="2"/>
  <c r="I110" i="2" s="1"/>
  <c r="G92" i="2"/>
  <c r="I92" i="2" s="1"/>
  <c r="G94" i="2"/>
  <c r="I94" i="2" s="1"/>
  <c r="G91" i="2"/>
  <c r="I91" i="2" s="1"/>
  <c r="G104" i="2"/>
  <c r="I104" i="2" s="1"/>
  <c r="G71" i="2"/>
  <c r="I71" i="2" s="1"/>
  <c r="G83" i="2"/>
  <c r="I83" i="2" s="1"/>
  <c r="G85" i="2"/>
  <c r="I85" i="2" s="1"/>
  <c r="G105" i="2"/>
  <c r="I105" i="2" s="1"/>
  <c r="G65" i="2"/>
  <c r="I65" i="2" s="1"/>
  <c r="W3" i="1"/>
  <c r="G18" i="2" s="1"/>
  <c r="I18" i="2" s="1"/>
  <c r="V3" i="1"/>
  <c r="G17" i="2" s="1"/>
  <c r="I17" i="2" s="1"/>
  <c r="U3" i="1"/>
  <c r="G16" i="2" s="1"/>
  <c r="I16" i="2" s="1"/>
  <c r="T3" i="1"/>
  <c r="G15" i="2" s="1"/>
  <c r="I15" i="2" s="1"/>
  <c r="S3" i="1"/>
  <c r="G14" i="2" s="1"/>
  <c r="I14" i="2" s="1"/>
  <c r="R3" i="1"/>
  <c r="G13" i="2" s="1"/>
  <c r="I13" i="2" s="1"/>
  <c r="M4" i="1"/>
  <c r="G60" i="2" s="1"/>
  <c r="I60" i="2" s="1"/>
  <c r="L4" i="1"/>
  <c r="G59" i="2" s="1"/>
  <c r="I59" i="2" s="1"/>
  <c r="K4" i="1"/>
  <c r="G58" i="2" s="1"/>
  <c r="I58" i="2" s="1"/>
  <c r="J4" i="1"/>
  <c r="G57" i="2" s="1"/>
  <c r="I57" i="2" s="1"/>
  <c r="I4" i="1"/>
  <c r="G56" i="2" s="1"/>
  <c r="I56" i="2" s="1"/>
  <c r="H4" i="1"/>
  <c r="G55" i="2" s="1"/>
  <c r="I55" i="2" s="1"/>
  <c r="F4" i="1"/>
  <c r="G54" i="2" s="1"/>
  <c r="I54" i="2" s="1"/>
  <c r="E4" i="1"/>
  <c r="G53" i="2" s="1"/>
  <c r="I53" i="2" s="1"/>
  <c r="D4" i="1"/>
  <c r="G52" i="2" s="1"/>
  <c r="I52" i="2" s="1"/>
  <c r="C4" i="1"/>
  <c r="G51" i="2" s="1"/>
  <c r="I51" i="2" s="1"/>
  <c r="D3" i="1"/>
  <c r="G37" i="2" s="1"/>
  <c r="I37" i="2" s="1"/>
  <c r="E3" i="1"/>
  <c r="G38" i="2" s="1"/>
  <c r="I38" i="2" s="1"/>
  <c r="F3" i="1"/>
  <c r="G39" i="2" s="1"/>
  <c r="I39" i="2" s="1"/>
  <c r="G3" i="1"/>
  <c r="G40" i="2" s="1"/>
  <c r="I40" i="2" s="1"/>
  <c r="H3" i="1"/>
  <c r="G41" i="2" s="1"/>
  <c r="I41" i="2" s="1"/>
  <c r="I3" i="1"/>
  <c r="G42" i="2" s="1"/>
  <c r="I42" i="2" s="1"/>
  <c r="J3" i="1"/>
  <c r="G43" i="2" s="1"/>
  <c r="I43" i="2" s="1"/>
  <c r="K3" i="1"/>
  <c r="G44" i="2" s="1"/>
  <c r="I44" i="2" s="1"/>
  <c r="L3" i="1"/>
  <c r="G45" i="2" s="1"/>
  <c r="I45" i="2" s="1"/>
  <c r="M3" i="1"/>
  <c r="G46" i="2" s="1"/>
  <c r="I46" i="2" s="1"/>
  <c r="N3" i="1"/>
  <c r="G47" i="2" s="1"/>
  <c r="I47" i="2" s="1"/>
  <c r="O3" i="1"/>
  <c r="G48" i="2" s="1"/>
  <c r="I48" i="2" s="1"/>
  <c r="P3" i="1"/>
  <c r="G49" i="2" s="1"/>
  <c r="I49" i="2" s="1"/>
  <c r="Q3" i="1"/>
  <c r="G50" i="2" s="1"/>
  <c r="I50" i="2" s="1"/>
  <c r="C3" i="1"/>
  <c r="G36" i="2" s="1"/>
  <c r="I36" i="2" s="1"/>
  <c r="K1" i="1"/>
  <c r="G12" i="2" s="1"/>
  <c r="I12" i="2" s="1"/>
  <c r="J1" i="1"/>
  <c r="G11" i="2" s="1"/>
  <c r="I11" i="2" s="1"/>
  <c r="I1" i="1"/>
  <c r="G10" i="2" s="1"/>
  <c r="I10" i="2" s="1"/>
  <c r="H1" i="1"/>
  <c r="G9" i="2" s="1"/>
  <c r="I9" i="2" s="1"/>
  <c r="G1" i="1"/>
  <c r="G8" i="2" s="1"/>
  <c r="I8" i="2" s="1"/>
  <c r="F1" i="1"/>
  <c r="Q1" i="1"/>
  <c r="B1" i="1"/>
  <c r="U1" i="1" l="1"/>
  <c r="G21" i="2" s="1"/>
  <c r="I21" i="2" s="1"/>
  <c r="G7" i="2"/>
  <c r="I7" i="2" s="1"/>
  <c r="D2" i="1"/>
  <c r="G23" i="2" s="1"/>
  <c r="I23" i="2" s="1"/>
  <c r="F1" i="2"/>
  <c r="M1" i="1"/>
  <c r="G6" i="2" s="1"/>
  <c r="I6" i="2" s="1"/>
  <c r="C2" i="1"/>
  <c r="G22" i="2" s="1"/>
  <c r="I22" i="2" s="1"/>
  <c r="O2" i="1"/>
  <c r="G34" i="2" s="1"/>
  <c r="I34" i="2" s="1"/>
  <c r="M2" i="1"/>
  <c r="G32" i="2" s="1"/>
  <c r="I32" i="2" s="1"/>
  <c r="K2" i="1"/>
  <c r="G30" i="2" s="1"/>
  <c r="I30" i="2" s="1"/>
  <c r="I2" i="1"/>
  <c r="G28" i="2" s="1"/>
  <c r="I28" i="2" s="1"/>
  <c r="G2" i="1"/>
  <c r="G26" i="2" s="1"/>
  <c r="I26" i="2" s="1"/>
  <c r="E2" i="1"/>
  <c r="G24" i="2" s="1"/>
  <c r="I24" i="2" s="1"/>
  <c r="D1" i="1"/>
  <c r="G5" i="2" s="1"/>
  <c r="I5" i="2" s="1"/>
  <c r="O1" i="1"/>
  <c r="G19" i="2" s="1"/>
  <c r="I19" i="2" s="1"/>
  <c r="S1" i="1"/>
  <c r="G20" i="2" s="1"/>
  <c r="I20" i="2" s="1"/>
  <c r="P2" i="1"/>
  <c r="G35" i="2" s="1"/>
  <c r="I35" i="2" s="1"/>
  <c r="N2" i="1"/>
  <c r="G33" i="2" s="1"/>
  <c r="I33" i="2" s="1"/>
  <c r="L2" i="1"/>
  <c r="G31" i="2" s="1"/>
  <c r="I31" i="2" s="1"/>
  <c r="J2" i="1"/>
  <c r="G29" i="2" s="1"/>
  <c r="I29" i="2" s="1"/>
  <c r="H2" i="1"/>
  <c r="G27" i="2" s="1"/>
  <c r="I27" i="2" s="1"/>
  <c r="F2" i="1"/>
  <c r="G25" i="2" s="1"/>
  <c r="I25" i="2" s="1"/>
  <c r="I3" i="2" l="1"/>
</calcChain>
</file>

<file path=xl/sharedStrings.xml><?xml version="1.0" encoding="utf-8"?>
<sst xmlns="http://schemas.openxmlformats.org/spreadsheetml/2006/main" count="235" uniqueCount="164">
  <si>
    <t>x30</t>
  </si>
  <si>
    <t>x18</t>
  </si>
  <si>
    <t>x13</t>
  </si>
  <si>
    <t>x8</t>
  </si>
  <si>
    <t>x6</t>
  </si>
  <si>
    <t>x50</t>
  </si>
  <si>
    <t>1 WINS 8</t>
  </si>
  <si>
    <t>1 1</t>
  </si>
  <si>
    <t>3 3</t>
  </si>
  <si>
    <t>2 2</t>
  </si>
  <si>
    <t>6 6</t>
  </si>
  <si>
    <t>5 5</t>
  </si>
  <si>
    <t>4 4</t>
  </si>
  <si>
    <t>1           1 1</t>
  </si>
  <si>
    <t>2         2 2</t>
  </si>
  <si>
    <t>3       3 3</t>
  </si>
  <si>
    <t>4       4 4</t>
  </si>
  <si>
    <t>5       5 5</t>
  </si>
  <si>
    <t>6       6 6</t>
  </si>
  <si>
    <t>1 WINS 150</t>
  </si>
  <si>
    <t>1 WINS 1</t>
  </si>
  <si>
    <t>ODD
單</t>
  </si>
  <si>
    <t>EVEN
雙</t>
  </si>
  <si>
    <t>Odd</t>
  </si>
  <si>
    <t>1W150</t>
  </si>
  <si>
    <t>EVEN</t>
  </si>
  <si>
    <t>ODD</t>
  </si>
  <si>
    <t>SMALL</t>
  </si>
  <si>
    <t>1W24</t>
  </si>
  <si>
    <t>BIG</t>
  </si>
  <si>
    <t>Sum</t>
  </si>
  <si>
    <t>Pair</t>
  </si>
  <si>
    <t>Group</t>
  </si>
  <si>
    <t>Single</t>
  </si>
  <si>
    <t>Credit</t>
  </si>
  <si>
    <r>
      <t xml:space="preserve">BIG
</t>
    </r>
    <r>
      <rPr>
        <sz val="20"/>
        <color theme="0"/>
        <rFont val="Calibri"/>
        <family val="2"/>
        <scheme val="minor"/>
      </rPr>
      <t>大</t>
    </r>
    <r>
      <rPr>
        <sz val="11"/>
        <color theme="0"/>
        <rFont val="Calibri"/>
        <family val="2"/>
        <scheme val="minor"/>
      </rPr>
      <t xml:space="preserve">
</t>
    </r>
    <r>
      <rPr>
        <sz val="8"/>
        <color theme="0"/>
        <rFont val="Calibri"/>
        <family val="2"/>
        <scheme val="minor"/>
      </rPr>
      <t>11-17
ONE WINS ONE</t>
    </r>
  </si>
  <si>
    <r>
      <t xml:space="preserve">SMALL
</t>
    </r>
    <r>
      <rPr>
        <sz val="20"/>
        <color theme="0"/>
        <rFont val="Calibri"/>
        <family val="2"/>
        <scheme val="minor"/>
      </rPr>
      <t>小</t>
    </r>
    <r>
      <rPr>
        <sz val="11"/>
        <color theme="0"/>
        <rFont val="Calibri"/>
        <family val="2"/>
        <scheme val="minor"/>
      </rPr>
      <t xml:space="preserve">
</t>
    </r>
    <r>
      <rPr>
        <sz val="8"/>
        <color theme="0"/>
        <rFont val="Calibri"/>
        <family val="2"/>
        <scheme val="minor"/>
      </rPr>
      <t>4 - 10
ONE WINS ONE</t>
    </r>
  </si>
  <si>
    <r>
      <rPr>
        <b/>
        <sz val="11"/>
        <color rgb="FFFF0000"/>
        <rFont val="Calibri"/>
        <family val="2"/>
        <scheme val="minor"/>
      </rPr>
      <t xml:space="preserve">1 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theme="0"/>
        <rFont val="Calibri"/>
        <family val="2"/>
        <scheme val="minor"/>
      </rPr>
      <t>WINS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rgb="FFFF0000"/>
        <rFont val="Calibri"/>
        <family val="2"/>
        <scheme val="minor"/>
      </rPr>
      <t xml:space="preserve"> 7</t>
    </r>
  </si>
  <si>
    <r>
      <t xml:space="preserve"> </t>
    </r>
    <r>
      <rPr>
        <b/>
        <sz val="11"/>
        <color rgb="FFFF0000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WINS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24</t>
    </r>
  </si>
  <si>
    <r>
      <rPr>
        <b/>
        <sz val="11"/>
        <color rgb="FFFF0000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 xml:space="preserve">WINS </t>
    </r>
    <r>
      <rPr>
        <b/>
        <sz val="11"/>
        <color rgb="FFFF0000"/>
        <rFont val="Calibri"/>
        <family val="2"/>
        <scheme val="minor"/>
      </rPr>
      <t>7</t>
    </r>
  </si>
  <si>
    <r>
      <rPr>
        <b/>
        <sz val="11"/>
        <color rgb="FFFF0000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WINS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7</t>
    </r>
  </si>
  <si>
    <t>Total Bet</t>
  </si>
  <si>
    <t xml:space="preserve">TAI SAI Programmed by Remy Lim 2017 </t>
  </si>
  <si>
    <r>
      <rPr>
        <b/>
        <sz val="11"/>
        <color rgb="FFFF0000"/>
        <rFont val="Calibri"/>
        <family val="2"/>
        <scheme val="minor"/>
      </rPr>
      <t>1</t>
    </r>
    <r>
      <rPr>
        <b/>
        <sz val="11"/>
        <color theme="0"/>
        <rFont val="Calibri"/>
        <family val="2"/>
        <scheme val="minor"/>
      </rPr>
      <t xml:space="preserve">
W
I
N
S
</t>
    </r>
    <r>
      <rPr>
        <b/>
        <sz val="11"/>
        <color rgb="FFFF0000"/>
        <rFont val="Calibri"/>
        <family val="2"/>
        <scheme val="minor"/>
      </rPr>
      <t>50</t>
    </r>
    <r>
      <rPr>
        <b/>
        <sz val="11"/>
        <color theme="0"/>
        <rFont val="Calibri"/>
        <family val="2"/>
        <scheme val="minor"/>
      </rPr>
      <t xml:space="preserve">
</t>
    </r>
  </si>
  <si>
    <r>
      <rPr>
        <b/>
        <sz val="11"/>
        <color rgb="FFFF0000"/>
        <rFont val="Calibri"/>
        <family val="2"/>
        <scheme val="minor"/>
      </rPr>
      <t>11</t>
    </r>
    <r>
      <rPr>
        <b/>
        <sz val="11"/>
        <color theme="0"/>
        <rFont val="Calibri"/>
        <family val="2"/>
        <scheme val="minor"/>
      </rPr>
      <t>2</t>
    </r>
  </si>
  <si>
    <r>
      <rPr>
        <b/>
        <sz val="11"/>
        <color rgb="FFFF0000"/>
        <rFont val="Calibri"/>
        <family val="2"/>
        <scheme val="minor"/>
      </rPr>
      <t>11</t>
    </r>
    <r>
      <rPr>
        <b/>
        <sz val="11"/>
        <color theme="0"/>
        <rFont val="Calibri"/>
        <family val="2"/>
        <scheme val="minor"/>
      </rPr>
      <t>3</t>
    </r>
  </si>
  <si>
    <r>
      <rPr>
        <b/>
        <sz val="11"/>
        <color rgb="FFFF0000"/>
        <rFont val="Calibri"/>
        <family val="2"/>
        <scheme val="minor"/>
      </rPr>
      <t>11</t>
    </r>
    <r>
      <rPr>
        <b/>
        <sz val="11"/>
        <color theme="0"/>
        <rFont val="Calibri"/>
        <family val="2"/>
        <scheme val="minor"/>
      </rPr>
      <t>5</t>
    </r>
  </si>
  <si>
    <r>
      <rPr>
        <b/>
        <sz val="11"/>
        <color rgb="FFFF0000"/>
        <rFont val="Calibri"/>
        <family val="2"/>
        <scheme val="minor"/>
      </rPr>
      <t>11</t>
    </r>
    <r>
      <rPr>
        <b/>
        <sz val="11"/>
        <color theme="0"/>
        <rFont val="Calibri"/>
        <family val="2"/>
        <scheme val="minor"/>
      </rPr>
      <t>6</t>
    </r>
  </si>
  <si>
    <r>
      <t>22</t>
    </r>
    <r>
      <rPr>
        <b/>
        <sz val="11"/>
        <color rgb="FFFF0000"/>
        <rFont val="Calibri"/>
        <family val="2"/>
        <scheme val="minor"/>
      </rPr>
      <t>1</t>
    </r>
  </si>
  <si>
    <t>114</t>
  </si>
  <si>
    <r>
      <t>22</t>
    </r>
    <r>
      <rPr>
        <b/>
        <sz val="11"/>
        <color rgb="FFFF0000"/>
        <rFont val="Calibri"/>
        <family val="2"/>
        <scheme val="minor"/>
      </rPr>
      <t>4</t>
    </r>
  </si>
  <si>
    <r>
      <t>33</t>
    </r>
    <r>
      <rPr>
        <b/>
        <sz val="11"/>
        <color rgb="FFFF0000"/>
        <rFont val="Calibri"/>
        <family val="2"/>
        <scheme val="minor"/>
      </rPr>
      <t>4</t>
    </r>
  </si>
  <si>
    <r>
      <t>33</t>
    </r>
    <r>
      <rPr>
        <b/>
        <sz val="11"/>
        <color rgb="FFFF0000"/>
        <rFont val="Calibri"/>
        <family val="2"/>
        <scheme val="minor"/>
      </rPr>
      <t>1</t>
    </r>
  </si>
  <si>
    <t>441</t>
  </si>
  <si>
    <r>
      <rPr>
        <b/>
        <sz val="11"/>
        <color rgb="FFFF0000"/>
        <rFont val="Calibri"/>
        <family val="2"/>
        <scheme val="minor"/>
      </rPr>
      <t>44</t>
    </r>
    <r>
      <rPr>
        <b/>
        <sz val="11"/>
        <color theme="0"/>
        <rFont val="Calibri"/>
        <family val="2"/>
        <scheme val="minor"/>
      </rPr>
      <t>2</t>
    </r>
  </si>
  <si>
    <r>
      <rPr>
        <b/>
        <sz val="11"/>
        <color rgb="FFFF0000"/>
        <rFont val="Calibri"/>
        <family val="2"/>
        <scheme val="minor"/>
      </rPr>
      <t>44</t>
    </r>
    <r>
      <rPr>
        <b/>
        <sz val="11"/>
        <color theme="0"/>
        <rFont val="Calibri"/>
        <family val="2"/>
        <scheme val="minor"/>
      </rPr>
      <t>3</t>
    </r>
  </si>
  <si>
    <r>
      <rPr>
        <b/>
        <sz val="11"/>
        <color rgb="FFFF0000"/>
        <rFont val="Calibri"/>
        <family val="2"/>
        <scheme val="minor"/>
      </rPr>
      <t>44</t>
    </r>
    <r>
      <rPr>
        <b/>
        <sz val="11"/>
        <color theme="0"/>
        <rFont val="Calibri"/>
        <family val="2"/>
        <scheme val="minor"/>
      </rPr>
      <t>5</t>
    </r>
  </si>
  <si>
    <r>
      <rPr>
        <b/>
        <sz val="11"/>
        <color rgb="FFFF0000"/>
        <rFont val="Calibri"/>
        <family val="2"/>
        <scheme val="minor"/>
      </rPr>
      <t>44</t>
    </r>
    <r>
      <rPr>
        <b/>
        <sz val="11"/>
        <color theme="0"/>
        <rFont val="Calibri"/>
        <family val="2"/>
        <scheme val="minor"/>
      </rPr>
      <t>6</t>
    </r>
  </si>
  <si>
    <r>
      <t>55</t>
    </r>
    <r>
      <rPr>
        <b/>
        <sz val="11"/>
        <color rgb="FFFF0000"/>
        <rFont val="Calibri"/>
        <family val="2"/>
        <scheme val="minor"/>
      </rPr>
      <t>1</t>
    </r>
  </si>
  <si>
    <r>
      <t>55</t>
    </r>
    <r>
      <rPr>
        <b/>
        <sz val="11"/>
        <color rgb="FFFF0000"/>
        <rFont val="Calibri"/>
        <family val="2"/>
        <scheme val="minor"/>
      </rPr>
      <t>4</t>
    </r>
  </si>
  <si>
    <r>
      <t>66</t>
    </r>
    <r>
      <rPr>
        <b/>
        <sz val="11"/>
        <color rgb="FFFF0000"/>
        <rFont val="Calibri"/>
        <family val="2"/>
        <scheme val="minor"/>
      </rPr>
      <t>1</t>
    </r>
  </si>
  <si>
    <r>
      <t>66</t>
    </r>
    <r>
      <rPr>
        <b/>
        <sz val="11"/>
        <color rgb="FFFF0000"/>
        <rFont val="Calibri"/>
        <family val="2"/>
        <scheme val="minor"/>
      </rPr>
      <t>4</t>
    </r>
  </si>
  <si>
    <r>
      <rPr>
        <b/>
        <sz val="11"/>
        <color rgb="FFFF0000"/>
        <rFont val="Calibri"/>
        <family val="2"/>
        <scheme val="minor"/>
      </rPr>
      <t>1</t>
    </r>
    <r>
      <rPr>
        <b/>
        <sz val="11"/>
        <color theme="0"/>
        <rFont val="Calibri"/>
        <family val="2"/>
        <scheme val="minor"/>
      </rPr>
      <t xml:space="preserve">
W
I
N
S
</t>
    </r>
    <r>
      <rPr>
        <b/>
        <sz val="11"/>
        <color rgb="FFFF0000"/>
        <rFont val="Calibri"/>
        <family val="2"/>
        <scheme val="minor"/>
      </rPr>
      <t>30</t>
    </r>
    <r>
      <rPr>
        <b/>
        <sz val="11"/>
        <color theme="0"/>
        <rFont val="Calibri"/>
        <family val="2"/>
        <scheme val="minor"/>
      </rPr>
      <t xml:space="preserve">
</t>
    </r>
  </si>
  <si>
    <r>
      <rPr>
        <b/>
        <sz val="11"/>
        <color rgb="FFFF0000"/>
        <rFont val="Calibri"/>
        <family val="2"/>
        <scheme val="minor"/>
      </rPr>
      <t>1</t>
    </r>
    <r>
      <rPr>
        <b/>
        <sz val="11"/>
        <color theme="0"/>
        <rFont val="Calibri"/>
        <family val="2"/>
        <scheme val="minor"/>
      </rPr>
      <t>26</t>
    </r>
  </si>
  <si>
    <r>
      <rPr>
        <b/>
        <sz val="11"/>
        <color rgb="FFFF0000"/>
        <rFont val="Calibri"/>
        <family val="2"/>
        <scheme val="minor"/>
      </rPr>
      <t>1</t>
    </r>
    <r>
      <rPr>
        <b/>
        <sz val="11"/>
        <color theme="0"/>
        <rFont val="Calibri"/>
        <family val="2"/>
        <scheme val="minor"/>
      </rPr>
      <t>35</t>
    </r>
  </si>
  <si>
    <r>
      <t>23</t>
    </r>
    <r>
      <rPr>
        <b/>
        <sz val="11"/>
        <color rgb="FFFF0000"/>
        <rFont val="Calibri"/>
        <family val="2"/>
        <scheme val="minor"/>
      </rPr>
      <t>4</t>
    </r>
  </si>
  <si>
    <r>
      <t>3</t>
    </r>
    <r>
      <rPr>
        <b/>
        <sz val="11"/>
        <color rgb="FFFF0000"/>
        <rFont val="Calibri"/>
        <family val="2"/>
        <scheme val="minor"/>
      </rPr>
      <t>4</t>
    </r>
    <r>
      <rPr>
        <b/>
        <sz val="11"/>
        <color theme="0"/>
        <rFont val="Calibri"/>
        <family val="2"/>
        <scheme val="minor"/>
      </rPr>
      <t>6</t>
    </r>
  </si>
  <si>
    <r>
      <rPr>
        <b/>
        <sz val="11"/>
        <color rgb="FFFF0000"/>
        <rFont val="Calibri"/>
        <family val="2"/>
        <scheme val="minor"/>
      </rPr>
      <t>1</t>
    </r>
    <r>
      <rPr>
        <b/>
        <sz val="11"/>
        <color theme="0"/>
        <rFont val="Calibri"/>
        <family val="2"/>
        <scheme val="minor"/>
      </rPr>
      <t>23</t>
    </r>
  </si>
  <si>
    <r>
      <rPr>
        <b/>
        <sz val="11"/>
        <color rgb="FFFF0000"/>
        <rFont val="Calibri"/>
        <family val="2"/>
        <scheme val="minor"/>
      </rPr>
      <t>1</t>
    </r>
    <r>
      <rPr>
        <b/>
        <sz val="11"/>
        <color theme="0"/>
        <rFont val="Calibri"/>
        <family val="2"/>
        <scheme val="minor"/>
      </rPr>
      <t>36</t>
    </r>
  </si>
  <si>
    <r>
      <rPr>
        <b/>
        <sz val="11"/>
        <color rgb="FFFF0000"/>
        <rFont val="Calibri"/>
        <family val="2"/>
        <scheme val="minor"/>
      </rPr>
      <t>14</t>
    </r>
    <r>
      <rPr>
        <b/>
        <sz val="11"/>
        <color theme="0"/>
        <rFont val="Calibri"/>
        <family val="2"/>
        <scheme val="minor"/>
      </rPr>
      <t>5</t>
    </r>
  </si>
  <si>
    <r>
      <rPr>
        <b/>
        <sz val="11"/>
        <color rgb="FFFF0000"/>
        <rFont val="Calibri"/>
        <family val="2"/>
        <scheme val="minor"/>
      </rPr>
      <t>1</t>
    </r>
    <r>
      <rPr>
        <b/>
        <sz val="11"/>
        <color theme="0"/>
        <rFont val="Calibri"/>
        <family val="2"/>
        <scheme val="minor"/>
      </rPr>
      <t>2</t>
    </r>
    <r>
      <rPr>
        <b/>
        <sz val="11"/>
        <color rgb="FFFF0000"/>
        <rFont val="Calibri"/>
        <family val="2"/>
        <scheme val="minor"/>
      </rPr>
      <t>4</t>
    </r>
  </si>
  <si>
    <r>
      <rPr>
        <b/>
        <sz val="11"/>
        <color rgb="FFFF0000"/>
        <rFont val="Calibri"/>
        <family val="2"/>
        <scheme val="minor"/>
      </rPr>
      <t>14</t>
    </r>
    <r>
      <rPr>
        <b/>
        <sz val="11"/>
        <color theme="0"/>
        <rFont val="Calibri"/>
        <family val="2"/>
        <scheme val="minor"/>
      </rPr>
      <t>6</t>
    </r>
  </si>
  <si>
    <r>
      <t>2</t>
    </r>
    <r>
      <rPr>
        <b/>
        <sz val="11"/>
        <color rgb="FFFF0000"/>
        <rFont val="Calibri"/>
        <family val="2"/>
        <scheme val="minor"/>
      </rPr>
      <t>4</t>
    </r>
    <r>
      <rPr>
        <b/>
        <sz val="11"/>
        <color theme="0"/>
        <rFont val="Calibri"/>
        <family val="2"/>
        <scheme val="minor"/>
      </rPr>
      <t>5</t>
    </r>
  </si>
  <si>
    <r>
      <rPr>
        <b/>
        <sz val="11"/>
        <color rgb="FFFF0000"/>
        <rFont val="Calibri"/>
        <family val="2"/>
        <scheme val="minor"/>
      </rPr>
      <t>4</t>
    </r>
    <r>
      <rPr>
        <b/>
        <sz val="11"/>
        <color theme="0"/>
        <rFont val="Calibri"/>
        <family val="2"/>
        <scheme val="minor"/>
      </rPr>
      <t>56</t>
    </r>
  </si>
  <si>
    <r>
      <rPr>
        <b/>
        <sz val="11"/>
        <color rgb="FFFF0000"/>
        <rFont val="Calibri"/>
        <family val="2"/>
        <scheme val="minor"/>
      </rPr>
      <t>1</t>
    </r>
    <r>
      <rPr>
        <b/>
        <sz val="11"/>
        <color theme="0"/>
        <rFont val="Calibri"/>
        <family val="2"/>
        <scheme val="minor"/>
      </rPr>
      <t>25</t>
    </r>
  </si>
  <si>
    <r>
      <rPr>
        <b/>
        <sz val="11"/>
        <color rgb="FFFF0000"/>
        <rFont val="Calibri"/>
        <family val="2"/>
        <scheme val="minor"/>
      </rPr>
      <t>1</t>
    </r>
    <r>
      <rPr>
        <b/>
        <sz val="11"/>
        <color theme="0"/>
        <rFont val="Calibri"/>
        <family val="2"/>
        <scheme val="minor"/>
      </rPr>
      <t>3</t>
    </r>
    <r>
      <rPr>
        <b/>
        <sz val="11"/>
        <color rgb="FFFF0000"/>
        <rFont val="Calibri"/>
        <family val="2"/>
        <scheme val="minor"/>
      </rPr>
      <t>4</t>
    </r>
  </si>
  <si>
    <r>
      <rPr>
        <b/>
        <sz val="11"/>
        <color rgb="FFFF0000"/>
        <rFont val="Calibri"/>
        <family val="2"/>
        <scheme val="minor"/>
      </rPr>
      <t>1</t>
    </r>
    <r>
      <rPr>
        <b/>
        <sz val="11"/>
        <color theme="0"/>
        <rFont val="Calibri"/>
        <family val="2"/>
        <scheme val="minor"/>
      </rPr>
      <t>56</t>
    </r>
  </si>
  <si>
    <r>
      <t>2</t>
    </r>
    <r>
      <rPr>
        <b/>
        <sz val="11"/>
        <color rgb="FFFF0000"/>
        <rFont val="Calibri"/>
        <family val="2"/>
        <scheme val="minor"/>
      </rPr>
      <t>4</t>
    </r>
    <r>
      <rPr>
        <b/>
        <sz val="11"/>
        <color theme="0"/>
        <rFont val="Calibri"/>
        <family val="2"/>
        <scheme val="minor"/>
      </rPr>
      <t>6</t>
    </r>
  </si>
  <si>
    <r>
      <t>3</t>
    </r>
    <r>
      <rPr>
        <b/>
        <sz val="11"/>
        <color rgb="FFFF0000"/>
        <rFont val="Calibri"/>
        <family val="2"/>
        <scheme val="minor"/>
      </rPr>
      <t>4</t>
    </r>
    <r>
      <rPr>
        <b/>
        <sz val="11"/>
        <color theme="0"/>
        <rFont val="Calibri"/>
        <family val="2"/>
        <scheme val="minor"/>
      </rPr>
      <t>5</t>
    </r>
  </si>
  <si>
    <t>Row</t>
  </si>
  <si>
    <t>Col</t>
  </si>
  <si>
    <t>Bet</t>
  </si>
  <si>
    <t>Results</t>
  </si>
  <si>
    <t>Win</t>
  </si>
  <si>
    <t>Ratio</t>
  </si>
  <si>
    <t>Even</t>
  </si>
  <si>
    <t>Small</t>
  </si>
  <si>
    <t>Big</t>
  </si>
  <si>
    <t>All</t>
  </si>
  <si>
    <t>Sum4</t>
  </si>
  <si>
    <t>Sum5</t>
  </si>
  <si>
    <t>Sum6</t>
  </si>
  <si>
    <t>Sum7</t>
  </si>
  <si>
    <t>Sum8</t>
  </si>
  <si>
    <t>Sum9</t>
  </si>
  <si>
    <t>Sum10</t>
  </si>
  <si>
    <t>Sum11</t>
  </si>
  <si>
    <t>Sum12</t>
  </si>
  <si>
    <t>Sum13</t>
  </si>
  <si>
    <t>Sum14</t>
  </si>
  <si>
    <t>Sum15</t>
  </si>
  <si>
    <t>Sum16</t>
  </si>
  <si>
    <t>Sum17</t>
  </si>
  <si>
    <t>Erow</t>
  </si>
  <si>
    <t>Ecol</t>
  </si>
  <si>
    <t>Any1</t>
  </si>
  <si>
    <t>Any2</t>
  </si>
  <si>
    <t>Any3</t>
  </si>
  <si>
    <t>Any4</t>
  </si>
  <si>
    <t>Any5</t>
  </si>
  <si>
    <t>Any6</t>
  </si>
  <si>
    <t>Total</t>
  </si>
  <si>
    <t>Group1234</t>
  </si>
  <si>
    <t>Group2345</t>
  </si>
  <si>
    <t>Group2356</t>
  </si>
  <si>
    <t>Group3456</t>
  </si>
  <si>
    <t>Any1&amp;2</t>
  </si>
  <si>
    <t>Any2&amp;4</t>
  </si>
  <si>
    <t>Any1&amp;3</t>
  </si>
  <si>
    <t>Any1&amp;4</t>
  </si>
  <si>
    <t>Any2&amp;3</t>
  </si>
  <si>
    <t>Any3&amp;4</t>
  </si>
  <si>
    <t>Any2&amp;5</t>
  </si>
  <si>
    <t>Any2&amp;6</t>
  </si>
  <si>
    <t>Any3&amp;5</t>
  </si>
  <si>
    <t>Any4&amp;5</t>
  </si>
  <si>
    <t>Any3&amp;6</t>
  </si>
  <si>
    <t>Any1&amp;5</t>
  </si>
  <si>
    <t>Any1&amp;6</t>
  </si>
  <si>
    <t>Any4&amp;6</t>
  </si>
  <si>
    <t>Any5&amp;6</t>
  </si>
  <si>
    <t>Double1</t>
  </si>
  <si>
    <t>Double2</t>
  </si>
  <si>
    <t>Double3</t>
  </si>
  <si>
    <t>Double4</t>
  </si>
  <si>
    <t>Double5</t>
  </si>
  <si>
    <t>Double6</t>
  </si>
  <si>
    <t>Triple1</t>
  </si>
  <si>
    <t>Triple2</t>
  </si>
  <si>
    <t>Triple3</t>
  </si>
  <si>
    <t>Triple4</t>
  </si>
  <si>
    <t>Triple5</t>
  </si>
  <si>
    <t>Triple6</t>
  </si>
  <si>
    <t>Any Triple</t>
  </si>
  <si>
    <t>大</t>
  </si>
  <si>
    <t>小</t>
  </si>
  <si>
    <t>豹子</t>
  </si>
  <si>
    <t>11大</t>
  </si>
  <si>
    <t>6小</t>
  </si>
  <si>
    <t>9小</t>
  </si>
  <si>
    <t>&lt;&lt;  Last Roll</t>
  </si>
  <si>
    <t>14大</t>
  </si>
  <si>
    <t>8小</t>
  </si>
  <si>
    <t>13大</t>
  </si>
  <si>
    <t>10小</t>
  </si>
  <si>
    <t>17大</t>
  </si>
  <si>
    <t>15大</t>
  </si>
  <si>
    <t>买定离手</t>
  </si>
  <si>
    <t>7小</t>
  </si>
  <si>
    <t>12大</t>
  </si>
  <si>
    <t>Last Win = 370</t>
  </si>
  <si>
    <t>&lt;Withdrawal limited to 1000 at a time up to 2000</t>
  </si>
  <si>
    <t>骰寳</t>
  </si>
  <si>
    <t>大小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</si>
</sst>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dPoly Block Dice"/>
    </font>
    <font>
      <sz val="16"/>
      <color theme="1"/>
      <name val="dPoly Block Dice"/>
    </font>
    <font>
      <sz val="20"/>
      <color theme="1"/>
      <name val="dPoly Block Dice"/>
    </font>
    <font>
      <b/>
      <sz val="11"/>
      <color rgb="FFFF0000"/>
      <name val="Calibri"/>
      <family val="2"/>
      <scheme val="minor"/>
    </font>
    <font>
      <sz val="20"/>
      <color rgb="FFFF0000"/>
      <name val="dPoly Block Dice"/>
    </font>
    <font>
      <sz val="16"/>
      <color rgb="FFFF0000"/>
      <name val="dPoly Block Dice"/>
    </font>
    <font>
      <sz val="11"/>
      <color rgb="FFFF0000"/>
      <name val="dPoly Block Dice"/>
    </font>
    <font>
      <sz val="36"/>
      <color theme="1"/>
      <name val="dPoly Block Dice"/>
    </font>
    <font>
      <sz val="36"/>
      <color rgb="FFFF0000"/>
      <name val="dPoly Block Dice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36"/>
      <color rgb="FFFFFF00"/>
      <name val="Calibri"/>
      <family val="2"/>
      <scheme val="minor"/>
    </font>
    <font>
      <sz val="20"/>
      <name val="dPoly Block Dice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28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n">
        <color indexed="64"/>
      </top>
      <bottom/>
      <diagonal/>
    </border>
    <border>
      <left style="thick">
        <color rgb="FFFF0000"/>
      </left>
      <right style="thick">
        <color rgb="FFFF0000"/>
      </right>
      <top/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/>
      <right/>
      <top style="thick">
        <color rgb="FFFF0000"/>
      </top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n">
        <color indexed="64"/>
      </bottom>
      <diagonal/>
    </border>
    <border>
      <left/>
      <right style="thick">
        <color rgb="FFFF0000"/>
      </right>
      <top/>
      <bottom style="thin">
        <color indexed="64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ck">
        <color rgb="FFFF0000"/>
      </top>
      <bottom/>
      <diagonal/>
    </border>
    <border>
      <left style="thin">
        <color indexed="64"/>
      </left>
      <right style="thick">
        <color rgb="FFFF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/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ck">
        <color rgb="FFFF0000"/>
      </left>
      <right style="thin">
        <color indexed="64"/>
      </right>
      <top style="thick">
        <color rgb="FFFF0000"/>
      </top>
      <bottom/>
      <diagonal/>
    </border>
    <border>
      <left style="thin">
        <color indexed="64"/>
      </left>
      <right/>
      <top style="thick">
        <color rgb="FFFF0000"/>
      </top>
      <bottom/>
      <diagonal/>
    </border>
    <border>
      <left/>
      <right style="thin">
        <color indexed="64"/>
      </right>
      <top style="thick">
        <color rgb="FFFF0000"/>
      </top>
      <bottom/>
      <diagonal/>
    </border>
    <border>
      <left style="thin">
        <color indexed="64"/>
      </left>
      <right style="thin">
        <color indexed="64"/>
      </right>
      <top style="thick">
        <color rgb="FFFF0000"/>
      </top>
      <bottom/>
      <diagonal/>
    </border>
    <border>
      <left style="thin">
        <color indexed="64"/>
      </left>
      <right style="thick">
        <color rgb="FFFF0000"/>
      </right>
      <top/>
      <bottom style="thin">
        <color indexed="64"/>
      </bottom>
      <diagonal/>
    </border>
    <border>
      <left style="thick">
        <color rgb="FFFF0000"/>
      </left>
      <right style="thin">
        <color indexed="64"/>
      </right>
      <top/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rgb="FFFF0000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ck">
        <color rgb="FFFF000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74">
    <xf numFmtId="0" fontId="0" fillId="0" borderId="0" xfId="0"/>
    <xf numFmtId="0" fontId="0" fillId="6" borderId="0" xfId="0" applyFill="1"/>
    <xf numFmtId="0" fontId="0" fillId="6" borderId="9" xfId="0" applyFill="1" applyBorder="1" applyAlignment="1"/>
    <xf numFmtId="0" fontId="11" fillId="6" borderId="42" xfId="0" applyFont="1" applyFill="1" applyBorder="1" applyAlignment="1">
      <alignment horizontal="center" vertical="center"/>
    </xf>
    <xf numFmtId="0" fontId="5" fillId="6" borderId="42" xfId="0" applyFont="1" applyFill="1" applyBorder="1" applyAlignment="1">
      <alignment horizontal="center" vertical="center"/>
    </xf>
    <xf numFmtId="0" fontId="11" fillId="6" borderId="22" xfId="0" applyFont="1" applyFill="1" applyBorder="1" applyAlignment="1">
      <alignment horizontal="center" vertical="center"/>
    </xf>
    <xf numFmtId="0" fontId="5" fillId="6" borderId="34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11" fillId="6" borderId="3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0" fontId="5" fillId="6" borderId="35" xfId="0" applyFont="1" applyFill="1" applyBorder="1" applyAlignment="1">
      <alignment horizontal="center" vertical="center"/>
    </xf>
    <xf numFmtId="0" fontId="5" fillId="6" borderId="22" xfId="0" applyFont="1" applyFill="1" applyBorder="1" applyAlignment="1">
      <alignment horizontal="center"/>
    </xf>
    <xf numFmtId="0" fontId="11" fillId="6" borderId="41" xfId="0" applyFont="1" applyFill="1" applyBorder="1" applyAlignment="1">
      <alignment horizontal="center"/>
    </xf>
    <xf numFmtId="0" fontId="5" fillId="6" borderId="40" xfId="0" applyFont="1" applyFill="1" applyBorder="1" applyAlignment="1">
      <alignment horizontal="center"/>
    </xf>
    <xf numFmtId="0" fontId="11" fillId="6" borderId="22" xfId="0" applyFont="1" applyFill="1" applyBorder="1" applyAlignment="1">
      <alignment horizontal="center"/>
    </xf>
    <xf numFmtId="0" fontId="5" fillId="6" borderId="41" xfId="0" applyFont="1" applyFill="1" applyBorder="1" applyAlignment="1">
      <alignment horizontal="center"/>
    </xf>
    <xf numFmtId="0" fontId="5" fillId="6" borderId="23" xfId="0" applyFont="1" applyFill="1" applyBorder="1" applyAlignment="1">
      <alignment horizontal="center"/>
    </xf>
    <xf numFmtId="0" fontId="0" fillId="6" borderId="22" xfId="0" applyFill="1" applyBorder="1" applyAlignment="1"/>
    <xf numFmtId="0" fontId="0" fillId="6" borderId="0" xfId="0" applyFill="1" applyAlignment="1"/>
    <xf numFmtId="0" fontId="0" fillId="4" borderId="47" xfId="0" applyFill="1" applyBorder="1"/>
    <xf numFmtId="0" fontId="0" fillId="4" borderId="46" xfId="0" applyFill="1" applyBorder="1"/>
    <xf numFmtId="0" fontId="0" fillId="7" borderId="47" xfId="0" applyFill="1" applyBorder="1"/>
    <xf numFmtId="0" fontId="0" fillId="3" borderId="46" xfId="0" applyFill="1" applyBorder="1"/>
    <xf numFmtId="0" fontId="0" fillId="3" borderId="47" xfId="0" applyFill="1" applyBorder="1"/>
    <xf numFmtId="0" fontId="3" fillId="4" borderId="12" xfId="0" applyFont="1" applyFill="1" applyBorder="1"/>
    <xf numFmtId="0" fontId="0" fillId="4" borderId="14" xfId="0" applyFill="1" applyBorder="1"/>
    <xf numFmtId="0" fontId="3" fillId="8" borderId="12" xfId="0" applyFont="1" applyFill="1" applyBorder="1"/>
    <xf numFmtId="0" fontId="0" fillId="8" borderId="13" xfId="0" applyFill="1" applyBorder="1"/>
    <xf numFmtId="0" fontId="0" fillId="8" borderId="14" xfId="0" applyFill="1" applyBorder="1"/>
    <xf numFmtId="0" fontId="3" fillId="2" borderId="13" xfId="0" applyFont="1" applyFill="1" applyBorder="1"/>
    <xf numFmtId="0" fontId="0" fillId="2" borderId="14" xfId="0" applyFill="1" applyBorder="1"/>
    <xf numFmtId="0" fontId="3" fillId="9" borderId="12" xfId="0" applyFont="1" applyFill="1" applyBorder="1"/>
    <xf numFmtId="0" fontId="0" fillId="9" borderId="14" xfId="0" applyFill="1" applyBorder="1"/>
    <xf numFmtId="0" fontId="3" fillId="7" borderId="12" xfId="0" applyFont="1" applyFill="1" applyBorder="1"/>
    <xf numFmtId="0" fontId="0" fillId="4" borderId="52" xfId="0" applyFill="1" applyBorder="1"/>
    <xf numFmtId="0" fontId="0" fillId="4" borderId="53" xfId="0" applyFill="1" applyBorder="1"/>
    <xf numFmtId="0" fontId="0" fillId="4" borderId="54" xfId="0" applyFill="1" applyBorder="1"/>
    <xf numFmtId="0" fontId="0" fillId="2" borderId="49" xfId="0" applyFill="1" applyBorder="1"/>
    <xf numFmtId="0" fontId="0" fillId="2" borderId="50" xfId="0" applyFill="1" applyBorder="1"/>
    <xf numFmtId="0" fontId="0" fillId="4" borderId="10" xfId="0" applyFill="1" applyBorder="1"/>
    <xf numFmtId="0" fontId="0" fillId="2" borderId="10" xfId="0" applyFill="1" applyBorder="1"/>
    <xf numFmtId="0" fontId="0" fillId="10" borderId="46" xfId="0" applyFill="1" applyBorder="1"/>
    <xf numFmtId="0" fontId="0" fillId="10" borderId="48" xfId="0" applyFill="1" applyBorder="1"/>
    <xf numFmtId="0" fontId="0" fillId="10" borderId="47" xfId="0" applyFill="1" applyBorder="1"/>
    <xf numFmtId="0" fontId="0" fillId="5" borderId="46" xfId="0" applyFill="1" applyBorder="1"/>
    <xf numFmtId="0" fontId="0" fillId="5" borderId="48" xfId="0" applyFill="1" applyBorder="1"/>
    <xf numFmtId="0" fontId="0" fillId="5" borderId="47" xfId="0" applyFill="1" applyBorder="1"/>
    <xf numFmtId="0" fontId="0" fillId="6" borderId="0" xfId="0" applyFill="1" applyAlignment="1">
      <alignment horizontal="center"/>
    </xf>
    <xf numFmtId="0" fontId="2" fillId="6" borderId="39" xfId="0" applyFont="1" applyFill="1" applyBorder="1" applyAlignment="1">
      <alignment horizontal="center"/>
    </xf>
    <xf numFmtId="0" fontId="2" fillId="6" borderId="42" xfId="0" applyFont="1" applyFill="1" applyBorder="1" applyAlignment="1">
      <alignment horizontal="center"/>
    </xf>
    <xf numFmtId="0" fontId="2" fillId="6" borderId="34" xfId="0" applyFont="1" applyFill="1" applyBorder="1" applyAlignment="1">
      <alignment horizontal="center"/>
    </xf>
    <xf numFmtId="0" fontId="17" fillId="6" borderId="44" xfId="0" quotePrefix="1" applyFont="1" applyFill="1" applyBorder="1" applyAlignment="1">
      <alignment horizontal="center"/>
    </xf>
    <xf numFmtId="0" fontId="17" fillId="6" borderId="3" xfId="0" applyFont="1" applyFill="1" applyBorder="1" applyAlignment="1">
      <alignment horizontal="center"/>
    </xf>
    <xf numFmtId="0" fontId="17" fillId="6" borderId="43" xfId="0" applyFont="1" applyFill="1" applyBorder="1" applyAlignment="1">
      <alignment horizontal="center"/>
    </xf>
    <xf numFmtId="0" fontId="4" fillId="6" borderId="0" xfId="0" applyFont="1" applyFill="1" applyAlignment="1">
      <alignment horizontal="center"/>
    </xf>
    <xf numFmtId="0" fontId="0" fillId="6" borderId="0" xfId="0" applyFill="1" applyBorder="1"/>
    <xf numFmtId="0" fontId="4" fillId="6" borderId="0" xfId="0" applyFont="1" applyFill="1"/>
    <xf numFmtId="0" fontId="2" fillId="6" borderId="0" xfId="0" applyFont="1" applyFill="1"/>
    <xf numFmtId="0" fontId="0" fillId="2" borderId="57" xfId="0" applyFill="1" applyBorder="1"/>
    <xf numFmtId="0" fontId="0" fillId="11" borderId="49" xfId="0" applyFill="1" applyBorder="1"/>
    <xf numFmtId="0" fontId="0" fillId="11" borderId="50" xfId="0" applyFill="1" applyBorder="1"/>
    <xf numFmtId="0" fontId="0" fillId="11" borderId="51" xfId="0" applyFill="1" applyBorder="1"/>
    <xf numFmtId="0" fontId="2" fillId="0" borderId="0" xfId="0" applyFont="1" applyFill="1" applyAlignment="1">
      <alignment vertical="center"/>
    </xf>
    <xf numFmtId="49" fontId="2" fillId="6" borderId="1" xfId="0" applyNumberFormat="1" applyFont="1" applyFill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center" vertical="center"/>
    </xf>
    <xf numFmtId="49" fontId="2" fillId="6" borderId="31" xfId="0" applyNumberFormat="1" applyFont="1" applyFill="1" applyBorder="1" applyAlignment="1">
      <alignment horizontal="center" vertical="center"/>
    </xf>
    <xf numFmtId="49" fontId="2" fillId="6" borderId="33" xfId="0" applyNumberFormat="1" applyFont="1" applyFill="1" applyBorder="1" applyAlignment="1">
      <alignment horizontal="center" vertical="center"/>
    </xf>
    <xf numFmtId="49" fontId="8" fillId="6" borderId="33" xfId="0" applyNumberFormat="1" applyFont="1" applyFill="1" applyBorder="1" applyAlignment="1">
      <alignment horizontal="center" vertical="center"/>
    </xf>
    <xf numFmtId="49" fontId="2" fillId="4" borderId="32" xfId="0" applyNumberFormat="1" applyFont="1" applyFill="1" applyBorder="1" applyAlignment="1">
      <alignment horizontal="center" vertical="center"/>
    </xf>
    <xf numFmtId="49" fontId="2" fillId="6" borderId="32" xfId="0" applyNumberFormat="1" applyFont="1" applyFill="1" applyBorder="1" applyAlignment="1">
      <alignment horizontal="center" vertical="center"/>
    </xf>
    <xf numFmtId="49" fontId="8" fillId="6" borderId="32" xfId="0" applyNumberFormat="1" applyFont="1" applyFill="1" applyBorder="1" applyAlignment="1">
      <alignment horizontal="center" vertical="center"/>
    </xf>
    <xf numFmtId="0" fontId="2" fillId="4" borderId="45" xfId="0" applyFont="1" applyFill="1" applyBorder="1" applyAlignment="1">
      <alignment horizontal="center" vertical="center"/>
    </xf>
    <xf numFmtId="0" fontId="2" fillId="4" borderId="36" xfId="0" applyFont="1" applyFill="1" applyBorder="1" applyAlignment="1">
      <alignment horizontal="center" vertical="center"/>
    </xf>
    <xf numFmtId="0" fontId="2" fillId="6" borderId="19" xfId="0" applyFont="1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6" borderId="61" xfId="0" applyFill="1" applyBorder="1"/>
    <xf numFmtId="0" fontId="0" fillId="6" borderId="62" xfId="0" applyFill="1" applyBorder="1"/>
    <xf numFmtId="0" fontId="20" fillId="6" borderId="63" xfId="0" applyFont="1" applyFill="1" applyBorder="1"/>
    <xf numFmtId="49" fontId="0" fillId="0" borderId="0" xfId="0" applyNumberFormat="1"/>
    <xf numFmtId="0" fontId="21" fillId="0" borderId="0" xfId="0" applyFont="1"/>
    <xf numFmtId="0" fontId="2" fillId="6" borderId="23" xfId="0" applyFont="1" applyFill="1" applyBorder="1" applyAlignment="1">
      <alignment horizontal="center" vertical="center" wrapText="1"/>
    </xf>
    <xf numFmtId="0" fontId="2" fillId="6" borderId="25" xfId="0" applyFont="1" applyFill="1" applyBorder="1" applyAlignment="1">
      <alignment horizontal="center" vertical="center"/>
    </xf>
    <xf numFmtId="0" fontId="2" fillId="6" borderId="30" xfId="0" applyFont="1" applyFill="1" applyBorder="1" applyAlignment="1">
      <alignment horizontal="center" vertical="center"/>
    </xf>
    <xf numFmtId="0" fontId="2" fillId="6" borderId="25" xfId="0" applyFont="1" applyFill="1" applyBorder="1" applyAlignment="1">
      <alignment horizontal="center" vertical="center" wrapText="1"/>
    </xf>
    <xf numFmtId="0" fontId="2" fillId="6" borderId="30" xfId="0" applyFont="1" applyFill="1" applyBorder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  <xf numFmtId="0" fontId="14" fillId="6" borderId="21" xfId="0" applyFont="1" applyFill="1" applyBorder="1" applyAlignment="1">
      <alignment horizontal="center" vertical="center" wrapText="1"/>
    </xf>
    <xf numFmtId="0" fontId="14" fillId="6" borderId="22" xfId="0" applyFont="1" applyFill="1" applyBorder="1" applyAlignment="1">
      <alignment horizontal="center" vertical="center"/>
    </xf>
    <xf numFmtId="0" fontId="14" fillId="6" borderId="23" xfId="0" applyFont="1" applyFill="1" applyBorder="1" applyAlignment="1">
      <alignment horizontal="center" vertical="center"/>
    </xf>
    <xf numFmtId="0" fontId="14" fillId="6" borderId="24" xfId="0" applyFont="1" applyFill="1" applyBorder="1" applyAlignment="1">
      <alignment horizontal="center" vertical="center"/>
    </xf>
    <xf numFmtId="0" fontId="14" fillId="6" borderId="0" xfId="0" applyFont="1" applyFill="1" applyBorder="1" applyAlignment="1">
      <alignment horizontal="center" vertical="center"/>
    </xf>
    <xf numFmtId="0" fontId="14" fillId="6" borderId="25" xfId="0" applyFont="1" applyFill="1" applyBorder="1" applyAlignment="1">
      <alignment horizontal="center" vertical="center"/>
    </xf>
    <xf numFmtId="0" fontId="14" fillId="6" borderId="26" xfId="0" applyFont="1" applyFill="1" applyBorder="1" applyAlignment="1">
      <alignment horizontal="center" vertical="center"/>
    </xf>
    <xf numFmtId="0" fontId="14" fillId="6" borderId="9" xfId="0" applyFont="1" applyFill="1" applyBorder="1" applyAlignment="1">
      <alignment horizontal="center" vertical="center"/>
    </xf>
    <xf numFmtId="0" fontId="14" fillId="6" borderId="27" xfId="0" applyFont="1" applyFill="1" applyBorder="1" applyAlignment="1">
      <alignment horizontal="center" vertical="center"/>
    </xf>
    <xf numFmtId="0" fontId="4" fillId="6" borderId="21" xfId="0" applyFont="1" applyFill="1" applyBorder="1" applyAlignment="1">
      <alignment horizontal="center" vertical="center" wrapText="1"/>
    </xf>
    <xf numFmtId="0" fontId="4" fillId="6" borderId="22" xfId="0" applyFont="1" applyFill="1" applyBorder="1" applyAlignment="1">
      <alignment horizontal="center" vertical="center"/>
    </xf>
    <xf numFmtId="0" fontId="4" fillId="6" borderId="23" xfId="0" applyFont="1" applyFill="1" applyBorder="1" applyAlignment="1">
      <alignment horizontal="center" vertical="center"/>
    </xf>
    <xf numFmtId="0" fontId="4" fillId="6" borderId="24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4" fillId="6" borderId="25" xfId="0" applyFont="1" applyFill="1" applyBorder="1" applyAlignment="1">
      <alignment horizontal="center" vertical="center"/>
    </xf>
    <xf numFmtId="0" fontId="4" fillId="6" borderId="26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center" vertical="center"/>
    </xf>
    <xf numFmtId="0" fontId="4" fillId="6" borderId="27" xfId="0" applyFont="1" applyFill="1" applyBorder="1" applyAlignment="1">
      <alignment horizontal="center" vertical="center"/>
    </xf>
    <xf numFmtId="164" fontId="0" fillId="11" borderId="55" xfId="1" applyNumberFormat="1" applyFont="1" applyFill="1" applyBorder="1" applyAlignment="1">
      <alignment horizontal="center"/>
    </xf>
    <xf numFmtId="164" fontId="0" fillId="11" borderId="56" xfId="1" applyNumberFormat="1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12" fillId="6" borderId="42" xfId="0" applyFont="1" applyFill="1" applyBorder="1" applyAlignment="1">
      <alignment horizontal="center" vertical="center"/>
    </xf>
    <xf numFmtId="0" fontId="12" fillId="6" borderId="11" xfId="0" applyFont="1" applyFill="1" applyBorder="1" applyAlignment="1">
      <alignment horizontal="center" vertical="center"/>
    </xf>
    <xf numFmtId="0" fontId="13" fillId="6" borderId="42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6" fillId="6" borderId="20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6" fillId="6" borderId="0" xfId="0" applyFont="1" applyFill="1" applyBorder="1" applyAlignment="1">
      <alignment horizontal="center" vertical="center" wrapText="1"/>
    </xf>
    <xf numFmtId="0" fontId="6" fillId="6" borderId="9" xfId="0" applyFont="1" applyFill="1" applyBorder="1" applyAlignment="1">
      <alignment horizontal="center" vertical="center" wrapText="1"/>
    </xf>
    <xf numFmtId="0" fontId="3" fillId="6" borderId="41" xfId="0" applyFont="1" applyFill="1" applyBorder="1" applyAlignment="1">
      <alignment horizontal="center" vertical="center" wrapText="1"/>
    </xf>
    <xf numFmtId="0" fontId="3" fillId="6" borderId="59" xfId="0" applyFont="1" applyFill="1" applyBorder="1" applyAlignment="1">
      <alignment horizontal="center" vertical="center" wrapText="1"/>
    </xf>
    <xf numFmtId="0" fontId="3" fillId="6" borderId="60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10" fillId="6" borderId="0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0" fontId="19" fillId="6" borderId="64" xfId="0" applyFont="1" applyFill="1" applyBorder="1" applyAlignment="1">
      <alignment horizontal="left" vertical="center"/>
    </xf>
    <xf numFmtId="0" fontId="19" fillId="6" borderId="59" xfId="0" applyFont="1" applyFill="1" applyBorder="1" applyAlignment="1">
      <alignment horizontal="left" vertical="center"/>
    </xf>
    <xf numFmtId="0" fontId="7" fillId="6" borderId="15" xfId="0" applyFont="1" applyFill="1" applyBorder="1" applyAlignment="1">
      <alignment horizontal="center" vertical="center"/>
    </xf>
    <xf numFmtId="0" fontId="7" fillId="6" borderId="16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/>
    </xf>
    <xf numFmtId="0" fontId="7" fillId="6" borderId="17" xfId="0" applyFont="1" applyFill="1" applyBorder="1" applyAlignment="1">
      <alignment horizontal="center" vertical="center"/>
    </xf>
    <xf numFmtId="0" fontId="7" fillId="6" borderId="18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9" fillId="6" borderId="16" xfId="0" applyFont="1" applyFill="1" applyBorder="1" applyAlignment="1">
      <alignment horizontal="center" vertical="center"/>
    </xf>
    <xf numFmtId="0" fontId="10" fillId="6" borderId="58" xfId="0" applyFont="1" applyFill="1" applyBorder="1" applyAlignment="1">
      <alignment horizontal="center" vertical="center" wrapText="1"/>
    </xf>
    <xf numFmtId="0" fontId="10" fillId="6" borderId="6" xfId="0" applyFont="1" applyFill="1" applyBorder="1" applyAlignment="1">
      <alignment horizontal="center" vertical="center" wrapText="1"/>
    </xf>
    <xf numFmtId="0" fontId="6" fillId="6" borderId="33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10" fillId="6" borderId="33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8" fillId="6" borderId="21" xfId="0" applyFont="1" applyFill="1" applyBorder="1" applyAlignment="1">
      <alignment horizontal="center" vertical="center" wrapText="1"/>
    </xf>
    <xf numFmtId="0" fontId="18" fillId="6" borderId="22" xfId="0" applyFont="1" applyFill="1" applyBorder="1" applyAlignment="1">
      <alignment horizontal="center" vertical="center"/>
    </xf>
    <xf numFmtId="0" fontId="18" fillId="6" borderId="23" xfId="0" applyFont="1" applyFill="1" applyBorder="1" applyAlignment="1">
      <alignment horizontal="center" vertical="center"/>
    </xf>
    <xf numFmtId="0" fontId="18" fillId="6" borderId="24" xfId="0" applyFont="1" applyFill="1" applyBorder="1" applyAlignment="1">
      <alignment horizontal="center" vertical="center"/>
    </xf>
    <xf numFmtId="0" fontId="18" fillId="6" borderId="0" xfId="0" applyFont="1" applyFill="1" applyBorder="1" applyAlignment="1">
      <alignment horizontal="center" vertical="center"/>
    </xf>
    <xf numFmtId="0" fontId="18" fillId="6" borderId="25" xfId="0" applyFont="1" applyFill="1" applyBorder="1" applyAlignment="1">
      <alignment horizontal="center" vertical="center"/>
    </xf>
    <xf numFmtId="0" fontId="18" fillId="6" borderId="26" xfId="0" applyFont="1" applyFill="1" applyBorder="1" applyAlignment="1">
      <alignment horizontal="center" vertical="center"/>
    </xf>
    <xf numFmtId="0" fontId="18" fillId="6" borderId="9" xfId="0" applyFont="1" applyFill="1" applyBorder="1" applyAlignment="1">
      <alignment horizontal="center" vertical="center"/>
    </xf>
    <xf numFmtId="0" fontId="18" fillId="6" borderId="27" xfId="0" applyFont="1" applyFill="1" applyBorder="1" applyAlignment="1">
      <alignment horizontal="center" vertical="center"/>
    </xf>
    <xf numFmtId="0" fontId="23" fillId="12" borderId="16" xfId="0" applyFont="1" applyFill="1" applyBorder="1" applyAlignment="1">
      <alignment horizontal="center" vertical="center"/>
    </xf>
    <xf numFmtId="0" fontId="23" fillId="12" borderId="16" xfId="0" applyFont="1" applyFill="1" applyBorder="1" applyAlignment="1">
      <alignment vertical="center"/>
    </xf>
    <xf numFmtId="0" fontId="24" fillId="12" borderId="16" xfId="0" applyFont="1" applyFill="1" applyBorder="1" applyAlignment="1">
      <alignment horizontal="center"/>
    </xf>
    <xf numFmtId="0" fontId="24" fillId="12" borderId="28" xfId="0" applyFont="1" applyFill="1" applyBorder="1" applyAlignment="1">
      <alignment horizontal="center"/>
    </xf>
    <xf numFmtId="0" fontId="24" fillId="12" borderId="29" xfId="0" applyFont="1" applyFill="1" applyBorder="1" applyAlignment="1">
      <alignment horizontal="center"/>
    </xf>
    <xf numFmtId="0" fontId="24" fillId="12" borderId="30" xfId="0" applyFont="1" applyFill="1" applyBorder="1" applyAlignment="1">
      <alignment horizontal="center"/>
    </xf>
    <xf numFmtId="0" fontId="24" fillId="12" borderId="6" xfId="0" applyFont="1" applyFill="1" applyBorder="1" applyAlignment="1"/>
    <xf numFmtId="0" fontId="24" fillId="12" borderId="1" xfId="0" applyFont="1" applyFill="1" applyBorder="1" applyAlignment="1"/>
    <xf numFmtId="0" fontId="24" fillId="12" borderId="4" xfId="0" applyFont="1" applyFill="1" applyBorder="1" applyAlignment="1"/>
    <xf numFmtId="0" fontId="24" fillId="12" borderId="0" xfId="0" applyFont="1" applyFill="1" applyBorder="1" applyAlignment="1">
      <alignment horizontal="center"/>
    </xf>
    <xf numFmtId="0" fontId="24" fillId="12" borderId="45" xfId="0" applyFont="1" applyFill="1" applyBorder="1" applyAlignment="1">
      <alignment horizontal="center"/>
    </xf>
    <xf numFmtId="0" fontId="24" fillId="12" borderId="36" xfId="0" applyFont="1" applyFill="1" applyBorder="1" applyAlignment="1">
      <alignment horizontal="center"/>
    </xf>
    <xf numFmtId="0" fontId="24" fillId="12" borderId="37" xfId="0" applyFont="1" applyFill="1" applyBorder="1" applyAlignment="1">
      <alignment horizontal="center"/>
    </xf>
    <xf numFmtId="0" fontId="24" fillId="12" borderId="38" xfId="0" applyFont="1" applyFill="1" applyBorder="1" applyAlignment="1">
      <alignment horizontal="center"/>
    </xf>
    <xf numFmtId="0" fontId="24" fillId="12" borderId="38" xfId="0" applyFont="1" applyFill="1" applyBorder="1" applyAlignment="1">
      <alignment horizontal="center"/>
    </xf>
    <xf numFmtId="0" fontId="24" fillId="12" borderId="36" xfId="0" applyFont="1" applyFill="1" applyBorder="1" applyAlignment="1">
      <alignment horizontal="center"/>
    </xf>
    <xf numFmtId="0" fontId="24" fillId="12" borderId="37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/>
    </xf>
    <xf numFmtId="0" fontId="24" fillId="12" borderId="6" xfId="0" applyFont="1" applyFill="1" applyBorder="1" applyAlignment="1">
      <alignment horizontal="center"/>
    </xf>
    <xf numFmtId="164" fontId="25" fillId="12" borderId="32" xfId="1" applyNumberFormat="1" applyFont="1" applyFill="1" applyBorder="1" applyAlignment="1">
      <alignment horizontal="center" vertical="center"/>
    </xf>
    <xf numFmtId="164" fontId="25" fillId="12" borderId="1" xfId="1" applyNumberFormat="1" applyFont="1" applyFill="1" applyBorder="1" applyAlignment="1">
      <alignment horizontal="center" vertical="center"/>
    </xf>
    <xf numFmtId="164" fontId="25" fillId="12" borderId="45" xfId="1" applyNumberFormat="1" applyFont="1" applyFill="1" applyBorder="1" applyAlignment="1">
      <alignment horizontal="center" vertical="center"/>
    </xf>
    <xf numFmtId="164" fontId="25" fillId="12" borderId="36" xfId="1" applyNumberFormat="1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center"/>
    </xf>
  </cellXfs>
  <cellStyles count="2">
    <cellStyle name="Comma" xfId="1" builtinId="3"/>
    <cellStyle name="Normal" xfId="0" builtinId="0"/>
  </cellStyles>
  <dxfs count="3">
    <dxf>
      <font>
        <b/>
        <i val="0"/>
        <color theme="0"/>
      </font>
    </dxf>
    <dxf>
      <font>
        <b/>
        <i val="0"/>
        <color rgb="FFFF0000"/>
      </font>
    </dxf>
    <dxf>
      <font>
        <b/>
        <i val="0"/>
        <color theme="1"/>
      </font>
    </dxf>
  </dxfs>
  <tableStyles count="0" defaultTableStyle="TableStyleMedium2" defaultPivotStyle="PivotStyleLight16"/>
  <colors>
    <mruColors>
      <color rgb="FF99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gif"/><Relationship Id="rId13" Type="http://schemas.openxmlformats.org/officeDocument/2006/relationships/image" Target="../media/image13.gif"/><Relationship Id="rId18" Type="http://schemas.openxmlformats.org/officeDocument/2006/relationships/image" Target="../media/image18.gif"/><Relationship Id="rId3" Type="http://schemas.openxmlformats.org/officeDocument/2006/relationships/image" Target="../media/image3.gif"/><Relationship Id="rId21" Type="http://schemas.openxmlformats.org/officeDocument/2006/relationships/image" Target="../media/image21.gif"/><Relationship Id="rId7" Type="http://schemas.openxmlformats.org/officeDocument/2006/relationships/image" Target="../media/image7.gif"/><Relationship Id="rId12" Type="http://schemas.openxmlformats.org/officeDocument/2006/relationships/image" Target="../media/image12.gif"/><Relationship Id="rId17" Type="http://schemas.openxmlformats.org/officeDocument/2006/relationships/image" Target="../media/image17.gif"/><Relationship Id="rId2" Type="http://schemas.openxmlformats.org/officeDocument/2006/relationships/image" Target="../media/image2.gif"/><Relationship Id="rId16" Type="http://schemas.openxmlformats.org/officeDocument/2006/relationships/image" Target="../media/image16.gif"/><Relationship Id="rId20" Type="http://schemas.openxmlformats.org/officeDocument/2006/relationships/image" Target="../media/image20.gif"/><Relationship Id="rId1" Type="http://schemas.openxmlformats.org/officeDocument/2006/relationships/image" Target="../media/image1.gif"/><Relationship Id="rId6" Type="http://schemas.openxmlformats.org/officeDocument/2006/relationships/image" Target="../media/image6.gif"/><Relationship Id="rId11" Type="http://schemas.openxmlformats.org/officeDocument/2006/relationships/image" Target="../media/image11.gif"/><Relationship Id="rId5" Type="http://schemas.openxmlformats.org/officeDocument/2006/relationships/image" Target="../media/image5.gif"/><Relationship Id="rId15" Type="http://schemas.openxmlformats.org/officeDocument/2006/relationships/image" Target="../media/image15.gif"/><Relationship Id="rId10" Type="http://schemas.openxmlformats.org/officeDocument/2006/relationships/image" Target="../media/image10.gif"/><Relationship Id="rId19" Type="http://schemas.openxmlformats.org/officeDocument/2006/relationships/image" Target="../media/image19.jpeg"/><Relationship Id="rId4" Type="http://schemas.openxmlformats.org/officeDocument/2006/relationships/image" Target="../media/image4.gif"/><Relationship Id="rId9" Type="http://schemas.openxmlformats.org/officeDocument/2006/relationships/image" Target="../media/image9.gif"/><Relationship Id="rId14" Type="http://schemas.openxmlformats.org/officeDocument/2006/relationships/image" Target="../media/image14.gi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13" Type="http://schemas.openxmlformats.org/officeDocument/2006/relationships/image" Target="../media/image1.gif"/><Relationship Id="rId18" Type="http://schemas.openxmlformats.org/officeDocument/2006/relationships/image" Target="../media/image16.gif"/><Relationship Id="rId3" Type="http://schemas.openxmlformats.org/officeDocument/2006/relationships/image" Target="../media/image5.gif"/><Relationship Id="rId7" Type="http://schemas.openxmlformats.org/officeDocument/2006/relationships/image" Target="../media/image11.gif"/><Relationship Id="rId12" Type="http://schemas.openxmlformats.org/officeDocument/2006/relationships/image" Target="../media/image18.gif"/><Relationship Id="rId17" Type="http://schemas.openxmlformats.org/officeDocument/2006/relationships/image" Target="../media/image13.gif"/><Relationship Id="rId2" Type="http://schemas.openxmlformats.org/officeDocument/2006/relationships/image" Target="../media/image3.gif"/><Relationship Id="rId16" Type="http://schemas.openxmlformats.org/officeDocument/2006/relationships/image" Target="../media/image10.gif"/><Relationship Id="rId1" Type="http://schemas.openxmlformats.org/officeDocument/2006/relationships/image" Target="../media/image2.gif"/><Relationship Id="rId6" Type="http://schemas.openxmlformats.org/officeDocument/2006/relationships/image" Target="../media/image9.gif"/><Relationship Id="rId11" Type="http://schemas.openxmlformats.org/officeDocument/2006/relationships/image" Target="../media/image17.gif"/><Relationship Id="rId5" Type="http://schemas.openxmlformats.org/officeDocument/2006/relationships/image" Target="../media/image8.gif"/><Relationship Id="rId15" Type="http://schemas.openxmlformats.org/officeDocument/2006/relationships/image" Target="../media/image7.gif"/><Relationship Id="rId10" Type="http://schemas.openxmlformats.org/officeDocument/2006/relationships/image" Target="../media/image15.gif"/><Relationship Id="rId19" Type="http://schemas.openxmlformats.org/officeDocument/2006/relationships/image" Target="../media/image24.gif"/><Relationship Id="rId4" Type="http://schemas.openxmlformats.org/officeDocument/2006/relationships/image" Target="../media/image6.gif"/><Relationship Id="rId9" Type="http://schemas.openxmlformats.org/officeDocument/2006/relationships/image" Target="../media/image14.gif"/><Relationship Id="rId14" Type="http://schemas.openxmlformats.org/officeDocument/2006/relationships/image" Target="../media/image4.gi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592667</xdr:colOff>
      <xdr:row>5</xdr:row>
      <xdr:rowOff>95250</xdr:rowOff>
    </xdr:from>
    <xdr:ext cx="582083" cy="1968488"/>
    <xdr:sp macro="" textlink="">
      <xdr:nvSpPr>
        <xdr:cNvPr id="5" name="Rectangle 4"/>
        <xdr:cNvSpPr/>
      </xdr:nvSpPr>
      <xdr:spPr>
        <a:xfrm>
          <a:off x="592667" y="296333"/>
          <a:ext cx="582083" cy="1968488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threePt" dir="t"/>
          </a:scene3d>
          <a:sp3d contourW="12700" prstMaterial="metal">
            <a:bevelT w="50800"/>
            <a:contourClr>
              <a:srgbClr val="FFC000"/>
            </a:contourClr>
          </a:sp3d>
        </a:bodyPr>
        <a:lstStyle/>
        <a:p>
          <a:pPr algn="ctr"/>
          <a:r>
            <a:rPr lang="zh-CN" altLang="en-US" sz="5400" b="1" cap="none" spc="0">
              <a:ln w="10160">
                <a:solidFill>
                  <a:schemeClr val="accent5"/>
                </a:solidFill>
                <a:prstDash val="solid"/>
              </a:ln>
              <a:gradFill>
                <a:gsLst>
                  <a:gs pos="55756">
                    <a:schemeClr val="bg1"/>
                  </a:gs>
                  <a:gs pos="18000">
                    <a:srgbClr val="FFC000"/>
                  </a:gs>
                  <a:gs pos="44000">
                    <a:srgbClr val="FFFF00"/>
                  </a:gs>
                  <a:gs pos="71000">
                    <a:srgbClr val="FFFF00"/>
                  </a:gs>
                  <a:gs pos="76000">
                    <a:srgbClr val="FFC000"/>
                  </a:gs>
                </a:gsLst>
                <a:lin ang="5400000" scaled="0"/>
              </a:gradFill>
              <a:effectLst>
                <a:glow rad="228600">
                  <a:schemeClr val="accent4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大小</a:t>
          </a:r>
          <a:endParaRPr lang="en-US" sz="5400" b="1" cap="none" spc="0">
            <a:ln w="10160">
              <a:solidFill>
                <a:schemeClr val="accent5"/>
              </a:solidFill>
              <a:prstDash val="solid"/>
            </a:ln>
            <a:gradFill>
              <a:gsLst>
                <a:gs pos="55756">
                  <a:schemeClr val="bg1"/>
                </a:gs>
                <a:gs pos="18000">
                  <a:srgbClr val="FFC000"/>
                </a:gs>
                <a:gs pos="44000">
                  <a:srgbClr val="FFFF00"/>
                </a:gs>
                <a:gs pos="71000">
                  <a:srgbClr val="FFFF00"/>
                </a:gs>
                <a:gs pos="76000">
                  <a:srgbClr val="FFC000"/>
                </a:gs>
              </a:gsLst>
              <a:lin ang="5400000" scaled="0"/>
            </a:gradFill>
            <a:effectLst>
              <a:glow rad="228600">
                <a:schemeClr val="accent4">
                  <a:satMod val="175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  <xdr:twoCellAnchor>
    <xdr:from>
      <xdr:col>17</xdr:col>
      <xdr:colOff>304800</xdr:colOff>
      <xdr:row>9</xdr:row>
      <xdr:rowOff>53975</xdr:rowOff>
    </xdr:from>
    <xdr:to>
      <xdr:col>20</xdr:col>
      <xdr:colOff>381000</xdr:colOff>
      <xdr:row>19</xdr:row>
      <xdr:rowOff>34925</xdr:rowOff>
    </xdr:to>
    <xdr:sp macro="" textlink="">
      <xdr:nvSpPr>
        <xdr:cNvPr id="7" name="OvalDice"/>
        <xdr:cNvSpPr/>
      </xdr:nvSpPr>
      <xdr:spPr>
        <a:xfrm>
          <a:off x="10668000" y="1016000"/>
          <a:ext cx="1905000" cy="1905000"/>
        </a:xfrm>
        <a:prstGeom prst="ellipse">
          <a:avLst/>
        </a:prstGeom>
        <a:solidFill>
          <a:srgbClr val="00B050"/>
        </a:solidFill>
        <a:ln w="38100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17</xdr:col>
      <xdr:colOff>431800</xdr:colOff>
      <xdr:row>20</xdr:row>
      <xdr:rowOff>88900</xdr:rowOff>
    </xdr:from>
    <xdr:to>
      <xdr:col>18</xdr:col>
      <xdr:colOff>326961</xdr:colOff>
      <xdr:row>22</xdr:row>
      <xdr:rowOff>168275</xdr:rowOff>
    </xdr:to>
    <xdr:pic>
      <xdr:nvPicPr>
        <xdr:cNvPr id="171" name="Dice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5000" y="3175000"/>
          <a:ext cx="504761" cy="508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431800</xdr:colOff>
      <xdr:row>20</xdr:row>
      <xdr:rowOff>88900</xdr:rowOff>
    </xdr:from>
    <xdr:to>
      <xdr:col>18</xdr:col>
      <xdr:colOff>330200</xdr:colOff>
      <xdr:row>22</xdr:row>
      <xdr:rowOff>168275</xdr:rowOff>
    </xdr:to>
    <xdr:pic>
      <xdr:nvPicPr>
        <xdr:cNvPr id="172" name="Dice11a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50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431800</xdr:colOff>
      <xdr:row>20</xdr:row>
      <xdr:rowOff>88900</xdr:rowOff>
    </xdr:from>
    <xdr:to>
      <xdr:col>18</xdr:col>
      <xdr:colOff>330200</xdr:colOff>
      <xdr:row>22</xdr:row>
      <xdr:rowOff>168275</xdr:rowOff>
    </xdr:to>
    <xdr:pic>
      <xdr:nvPicPr>
        <xdr:cNvPr id="173" name="Dice11b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50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431800</xdr:colOff>
      <xdr:row>20</xdr:row>
      <xdr:rowOff>88900</xdr:rowOff>
    </xdr:from>
    <xdr:to>
      <xdr:col>18</xdr:col>
      <xdr:colOff>325529</xdr:colOff>
      <xdr:row>22</xdr:row>
      <xdr:rowOff>168275</xdr:rowOff>
    </xdr:to>
    <xdr:pic>
      <xdr:nvPicPr>
        <xdr:cNvPr id="174" name="Dice12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5000" y="3175000"/>
          <a:ext cx="503329" cy="508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431800</xdr:colOff>
      <xdr:row>20</xdr:row>
      <xdr:rowOff>88900</xdr:rowOff>
    </xdr:from>
    <xdr:to>
      <xdr:col>18</xdr:col>
      <xdr:colOff>330200</xdr:colOff>
      <xdr:row>22</xdr:row>
      <xdr:rowOff>168275</xdr:rowOff>
    </xdr:to>
    <xdr:pic>
      <xdr:nvPicPr>
        <xdr:cNvPr id="175" name="Dice12a"/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50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431800</xdr:colOff>
      <xdr:row>20</xdr:row>
      <xdr:rowOff>88900</xdr:rowOff>
    </xdr:from>
    <xdr:to>
      <xdr:col>18</xdr:col>
      <xdr:colOff>330200</xdr:colOff>
      <xdr:row>22</xdr:row>
      <xdr:rowOff>168275</xdr:rowOff>
    </xdr:to>
    <xdr:pic>
      <xdr:nvPicPr>
        <xdr:cNvPr id="176" name="Dice12b"/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50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431800</xdr:colOff>
      <xdr:row>20</xdr:row>
      <xdr:rowOff>88900</xdr:rowOff>
    </xdr:from>
    <xdr:to>
      <xdr:col>18</xdr:col>
      <xdr:colOff>328776</xdr:colOff>
      <xdr:row>22</xdr:row>
      <xdr:rowOff>168275</xdr:rowOff>
    </xdr:to>
    <xdr:pic>
      <xdr:nvPicPr>
        <xdr:cNvPr id="177" name="Dice13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5000" y="3175000"/>
          <a:ext cx="506576" cy="508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431800</xdr:colOff>
      <xdr:row>20</xdr:row>
      <xdr:rowOff>88900</xdr:rowOff>
    </xdr:from>
    <xdr:to>
      <xdr:col>18</xdr:col>
      <xdr:colOff>330200</xdr:colOff>
      <xdr:row>22</xdr:row>
      <xdr:rowOff>168275</xdr:rowOff>
    </xdr:to>
    <xdr:pic>
      <xdr:nvPicPr>
        <xdr:cNvPr id="178" name="Dice13a"/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50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431800</xdr:colOff>
      <xdr:row>20</xdr:row>
      <xdr:rowOff>88900</xdr:rowOff>
    </xdr:from>
    <xdr:to>
      <xdr:col>18</xdr:col>
      <xdr:colOff>330200</xdr:colOff>
      <xdr:row>22</xdr:row>
      <xdr:rowOff>168275</xdr:rowOff>
    </xdr:to>
    <xdr:pic>
      <xdr:nvPicPr>
        <xdr:cNvPr id="179" name="Dice13b"/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50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431800</xdr:colOff>
      <xdr:row>11</xdr:row>
      <xdr:rowOff>53975</xdr:rowOff>
    </xdr:from>
    <xdr:to>
      <xdr:col>18</xdr:col>
      <xdr:colOff>326961</xdr:colOff>
      <xdr:row>13</xdr:row>
      <xdr:rowOff>180975</xdr:rowOff>
    </xdr:to>
    <xdr:pic>
      <xdr:nvPicPr>
        <xdr:cNvPr id="180" name="Dice14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5000" y="1397000"/>
          <a:ext cx="504761" cy="508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431800</xdr:colOff>
      <xdr:row>20</xdr:row>
      <xdr:rowOff>88900</xdr:rowOff>
    </xdr:from>
    <xdr:to>
      <xdr:col>18</xdr:col>
      <xdr:colOff>330200</xdr:colOff>
      <xdr:row>22</xdr:row>
      <xdr:rowOff>168275</xdr:rowOff>
    </xdr:to>
    <xdr:pic>
      <xdr:nvPicPr>
        <xdr:cNvPr id="181" name="Dice14a"/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50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431800</xdr:colOff>
      <xdr:row>20</xdr:row>
      <xdr:rowOff>88900</xdr:rowOff>
    </xdr:from>
    <xdr:to>
      <xdr:col>18</xdr:col>
      <xdr:colOff>330200</xdr:colOff>
      <xdr:row>22</xdr:row>
      <xdr:rowOff>168275</xdr:rowOff>
    </xdr:to>
    <xdr:pic>
      <xdr:nvPicPr>
        <xdr:cNvPr id="182" name="Dice14b"/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50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431800</xdr:colOff>
      <xdr:row>20</xdr:row>
      <xdr:rowOff>88900</xdr:rowOff>
    </xdr:from>
    <xdr:to>
      <xdr:col>18</xdr:col>
      <xdr:colOff>339869</xdr:colOff>
      <xdr:row>22</xdr:row>
      <xdr:rowOff>168275</xdr:rowOff>
    </xdr:to>
    <xdr:pic>
      <xdr:nvPicPr>
        <xdr:cNvPr id="183" name="Dice15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5000" y="3175000"/>
          <a:ext cx="517669" cy="508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431800</xdr:colOff>
      <xdr:row>20</xdr:row>
      <xdr:rowOff>88900</xdr:rowOff>
    </xdr:from>
    <xdr:to>
      <xdr:col>18</xdr:col>
      <xdr:colOff>330200</xdr:colOff>
      <xdr:row>22</xdr:row>
      <xdr:rowOff>168275</xdr:rowOff>
    </xdr:to>
    <xdr:pic>
      <xdr:nvPicPr>
        <xdr:cNvPr id="184" name="Dice15a"/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50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431800</xdr:colOff>
      <xdr:row>20</xdr:row>
      <xdr:rowOff>88900</xdr:rowOff>
    </xdr:from>
    <xdr:to>
      <xdr:col>18</xdr:col>
      <xdr:colOff>330200</xdr:colOff>
      <xdr:row>22</xdr:row>
      <xdr:rowOff>168275</xdr:rowOff>
    </xdr:to>
    <xdr:pic>
      <xdr:nvPicPr>
        <xdr:cNvPr id="185" name="Dice15b"/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50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431800</xdr:colOff>
      <xdr:row>20</xdr:row>
      <xdr:rowOff>88900</xdr:rowOff>
    </xdr:from>
    <xdr:to>
      <xdr:col>18</xdr:col>
      <xdr:colOff>328774</xdr:colOff>
      <xdr:row>22</xdr:row>
      <xdr:rowOff>168275</xdr:rowOff>
    </xdr:to>
    <xdr:pic>
      <xdr:nvPicPr>
        <xdr:cNvPr id="186" name="Dice16"/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5000" y="3175000"/>
          <a:ext cx="506574" cy="508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431800</xdr:colOff>
      <xdr:row>20</xdr:row>
      <xdr:rowOff>88900</xdr:rowOff>
    </xdr:from>
    <xdr:to>
      <xdr:col>18</xdr:col>
      <xdr:colOff>330200</xdr:colOff>
      <xdr:row>22</xdr:row>
      <xdr:rowOff>168275</xdr:rowOff>
    </xdr:to>
    <xdr:pic>
      <xdr:nvPicPr>
        <xdr:cNvPr id="187" name="Dice16a"/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50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431800</xdr:colOff>
      <xdr:row>20</xdr:row>
      <xdr:rowOff>88900</xdr:rowOff>
    </xdr:from>
    <xdr:to>
      <xdr:col>18</xdr:col>
      <xdr:colOff>330200</xdr:colOff>
      <xdr:row>22</xdr:row>
      <xdr:rowOff>168275</xdr:rowOff>
    </xdr:to>
    <xdr:pic>
      <xdr:nvPicPr>
        <xdr:cNvPr id="188" name="Dice16b"/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50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393700</xdr:colOff>
      <xdr:row>20</xdr:row>
      <xdr:rowOff>88900</xdr:rowOff>
    </xdr:from>
    <xdr:to>
      <xdr:col>19</xdr:col>
      <xdr:colOff>288861</xdr:colOff>
      <xdr:row>22</xdr:row>
      <xdr:rowOff>168275</xdr:rowOff>
    </xdr:to>
    <xdr:pic>
      <xdr:nvPicPr>
        <xdr:cNvPr id="189" name="Dice2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3175000"/>
          <a:ext cx="504761" cy="50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393700</xdr:colOff>
      <xdr:row>20</xdr:row>
      <xdr:rowOff>88900</xdr:rowOff>
    </xdr:from>
    <xdr:to>
      <xdr:col>19</xdr:col>
      <xdr:colOff>292100</xdr:colOff>
      <xdr:row>22</xdr:row>
      <xdr:rowOff>168275</xdr:rowOff>
    </xdr:to>
    <xdr:pic>
      <xdr:nvPicPr>
        <xdr:cNvPr id="190" name="Dice21a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393700</xdr:colOff>
      <xdr:row>20</xdr:row>
      <xdr:rowOff>88900</xdr:rowOff>
    </xdr:from>
    <xdr:to>
      <xdr:col>19</xdr:col>
      <xdr:colOff>292100</xdr:colOff>
      <xdr:row>22</xdr:row>
      <xdr:rowOff>168275</xdr:rowOff>
    </xdr:to>
    <xdr:pic>
      <xdr:nvPicPr>
        <xdr:cNvPr id="191" name="Dice21b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393700</xdr:colOff>
      <xdr:row>13</xdr:row>
      <xdr:rowOff>180975</xdr:rowOff>
    </xdr:from>
    <xdr:to>
      <xdr:col>19</xdr:col>
      <xdr:colOff>287429</xdr:colOff>
      <xdr:row>16</xdr:row>
      <xdr:rowOff>107950</xdr:rowOff>
    </xdr:to>
    <xdr:pic>
      <xdr:nvPicPr>
        <xdr:cNvPr id="192" name="Dice22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1905000"/>
          <a:ext cx="503329" cy="50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393700</xdr:colOff>
      <xdr:row>20</xdr:row>
      <xdr:rowOff>88900</xdr:rowOff>
    </xdr:from>
    <xdr:to>
      <xdr:col>19</xdr:col>
      <xdr:colOff>292100</xdr:colOff>
      <xdr:row>22</xdr:row>
      <xdr:rowOff>168275</xdr:rowOff>
    </xdr:to>
    <xdr:pic>
      <xdr:nvPicPr>
        <xdr:cNvPr id="193" name="Dice22a"/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393700</xdr:colOff>
      <xdr:row>20</xdr:row>
      <xdr:rowOff>88900</xdr:rowOff>
    </xdr:from>
    <xdr:to>
      <xdr:col>19</xdr:col>
      <xdr:colOff>292100</xdr:colOff>
      <xdr:row>22</xdr:row>
      <xdr:rowOff>168275</xdr:rowOff>
    </xdr:to>
    <xdr:pic>
      <xdr:nvPicPr>
        <xdr:cNvPr id="194" name="Dice22b"/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393700</xdr:colOff>
      <xdr:row>20</xdr:row>
      <xdr:rowOff>88900</xdr:rowOff>
    </xdr:from>
    <xdr:to>
      <xdr:col>19</xdr:col>
      <xdr:colOff>290676</xdr:colOff>
      <xdr:row>22</xdr:row>
      <xdr:rowOff>168275</xdr:rowOff>
    </xdr:to>
    <xdr:pic>
      <xdr:nvPicPr>
        <xdr:cNvPr id="195" name="Dice23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3175000"/>
          <a:ext cx="506576" cy="50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393700</xdr:colOff>
      <xdr:row>20</xdr:row>
      <xdr:rowOff>88900</xdr:rowOff>
    </xdr:from>
    <xdr:to>
      <xdr:col>19</xdr:col>
      <xdr:colOff>292100</xdr:colOff>
      <xdr:row>22</xdr:row>
      <xdr:rowOff>168275</xdr:rowOff>
    </xdr:to>
    <xdr:pic>
      <xdr:nvPicPr>
        <xdr:cNvPr id="196" name="Dice23a"/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393700</xdr:colOff>
      <xdr:row>20</xdr:row>
      <xdr:rowOff>88900</xdr:rowOff>
    </xdr:from>
    <xdr:to>
      <xdr:col>19</xdr:col>
      <xdr:colOff>292100</xdr:colOff>
      <xdr:row>22</xdr:row>
      <xdr:rowOff>168275</xdr:rowOff>
    </xdr:to>
    <xdr:pic>
      <xdr:nvPicPr>
        <xdr:cNvPr id="197" name="Dice23b"/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393700</xdr:colOff>
      <xdr:row>20</xdr:row>
      <xdr:rowOff>88900</xdr:rowOff>
    </xdr:from>
    <xdr:to>
      <xdr:col>19</xdr:col>
      <xdr:colOff>288861</xdr:colOff>
      <xdr:row>22</xdr:row>
      <xdr:rowOff>168275</xdr:rowOff>
    </xdr:to>
    <xdr:pic>
      <xdr:nvPicPr>
        <xdr:cNvPr id="198" name="Dice24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3175000"/>
          <a:ext cx="504761" cy="50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393700</xdr:colOff>
      <xdr:row>20</xdr:row>
      <xdr:rowOff>88900</xdr:rowOff>
    </xdr:from>
    <xdr:to>
      <xdr:col>19</xdr:col>
      <xdr:colOff>292100</xdr:colOff>
      <xdr:row>22</xdr:row>
      <xdr:rowOff>168275</xdr:rowOff>
    </xdr:to>
    <xdr:pic>
      <xdr:nvPicPr>
        <xdr:cNvPr id="199" name="Dice24a"/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393700</xdr:colOff>
      <xdr:row>20</xdr:row>
      <xdr:rowOff>88900</xdr:rowOff>
    </xdr:from>
    <xdr:to>
      <xdr:col>19</xdr:col>
      <xdr:colOff>292100</xdr:colOff>
      <xdr:row>22</xdr:row>
      <xdr:rowOff>168275</xdr:rowOff>
    </xdr:to>
    <xdr:pic>
      <xdr:nvPicPr>
        <xdr:cNvPr id="200" name="Dice24b"/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393700</xdr:colOff>
      <xdr:row>20</xdr:row>
      <xdr:rowOff>88900</xdr:rowOff>
    </xdr:from>
    <xdr:to>
      <xdr:col>19</xdr:col>
      <xdr:colOff>301769</xdr:colOff>
      <xdr:row>22</xdr:row>
      <xdr:rowOff>168275</xdr:rowOff>
    </xdr:to>
    <xdr:pic>
      <xdr:nvPicPr>
        <xdr:cNvPr id="201" name="Dice25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3175000"/>
          <a:ext cx="517669" cy="50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393700</xdr:colOff>
      <xdr:row>20</xdr:row>
      <xdr:rowOff>88900</xdr:rowOff>
    </xdr:from>
    <xdr:to>
      <xdr:col>19</xdr:col>
      <xdr:colOff>292100</xdr:colOff>
      <xdr:row>22</xdr:row>
      <xdr:rowOff>168275</xdr:rowOff>
    </xdr:to>
    <xdr:pic>
      <xdr:nvPicPr>
        <xdr:cNvPr id="202" name="Dice25a"/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393700</xdr:colOff>
      <xdr:row>20</xdr:row>
      <xdr:rowOff>88900</xdr:rowOff>
    </xdr:from>
    <xdr:to>
      <xdr:col>19</xdr:col>
      <xdr:colOff>292100</xdr:colOff>
      <xdr:row>22</xdr:row>
      <xdr:rowOff>168275</xdr:rowOff>
    </xdr:to>
    <xdr:pic>
      <xdr:nvPicPr>
        <xdr:cNvPr id="203" name="Dice25b"/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393700</xdr:colOff>
      <xdr:row>20</xdr:row>
      <xdr:rowOff>88900</xdr:rowOff>
    </xdr:from>
    <xdr:to>
      <xdr:col>19</xdr:col>
      <xdr:colOff>290673</xdr:colOff>
      <xdr:row>22</xdr:row>
      <xdr:rowOff>168275</xdr:rowOff>
    </xdr:to>
    <xdr:pic>
      <xdr:nvPicPr>
        <xdr:cNvPr id="204" name="Dice26"/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3175000"/>
          <a:ext cx="506573" cy="50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393700</xdr:colOff>
      <xdr:row>20</xdr:row>
      <xdr:rowOff>88900</xdr:rowOff>
    </xdr:from>
    <xdr:to>
      <xdr:col>19</xdr:col>
      <xdr:colOff>292100</xdr:colOff>
      <xdr:row>22</xdr:row>
      <xdr:rowOff>168275</xdr:rowOff>
    </xdr:to>
    <xdr:pic>
      <xdr:nvPicPr>
        <xdr:cNvPr id="205" name="Dice26a"/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393700</xdr:colOff>
      <xdr:row>20</xdr:row>
      <xdr:rowOff>88900</xdr:rowOff>
    </xdr:from>
    <xdr:to>
      <xdr:col>19</xdr:col>
      <xdr:colOff>292100</xdr:colOff>
      <xdr:row>22</xdr:row>
      <xdr:rowOff>168275</xdr:rowOff>
    </xdr:to>
    <xdr:pic>
      <xdr:nvPicPr>
        <xdr:cNvPr id="206" name="Dice26b"/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393700</xdr:colOff>
      <xdr:row>9</xdr:row>
      <xdr:rowOff>53975</xdr:rowOff>
    </xdr:from>
    <xdr:to>
      <xdr:col>19</xdr:col>
      <xdr:colOff>288861</xdr:colOff>
      <xdr:row>11</xdr:row>
      <xdr:rowOff>180975</xdr:rowOff>
    </xdr:to>
    <xdr:pic>
      <xdr:nvPicPr>
        <xdr:cNvPr id="207" name="Dice3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6500" y="1016000"/>
          <a:ext cx="504761" cy="508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355600</xdr:colOff>
      <xdr:row>20</xdr:row>
      <xdr:rowOff>88900</xdr:rowOff>
    </xdr:from>
    <xdr:to>
      <xdr:col>20</xdr:col>
      <xdr:colOff>254000</xdr:colOff>
      <xdr:row>22</xdr:row>
      <xdr:rowOff>168275</xdr:rowOff>
    </xdr:to>
    <xdr:pic>
      <xdr:nvPicPr>
        <xdr:cNvPr id="208" name="Dice31a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380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355600</xdr:colOff>
      <xdr:row>20</xdr:row>
      <xdr:rowOff>88900</xdr:rowOff>
    </xdr:from>
    <xdr:to>
      <xdr:col>20</xdr:col>
      <xdr:colOff>254000</xdr:colOff>
      <xdr:row>22</xdr:row>
      <xdr:rowOff>168275</xdr:rowOff>
    </xdr:to>
    <xdr:pic>
      <xdr:nvPicPr>
        <xdr:cNvPr id="209" name="Dice31b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380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355600</xdr:colOff>
      <xdr:row>20</xdr:row>
      <xdr:rowOff>88900</xdr:rowOff>
    </xdr:from>
    <xdr:to>
      <xdr:col>20</xdr:col>
      <xdr:colOff>249329</xdr:colOff>
      <xdr:row>22</xdr:row>
      <xdr:rowOff>168275</xdr:rowOff>
    </xdr:to>
    <xdr:pic>
      <xdr:nvPicPr>
        <xdr:cNvPr id="210" name="Dice32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38000" y="3175000"/>
          <a:ext cx="503329" cy="508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355600</xdr:colOff>
      <xdr:row>20</xdr:row>
      <xdr:rowOff>88900</xdr:rowOff>
    </xdr:from>
    <xdr:to>
      <xdr:col>20</xdr:col>
      <xdr:colOff>254000</xdr:colOff>
      <xdr:row>22</xdr:row>
      <xdr:rowOff>168275</xdr:rowOff>
    </xdr:to>
    <xdr:pic>
      <xdr:nvPicPr>
        <xdr:cNvPr id="211" name="Dice32a"/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380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355600</xdr:colOff>
      <xdr:row>20</xdr:row>
      <xdr:rowOff>88900</xdr:rowOff>
    </xdr:from>
    <xdr:to>
      <xdr:col>20</xdr:col>
      <xdr:colOff>254000</xdr:colOff>
      <xdr:row>22</xdr:row>
      <xdr:rowOff>168275</xdr:rowOff>
    </xdr:to>
    <xdr:pic>
      <xdr:nvPicPr>
        <xdr:cNvPr id="212" name="Dice32b"/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380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355600</xdr:colOff>
      <xdr:row>20</xdr:row>
      <xdr:rowOff>88900</xdr:rowOff>
    </xdr:from>
    <xdr:to>
      <xdr:col>20</xdr:col>
      <xdr:colOff>252576</xdr:colOff>
      <xdr:row>22</xdr:row>
      <xdr:rowOff>168275</xdr:rowOff>
    </xdr:to>
    <xdr:pic>
      <xdr:nvPicPr>
        <xdr:cNvPr id="213" name="Dice33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38000" y="3175000"/>
          <a:ext cx="506576" cy="508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355600</xdr:colOff>
      <xdr:row>20</xdr:row>
      <xdr:rowOff>88900</xdr:rowOff>
    </xdr:from>
    <xdr:to>
      <xdr:col>20</xdr:col>
      <xdr:colOff>254000</xdr:colOff>
      <xdr:row>22</xdr:row>
      <xdr:rowOff>168275</xdr:rowOff>
    </xdr:to>
    <xdr:pic>
      <xdr:nvPicPr>
        <xdr:cNvPr id="214" name="Dice33a"/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380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355600</xdr:colOff>
      <xdr:row>20</xdr:row>
      <xdr:rowOff>88900</xdr:rowOff>
    </xdr:from>
    <xdr:to>
      <xdr:col>20</xdr:col>
      <xdr:colOff>254000</xdr:colOff>
      <xdr:row>22</xdr:row>
      <xdr:rowOff>168275</xdr:rowOff>
    </xdr:to>
    <xdr:pic>
      <xdr:nvPicPr>
        <xdr:cNvPr id="215" name="Dice33b"/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380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355600</xdr:colOff>
      <xdr:row>20</xdr:row>
      <xdr:rowOff>88900</xdr:rowOff>
    </xdr:from>
    <xdr:to>
      <xdr:col>20</xdr:col>
      <xdr:colOff>265142</xdr:colOff>
      <xdr:row>22</xdr:row>
      <xdr:rowOff>168275</xdr:rowOff>
    </xdr:to>
    <xdr:pic>
      <xdr:nvPicPr>
        <xdr:cNvPr id="216" name="Dice34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38000" y="3175000"/>
          <a:ext cx="519142" cy="508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355600</xdr:colOff>
      <xdr:row>20</xdr:row>
      <xdr:rowOff>88900</xdr:rowOff>
    </xdr:from>
    <xdr:to>
      <xdr:col>20</xdr:col>
      <xdr:colOff>254000</xdr:colOff>
      <xdr:row>22</xdr:row>
      <xdr:rowOff>168275</xdr:rowOff>
    </xdr:to>
    <xdr:pic>
      <xdr:nvPicPr>
        <xdr:cNvPr id="217" name="Dice34a"/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380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355600</xdr:colOff>
      <xdr:row>20</xdr:row>
      <xdr:rowOff>88900</xdr:rowOff>
    </xdr:from>
    <xdr:to>
      <xdr:col>20</xdr:col>
      <xdr:colOff>254000</xdr:colOff>
      <xdr:row>22</xdr:row>
      <xdr:rowOff>168275</xdr:rowOff>
    </xdr:to>
    <xdr:pic>
      <xdr:nvPicPr>
        <xdr:cNvPr id="218" name="Dice34b"/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380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355600</xdr:colOff>
      <xdr:row>20</xdr:row>
      <xdr:rowOff>88900</xdr:rowOff>
    </xdr:from>
    <xdr:to>
      <xdr:col>20</xdr:col>
      <xdr:colOff>249328</xdr:colOff>
      <xdr:row>22</xdr:row>
      <xdr:rowOff>168275</xdr:rowOff>
    </xdr:to>
    <xdr:pic>
      <xdr:nvPicPr>
        <xdr:cNvPr id="219" name="Dice35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38000" y="3175000"/>
          <a:ext cx="503328" cy="508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355600</xdr:colOff>
      <xdr:row>20</xdr:row>
      <xdr:rowOff>88900</xdr:rowOff>
    </xdr:from>
    <xdr:to>
      <xdr:col>20</xdr:col>
      <xdr:colOff>254000</xdr:colOff>
      <xdr:row>22</xdr:row>
      <xdr:rowOff>168275</xdr:rowOff>
    </xdr:to>
    <xdr:pic>
      <xdr:nvPicPr>
        <xdr:cNvPr id="220" name="Dice35a"/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380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355600</xdr:colOff>
      <xdr:row>20</xdr:row>
      <xdr:rowOff>88900</xdr:rowOff>
    </xdr:from>
    <xdr:to>
      <xdr:col>20</xdr:col>
      <xdr:colOff>254000</xdr:colOff>
      <xdr:row>22</xdr:row>
      <xdr:rowOff>168275</xdr:rowOff>
    </xdr:to>
    <xdr:pic>
      <xdr:nvPicPr>
        <xdr:cNvPr id="221" name="Dice35b"/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380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355600</xdr:colOff>
      <xdr:row>20</xdr:row>
      <xdr:rowOff>88900</xdr:rowOff>
    </xdr:from>
    <xdr:to>
      <xdr:col>20</xdr:col>
      <xdr:colOff>252574</xdr:colOff>
      <xdr:row>22</xdr:row>
      <xdr:rowOff>168275</xdr:rowOff>
    </xdr:to>
    <xdr:pic>
      <xdr:nvPicPr>
        <xdr:cNvPr id="222" name="Dice36"/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38000" y="3175000"/>
          <a:ext cx="506574" cy="508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355600</xdr:colOff>
      <xdr:row>20</xdr:row>
      <xdr:rowOff>88900</xdr:rowOff>
    </xdr:from>
    <xdr:to>
      <xdr:col>20</xdr:col>
      <xdr:colOff>254000</xdr:colOff>
      <xdr:row>22</xdr:row>
      <xdr:rowOff>168275</xdr:rowOff>
    </xdr:to>
    <xdr:pic>
      <xdr:nvPicPr>
        <xdr:cNvPr id="223" name="Dice36a"/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38000" y="3175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355600</xdr:colOff>
      <xdr:row>20</xdr:row>
      <xdr:rowOff>88900</xdr:rowOff>
    </xdr:from>
    <xdr:to>
      <xdr:col>20</xdr:col>
      <xdr:colOff>254000</xdr:colOff>
      <xdr:row>22</xdr:row>
      <xdr:rowOff>168275</xdr:rowOff>
    </xdr:to>
    <xdr:pic>
      <xdr:nvPicPr>
        <xdr:cNvPr id="224" name="Dice36b"/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38000" y="3175000"/>
          <a:ext cx="508000" cy="508000"/>
        </a:xfrm>
        <a:prstGeom prst="rect">
          <a:avLst/>
        </a:prstGeom>
      </xdr:spPr>
    </xdr:pic>
    <xdr:clientData/>
  </xdr:twoCellAnchor>
  <xdr:twoCellAnchor>
    <xdr:from>
      <xdr:col>17</xdr:col>
      <xdr:colOff>33867</xdr:colOff>
      <xdr:row>19</xdr:row>
      <xdr:rowOff>110067</xdr:rowOff>
    </xdr:from>
    <xdr:to>
      <xdr:col>21</xdr:col>
      <xdr:colOff>52917</xdr:colOff>
      <xdr:row>26</xdr:row>
      <xdr:rowOff>21167</xdr:rowOff>
    </xdr:to>
    <xdr:sp macro="[0]!Start" textlink="">
      <xdr:nvSpPr>
        <xdr:cNvPr id="6" name="Rounded Rectangle 5"/>
        <xdr:cNvSpPr/>
      </xdr:nvSpPr>
      <xdr:spPr>
        <a:xfrm>
          <a:off x="10469034" y="2999317"/>
          <a:ext cx="2474383" cy="1308100"/>
        </a:xfrm>
        <a:prstGeom prst="roundRect">
          <a:avLst/>
        </a:prstGeom>
        <a:solidFill>
          <a:srgbClr val="00B050"/>
        </a:solidFill>
        <a:ln>
          <a:solidFill>
            <a:srgbClr val="99FF33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/>
            <a:t>START</a:t>
          </a:r>
        </a:p>
      </xdr:txBody>
    </xdr:sp>
    <xdr:clientData/>
  </xdr:twoCellAnchor>
  <xdr:twoCellAnchor>
    <xdr:from>
      <xdr:col>1</xdr:col>
      <xdr:colOff>10584</xdr:colOff>
      <xdr:row>24</xdr:row>
      <xdr:rowOff>63500</xdr:rowOff>
    </xdr:from>
    <xdr:to>
      <xdr:col>2</xdr:col>
      <xdr:colOff>582083</xdr:colOff>
      <xdr:row>26</xdr:row>
      <xdr:rowOff>0</xdr:rowOff>
    </xdr:to>
    <xdr:sp macro="[0]!_xludf.CLear" textlink="">
      <xdr:nvSpPr>
        <xdr:cNvPr id="2" name="Rounded Rectangle 1"/>
        <xdr:cNvSpPr/>
      </xdr:nvSpPr>
      <xdr:spPr>
        <a:xfrm>
          <a:off x="624417" y="3958167"/>
          <a:ext cx="1185333" cy="328083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ALL BETS</a:t>
          </a:r>
        </a:p>
      </xdr:txBody>
    </xdr:sp>
    <xdr:clientData/>
  </xdr:twoCellAnchor>
  <xdr:twoCellAnchor>
    <xdr:from>
      <xdr:col>20</xdr:col>
      <xdr:colOff>10583</xdr:colOff>
      <xdr:row>4</xdr:row>
      <xdr:rowOff>21167</xdr:rowOff>
    </xdr:from>
    <xdr:to>
      <xdr:col>21</xdr:col>
      <xdr:colOff>539750</xdr:colOff>
      <xdr:row>5</xdr:row>
      <xdr:rowOff>148167</xdr:rowOff>
    </xdr:to>
    <xdr:sp macro="[0]!ATM" textlink="">
      <xdr:nvSpPr>
        <xdr:cNvPr id="3" name="Rounded Rectangle 2"/>
        <xdr:cNvSpPr/>
      </xdr:nvSpPr>
      <xdr:spPr>
        <a:xfrm>
          <a:off x="12287250" y="21167"/>
          <a:ext cx="1143000" cy="32808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ATM</a:t>
          </a:r>
        </a:p>
      </xdr:txBody>
    </xdr:sp>
    <xdr:clientData/>
  </xdr:twoCellAnchor>
  <xdr:twoCellAnchor editAs="oneCell">
    <xdr:from>
      <xdr:col>3</xdr:col>
      <xdr:colOff>284513</xdr:colOff>
      <xdr:row>29</xdr:row>
      <xdr:rowOff>173182</xdr:rowOff>
    </xdr:from>
    <xdr:to>
      <xdr:col>9</xdr:col>
      <xdr:colOff>222662</xdr:colOff>
      <xdr:row>38</xdr:row>
      <xdr:rowOff>12370</xdr:rowOff>
    </xdr:to>
    <xdr:pic>
      <xdr:nvPicPr>
        <xdr:cNvPr id="64" name="Picture 63" descr="Image result for tai sai casino game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922" y="5009903"/>
          <a:ext cx="3574967" cy="1509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173182</xdr:rowOff>
    </xdr:from>
    <xdr:to>
      <xdr:col>3</xdr:col>
      <xdr:colOff>315191</xdr:colOff>
      <xdr:row>37</xdr:row>
      <xdr:rowOff>173182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09903"/>
          <a:ext cx="2133600" cy="1484415"/>
        </a:xfrm>
        <a:prstGeom prst="rect">
          <a:avLst/>
        </a:prstGeom>
      </xdr:spPr>
    </xdr:pic>
    <xdr:clientData/>
  </xdr:twoCellAnchor>
  <xdr:twoCellAnchor editAs="oneCell">
    <xdr:from>
      <xdr:col>9</xdr:col>
      <xdr:colOff>247403</xdr:colOff>
      <xdr:row>29</xdr:row>
      <xdr:rowOff>160812</xdr:rowOff>
    </xdr:from>
    <xdr:to>
      <xdr:col>12</xdr:col>
      <xdr:colOff>505444</xdr:colOff>
      <xdr:row>37</xdr:row>
      <xdr:rowOff>160812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02630" y="4997533"/>
          <a:ext cx="2076450" cy="148441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203200</xdr:colOff>
      <xdr:row>5</xdr:row>
      <xdr:rowOff>63500</xdr:rowOff>
    </xdr:from>
    <xdr:to>
      <xdr:col>11</xdr:col>
      <xdr:colOff>101600</xdr:colOff>
      <xdr:row>8</xdr:row>
      <xdr:rowOff>1</xdr:rowOff>
    </xdr:to>
    <xdr:pic>
      <xdr:nvPicPr>
        <xdr:cNvPr id="3" name="Picture 2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0" y="1016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203200</xdr:colOff>
      <xdr:row>8</xdr:row>
      <xdr:rowOff>0</xdr:rowOff>
    </xdr:from>
    <xdr:to>
      <xdr:col>11</xdr:col>
      <xdr:colOff>101600</xdr:colOff>
      <xdr:row>10</xdr:row>
      <xdr:rowOff>126999</xdr:rowOff>
    </xdr:to>
    <xdr:pic>
      <xdr:nvPicPr>
        <xdr:cNvPr id="4" name="Picture 3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0" y="1524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203200</xdr:colOff>
      <xdr:row>13</xdr:row>
      <xdr:rowOff>63500</xdr:rowOff>
    </xdr:from>
    <xdr:to>
      <xdr:col>11</xdr:col>
      <xdr:colOff>101600</xdr:colOff>
      <xdr:row>15</xdr:row>
      <xdr:rowOff>170730</xdr:rowOff>
    </xdr:to>
    <xdr:pic>
      <xdr:nvPicPr>
        <xdr:cNvPr id="6" name="Picture 5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0" y="2540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203200</xdr:colOff>
      <xdr:row>16</xdr:row>
      <xdr:rowOff>0</xdr:rowOff>
    </xdr:from>
    <xdr:to>
      <xdr:col>11</xdr:col>
      <xdr:colOff>101600</xdr:colOff>
      <xdr:row>18</xdr:row>
      <xdr:rowOff>127001</xdr:rowOff>
    </xdr:to>
    <xdr:pic>
      <xdr:nvPicPr>
        <xdr:cNvPr id="7" name="Picture 6"/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0" y="3048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203200</xdr:colOff>
      <xdr:row>21</xdr:row>
      <xdr:rowOff>63500</xdr:rowOff>
    </xdr:from>
    <xdr:to>
      <xdr:col>11</xdr:col>
      <xdr:colOff>101600</xdr:colOff>
      <xdr:row>23</xdr:row>
      <xdr:rowOff>170732</xdr:rowOff>
    </xdr:to>
    <xdr:pic>
      <xdr:nvPicPr>
        <xdr:cNvPr id="9" name="Picture 8"/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0" y="4064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203200</xdr:colOff>
      <xdr:row>24</xdr:row>
      <xdr:rowOff>0</xdr:rowOff>
    </xdr:from>
    <xdr:to>
      <xdr:col>11</xdr:col>
      <xdr:colOff>101600</xdr:colOff>
      <xdr:row>26</xdr:row>
      <xdr:rowOff>127000</xdr:rowOff>
    </xdr:to>
    <xdr:pic>
      <xdr:nvPicPr>
        <xdr:cNvPr id="10" name="Picture 9"/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0" y="4572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203200</xdr:colOff>
      <xdr:row>29</xdr:row>
      <xdr:rowOff>63500</xdr:rowOff>
    </xdr:from>
    <xdr:to>
      <xdr:col>11</xdr:col>
      <xdr:colOff>101600</xdr:colOff>
      <xdr:row>32</xdr:row>
      <xdr:rowOff>0</xdr:rowOff>
    </xdr:to>
    <xdr:pic>
      <xdr:nvPicPr>
        <xdr:cNvPr id="12" name="Picture 11"/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0" y="5588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203200</xdr:colOff>
      <xdr:row>32</xdr:row>
      <xdr:rowOff>0</xdr:rowOff>
    </xdr:from>
    <xdr:to>
      <xdr:col>11</xdr:col>
      <xdr:colOff>101600</xdr:colOff>
      <xdr:row>34</xdr:row>
      <xdr:rowOff>127000</xdr:rowOff>
    </xdr:to>
    <xdr:pic>
      <xdr:nvPicPr>
        <xdr:cNvPr id="13" name="Picture 12"/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0" y="6096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203200</xdr:colOff>
      <xdr:row>37</xdr:row>
      <xdr:rowOff>63500</xdr:rowOff>
    </xdr:from>
    <xdr:to>
      <xdr:col>11</xdr:col>
      <xdr:colOff>101600</xdr:colOff>
      <xdr:row>40</xdr:row>
      <xdr:rowOff>0</xdr:rowOff>
    </xdr:to>
    <xdr:pic>
      <xdr:nvPicPr>
        <xdr:cNvPr id="15" name="Picture 14"/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0" y="7112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203200</xdr:colOff>
      <xdr:row>40</xdr:row>
      <xdr:rowOff>0</xdr:rowOff>
    </xdr:from>
    <xdr:to>
      <xdr:col>11</xdr:col>
      <xdr:colOff>101600</xdr:colOff>
      <xdr:row>42</xdr:row>
      <xdr:rowOff>127000</xdr:rowOff>
    </xdr:to>
    <xdr:pic>
      <xdr:nvPicPr>
        <xdr:cNvPr id="16" name="Picture 15"/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0" y="7620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203200</xdr:colOff>
      <xdr:row>45</xdr:row>
      <xdr:rowOff>63500</xdr:rowOff>
    </xdr:from>
    <xdr:to>
      <xdr:col>11</xdr:col>
      <xdr:colOff>101600</xdr:colOff>
      <xdr:row>48</xdr:row>
      <xdr:rowOff>0</xdr:rowOff>
    </xdr:to>
    <xdr:pic>
      <xdr:nvPicPr>
        <xdr:cNvPr id="18" name="Picture 17"/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0" y="8636000"/>
          <a:ext cx="508000" cy="50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203200</xdr:colOff>
      <xdr:row>48</xdr:row>
      <xdr:rowOff>0</xdr:rowOff>
    </xdr:from>
    <xdr:to>
      <xdr:col>11</xdr:col>
      <xdr:colOff>101600</xdr:colOff>
      <xdr:row>50</xdr:row>
      <xdr:rowOff>127001</xdr:rowOff>
    </xdr:to>
    <xdr:pic>
      <xdr:nvPicPr>
        <xdr:cNvPr id="19" name="Picture 18"/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0" y="9144000"/>
          <a:ext cx="508000" cy="508000"/>
        </a:xfrm>
        <a:prstGeom prst="rect">
          <a:avLst/>
        </a:prstGeom>
      </xdr:spPr>
    </xdr:pic>
    <xdr:clientData/>
  </xdr:twoCellAnchor>
  <xdr:twoCellAnchor>
    <xdr:from>
      <xdr:col>10</xdr:col>
      <xdr:colOff>590549</xdr:colOff>
      <xdr:row>0</xdr:row>
      <xdr:rowOff>9525</xdr:rowOff>
    </xdr:from>
    <xdr:to>
      <xdr:col>12</xdr:col>
      <xdr:colOff>85724</xdr:colOff>
      <xdr:row>1</xdr:row>
      <xdr:rowOff>123825</xdr:rowOff>
    </xdr:to>
    <xdr:sp macro="[0]!Arrange" textlink="">
      <xdr:nvSpPr>
        <xdr:cNvPr id="20" name="Rounded Rectangle 19"/>
        <xdr:cNvSpPr/>
      </xdr:nvSpPr>
      <xdr:spPr>
        <a:xfrm>
          <a:off x="5467349" y="9525"/>
          <a:ext cx="714375" cy="3048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Arrange</a:t>
          </a:r>
        </a:p>
      </xdr:txBody>
    </xdr:sp>
    <xdr:clientData/>
  </xdr:twoCellAnchor>
  <xdr:twoCellAnchor editAs="oneCell">
    <xdr:from>
      <xdr:col>10</xdr:col>
      <xdr:colOff>203200</xdr:colOff>
      <xdr:row>2</xdr:row>
      <xdr:rowOff>127000</xdr:rowOff>
    </xdr:from>
    <xdr:to>
      <xdr:col>11</xdr:col>
      <xdr:colOff>105793</xdr:colOff>
      <xdr:row>5</xdr:row>
      <xdr:rowOff>63499</xdr:rowOff>
    </xdr:to>
    <xdr:pic>
      <xdr:nvPicPr>
        <xdr:cNvPr id="21" name="Picture 1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0" y="508000"/>
          <a:ext cx="512193" cy="50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203200</xdr:colOff>
      <xdr:row>10</xdr:row>
      <xdr:rowOff>127000</xdr:rowOff>
    </xdr:from>
    <xdr:to>
      <xdr:col>11</xdr:col>
      <xdr:colOff>104336</xdr:colOff>
      <xdr:row>13</xdr:row>
      <xdr:rowOff>54515</xdr:rowOff>
    </xdr:to>
    <xdr:pic>
      <xdr:nvPicPr>
        <xdr:cNvPr id="22" name="Picture 4"/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0" y="2032000"/>
          <a:ext cx="510736" cy="50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203200</xdr:colOff>
      <xdr:row>18</xdr:row>
      <xdr:rowOff>127000</xdr:rowOff>
    </xdr:from>
    <xdr:to>
      <xdr:col>11</xdr:col>
      <xdr:colOff>107639</xdr:colOff>
      <xdr:row>21</xdr:row>
      <xdr:rowOff>63499</xdr:rowOff>
    </xdr:to>
    <xdr:pic>
      <xdr:nvPicPr>
        <xdr:cNvPr id="23" name="Picture 7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0" y="3556000"/>
          <a:ext cx="514039" cy="50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203200</xdr:colOff>
      <xdr:row>26</xdr:row>
      <xdr:rowOff>127000</xdr:rowOff>
    </xdr:from>
    <xdr:to>
      <xdr:col>11</xdr:col>
      <xdr:colOff>105793</xdr:colOff>
      <xdr:row>29</xdr:row>
      <xdr:rowOff>63500</xdr:rowOff>
    </xdr:to>
    <xdr:pic>
      <xdr:nvPicPr>
        <xdr:cNvPr id="24" name="Picture 10"/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0" y="5080000"/>
          <a:ext cx="512193" cy="50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203200</xdr:colOff>
      <xdr:row>34</xdr:row>
      <xdr:rowOff>127000</xdr:rowOff>
    </xdr:from>
    <xdr:to>
      <xdr:col>11</xdr:col>
      <xdr:colOff>104336</xdr:colOff>
      <xdr:row>37</xdr:row>
      <xdr:rowOff>63500</xdr:rowOff>
    </xdr:to>
    <xdr:pic>
      <xdr:nvPicPr>
        <xdr:cNvPr id="25" name="Picture 13"/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0" y="6604000"/>
          <a:ext cx="510736" cy="50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203200</xdr:colOff>
      <xdr:row>42</xdr:row>
      <xdr:rowOff>127000</xdr:rowOff>
    </xdr:from>
    <xdr:to>
      <xdr:col>11</xdr:col>
      <xdr:colOff>107637</xdr:colOff>
      <xdr:row>45</xdr:row>
      <xdr:rowOff>63500</xdr:rowOff>
    </xdr:to>
    <xdr:pic>
      <xdr:nvPicPr>
        <xdr:cNvPr id="26" name="Picture 16"/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0" y="8128000"/>
          <a:ext cx="514037" cy="508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0</xdr:row>
          <xdr:rowOff>57150</xdr:rowOff>
        </xdr:from>
        <xdr:to>
          <xdr:col>13</xdr:col>
          <xdr:colOff>428625</xdr:colOff>
          <xdr:row>1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35943</xdr:colOff>
      <xdr:row>24</xdr:row>
      <xdr:rowOff>26957</xdr:rowOff>
    </xdr:from>
    <xdr:to>
      <xdr:col>18</xdr:col>
      <xdr:colOff>134967</xdr:colOff>
      <xdr:row>33</xdr:row>
      <xdr:rowOff>128857</xdr:rowOff>
    </xdr:to>
    <xdr:pic>
      <xdr:nvPicPr>
        <xdr:cNvPr id="30" name="NMBet"/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0471" y="4618726"/>
          <a:ext cx="2543175" cy="18002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2</xdr:row>
          <xdr:rowOff>85725</xdr:rowOff>
        </xdr:from>
        <xdr:to>
          <xdr:col>13</xdr:col>
          <xdr:colOff>371475</xdr:colOff>
          <xdr:row>4</xdr:row>
          <xdr:rowOff>57150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3.emf"/><Relationship Id="rId5" Type="http://schemas.openxmlformats.org/officeDocument/2006/relationships/control" Target="../activeX/activeX2.xml"/><Relationship Id="rId4" Type="http://schemas.openxmlformats.org/officeDocument/2006/relationships/image" Target="../media/image2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39"/>
  <sheetViews>
    <sheetView tabSelected="1" topLeftCell="A5" zoomScale="77" zoomScaleNormal="77" workbookViewId="0">
      <selection activeCell="N31" sqref="N31:AC37"/>
    </sheetView>
  </sheetViews>
  <sheetFormatPr defaultColWidth="0" defaultRowHeight="15" zeroHeight="1" x14ac:dyDescent="0.25"/>
  <cols>
    <col min="1" max="22" width="9.140625" style="1" customWidth="1"/>
    <col min="23" max="27" width="7.28515625" style="1" customWidth="1"/>
    <col min="28" max="28" width="5.140625" style="1" bestFit="1" customWidth="1"/>
    <col min="29" max="29" width="9.140625" style="1" customWidth="1"/>
    <col min="30" max="16384" width="9.140625" style="1" hidden="1"/>
  </cols>
  <sheetData>
    <row r="1" spans="1:28" ht="15.75" hidden="1" thickBot="1" x14ac:dyDescent="0.3">
      <c r="A1" s="47">
        <v>4</v>
      </c>
      <c r="B1" s="47">
        <f>SUM(A1:A3)</f>
        <v>7</v>
      </c>
      <c r="C1" s="24" t="s">
        <v>26</v>
      </c>
      <c r="D1" s="25" t="b">
        <f>ISODD(B1)</f>
        <v>1</v>
      </c>
      <c r="E1" s="26" t="s">
        <v>24</v>
      </c>
      <c r="F1" s="27" t="b">
        <f>IF($A1=$A2,IF($A2=$A3,IF($A3=1,TRUE,FALSE),FALSE),FALSE)</f>
        <v>0</v>
      </c>
      <c r="G1" s="27" t="b">
        <f>IF($A1=$A2,IF($A2=$A3,IF($A3=2,TRUE,FALSE),FALSE),FALSE)</f>
        <v>0</v>
      </c>
      <c r="H1" s="27" t="b">
        <f>IF($A1=$A2,IF($A2=$A3,IF($A3=3,TRUE,FALSE),FALSE),FALSE)</f>
        <v>0</v>
      </c>
      <c r="I1" s="27" t="b">
        <f>IF($A1=$A2,IF($A2=$A3,IF($A3=4,TRUE,FALSE),FALSE),FALSE)</f>
        <v>0</v>
      </c>
      <c r="J1" s="27" t="b">
        <f>IF($A1=$A2,IF($A2=$A3,IF($A3=5,TRUE,FALSE),FALSE),FALSE)</f>
        <v>0</v>
      </c>
      <c r="K1" s="28" t="b">
        <f>IF($A1=$A2,IF($A2=$A3,IF($A3=6,TRUE,FALSE),FALSE),FALSE)</f>
        <v>0</v>
      </c>
      <c r="L1" s="29" t="s">
        <v>25</v>
      </c>
      <c r="M1" s="30" t="b">
        <f>ISEVEN(B1)</f>
        <v>0</v>
      </c>
      <c r="N1" s="31" t="s">
        <v>27</v>
      </c>
      <c r="O1" s="32" t="b">
        <f>IF(B1&lt;11,TRUE,FALSE)</f>
        <v>1</v>
      </c>
      <c r="P1" s="33" t="s">
        <v>28</v>
      </c>
      <c r="Q1" s="21" t="b">
        <f>IF($A1=$A2,IF($A2=$A3,TRUE,FALSE),FALSE)</f>
        <v>0</v>
      </c>
      <c r="R1" s="22" t="s">
        <v>29</v>
      </c>
      <c r="S1" s="23" t="b">
        <f>IF(B1&gt;10,TRUE,FALSE)</f>
        <v>0</v>
      </c>
      <c r="T1" s="20" t="s">
        <v>88</v>
      </c>
      <c r="U1" s="19" t="b">
        <f>IF(COUNTIF(F1:K1,TRUE)&gt;0,TRUE,FALSE)</f>
        <v>0</v>
      </c>
    </row>
    <row r="2" spans="1:28" ht="15.75" hidden="1" thickBot="1" x14ac:dyDescent="0.3">
      <c r="A2" s="47">
        <v>2</v>
      </c>
      <c r="B2" s="39" t="s">
        <v>30</v>
      </c>
      <c r="C2" s="34" t="b">
        <f>IF($B1=C16,TRUE,FALSE)</f>
        <v>0</v>
      </c>
      <c r="D2" s="35" t="b">
        <f t="shared" ref="D2:P2" si="0">IF($B1=D16,TRUE,FALSE)</f>
        <v>0</v>
      </c>
      <c r="E2" s="35" t="b">
        <f t="shared" si="0"/>
        <v>0</v>
      </c>
      <c r="F2" s="35" t="b">
        <f t="shared" si="0"/>
        <v>1</v>
      </c>
      <c r="G2" s="35" t="b">
        <f t="shared" si="0"/>
        <v>0</v>
      </c>
      <c r="H2" s="35" t="b">
        <f t="shared" si="0"/>
        <v>0</v>
      </c>
      <c r="I2" s="35" t="b">
        <f t="shared" si="0"/>
        <v>0</v>
      </c>
      <c r="J2" s="35" t="b">
        <f t="shared" si="0"/>
        <v>0</v>
      </c>
      <c r="K2" s="35" t="b">
        <f t="shared" si="0"/>
        <v>0</v>
      </c>
      <c r="L2" s="35" t="b">
        <f t="shared" si="0"/>
        <v>0</v>
      </c>
      <c r="M2" s="35" t="b">
        <f t="shared" si="0"/>
        <v>0</v>
      </c>
      <c r="N2" s="35" t="b">
        <f t="shared" si="0"/>
        <v>0</v>
      </c>
      <c r="O2" s="35" t="b">
        <f t="shared" si="0"/>
        <v>0</v>
      </c>
      <c r="P2" s="36" t="b">
        <f t="shared" si="0"/>
        <v>0</v>
      </c>
    </row>
    <row r="3" spans="1:28" ht="15.75" hidden="1" thickBot="1" x14ac:dyDescent="0.3">
      <c r="A3" s="47">
        <v>1</v>
      </c>
      <c r="B3" s="40" t="s">
        <v>31</v>
      </c>
      <c r="C3" s="37" t="b">
        <f>IF((IF(COUNTIF($A1:$A3,C19)&gt;0,1,0)+IF(COUNTIF($A1:$A3,C20)&gt;0,1,0))=2,TRUE,FALSE)</f>
        <v>1</v>
      </c>
      <c r="D3" s="38" t="b">
        <f t="shared" ref="D3:Q3" si="1">IF((IF(COUNTIF($A1:$A3,D19)&gt;0,1,0)+IF(COUNTIF($A1:$A3,D20)&gt;0,1,0))=2,TRUE,FALSE)</f>
        <v>1</v>
      </c>
      <c r="E3" s="38" t="b">
        <f t="shared" si="1"/>
        <v>0</v>
      </c>
      <c r="F3" s="38" t="b">
        <f t="shared" si="1"/>
        <v>1</v>
      </c>
      <c r="G3" s="38" t="b">
        <f t="shared" si="1"/>
        <v>0</v>
      </c>
      <c r="H3" s="38" t="b">
        <f t="shared" si="1"/>
        <v>0</v>
      </c>
      <c r="I3" s="38" t="b">
        <f t="shared" si="1"/>
        <v>0</v>
      </c>
      <c r="J3" s="38" t="b">
        <f t="shared" si="1"/>
        <v>0</v>
      </c>
      <c r="K3" s="38" t="b">
        <f t="shared" si="1"/>
        <v>0</v>
      </c>
      <c r="L3" s="38" t="b">
        <f t="shared" si="1"/>
        <v>0</v>
      </c>
      <c r="M3" s="38" t="b">
        <f t="shared" si="1"/>
        <v>0</v>
      </c>
      <c r="N3" s="38" t="b">
        <f t="shared" si="1"/>
        <v>0</v>
      </c>
      <c r="O3" s="38" t="b">
        <f t="shared" si="1"/>
        <v>0</v>
      </c>
      <c r="P3" s="38" t="b">
        <f t="shared" si="1"/>
        <v>0</v>
      </c>
      <c r="Q3" s="58" t="b">
        <f t="shared" si="1"/>
        <v>0</v>
      </c>
      <c r="R3" s="59" t="b">
        <f>IF(COUNTIF($A1:$A3,1)=2,TRUE,FALSE)</f>
        <v>0</v>
      </c>
      <c r="S3" s="60" t="b">
        <f>IF(COUNTIF($A1:$A3,2)=2,TRUE,FALSE)</f>
        <v>0</v>
      </c>
      <c r="T3" s="60" t="b">
        <f>IF(COUNTIF($A1:$A3,3)=2,TRUE,FALSE)</f>
        <v>0</v>
      </c>
      <c r="U3" s="60" t="b">
        <f>IF(COUNTIF($A1:$A3,4)=2,TRUE,FALSE)</f>
        <v>0</v>
      </c>
      <c r="V3" s="60" t="b">
        <f>IF(COUNTIF($A1:$A3,5)=2,TRUE,FALSE)</f>
        <v>0</v>
      </c>
      <c r="W3" s="61" t="b">
        <f>IF(COUNTIF($A1:$A3,6)=2,TRUE,FALSE)</f>
        <v>0</v>
      </c>
    </row>
    <row r="4" spans="1:28" ht="15.75" hidden="1" thickBot="1" x14ac:dyDescent="0.3">
      <c r="A4" s="1">
        <v>0</v>
      </c>
      <c r="B4" s="41" t="s">
        <v>32</v>
      </c>
      <c r="C4" s="42" t="b">
        <f>IF((IF(COUNTIF($A1:$A3,B22)&gt;0,1,0)+IF(COUNTIF($A1:$A3,C22)&gt;0,1,0)+IF(COUNTIF($A1:$A3,D22)&gt;0,1,0)+IF(COUNTIF($A1:$A3,E22)&gt;0,1,0))=3,TRUE,FALSE)</f>
        <v>1</v>
      </c>
      <c r="D4" s="42" t="b">
        <f>IF((IF(COUNTIF($A1:$A3,F22)&gt;0,1,0)+IF(COUNTIF($A1:$A3,G22)&gt;0,1,0)+IF(COUNTIF($A1:$A3,H22)&gt;0,1,0)+IF(COUNTIF($A1:$A3,I22)&gt;0,1,0))=3,TRUE,FALSE)</f>
        <v>0</v>
      </c>
      <c r="E4" s="42" t="b">
        <f>IF((IF(COUNTIF($A1:$A3,J22)&gt;0,1,0)+IF(COUNTIF($A1:$A3,K22)&gt;0,1,0)+IF(COUNTIF($A1:$A3,L22)&gt;0,1,0)+IF(COUNTIF($A1:$A3,M22)&gt;0,1,0))=3,TRUE,FALSE)</f>
        <v>0</v>
      </c>
      <c r="F4" s="43" t="b">
        <f>IF((IF(COUNTIF($A1:$A3,N22)&gt;0,1,0)+IF(COUNTIF($A1:$A3,O22)&gt;0,1,0)+IF(COUNTIF($A1:$A3,P22)&gt;0,1,0)+IF(COUNTIF($A1:$A3,Q22)&gt;0,1,0))=3,TRUE,FALSE)</f>
        <v>0</v>
      </c>
      <c r="G4" s="44" t="s">
        <v>33</v>
      </c>
      <c r="H4" s="45" t="b">
        <f>IF(COUNTIF($A1:$A3,D25)&gt;0,TRUE,FALSE)</f>
        <v>1</v>
      </c>
      <c r="I4" s="45" t="b">
        <f>IF(COUNTIF($A1:$A3,F25)&gt;0,TRUE,FALSE)</f>
        <v>1</v>
      </c>
      <c r="J4" s="45" t="b">
        <f>IF(COUNTIF($A1:$A3,H25)&gt;0,TRUE,FALSE)</f>
        <v>0</v>
      </c>
      <c r="K4" s="45" t="b">
        <f>IF(COUNTIF($A1:$A3,J25)&gt;0,TRUE,FALSE)</f>
        <v>1</v>
      </c>
      <c r="L4" s="45" t="b">
        <f>IF(COUNTIF($A1:$A3,L25)&gt;0,TRUE,FALSE)</f>
        <v>0</v>
      </c>
      <c r="M4" s="46" t="b">
        <f>IF(COUNTIF($A1:$A3,N25)&gt;0,TRUE,FALSE)</f>
        <v>0</v>
      </c>
    </row>
    <row r="5" spans="1:28" ht="15.75" thickBot="1" x14ac:dyDescent="0.3">
      <c r="W5" s="57" t="s">
        <v>161</v>
      </c>
    </row>
    <row r="6" spans="1:28" ht="15" customHeight="1" thickTop="1" thickBot="1" x14ac:dyDescent="0.3">
      <c r="A6" s="75" t="s">
        <v>149</v>
      </c>
      <c r="C6" s="140" t="s">
        <v>21</v>
      </c>
      <c r="D6" s="141"/>
      <c r="E6" s="142"/>
      <c r="F6" s="132" t="s">
        <v>7</v>
      </c>
      <c r="G6" s="134" t="s">
        <v>13</v>
      </c>
      <c r="H6" s="136" t="s">
        <v>14</v>
      </c>
      <c r="I6" s="136" t="s">
        <v>15</v>
      </c>
      <c r="J6" s="138" t="s">
        <v>16</v>
      </c>
      <c r="K6" s="136" t="s">
        <v>17</v>
      </c>
      <c r="L6" s="114" t="s">
        <v>18</v>
      </c>
      <c r="M6" s="127" t="s">
        <v>10</v>
      </c>
      <c r="N6" s="86" t="s">
        <v>22</v>
      </c>
      <c r="O6" s="87"/>
      <c r="P6" s="88"/>
      <c r="Q6" s="54"/>
      <c r="R6" s="57" t="s">
        <v>34</v>
      </c>
    </row>
    <row r="7" spans="1:28" ht="15" customHeight="1" thickTop="1" thickBot="1" x14ac:dyDescent="0.3">
      <c r="A7" s="76" t="s">
        <v>154</v>
      </c>
      <c r="C7" s="143"/>
      <c r="D7" s="144"/>
      <c r="E7" s="145"/>
      <c r="F7" s="133"/>
      <c r="G7" s="135"/>
      <c r="H7" s="137"/>
      <c r="I7" s="137"/>
      <c r="J7" s="139"/>
      <c r="K7" s="137"/>
      <c r="L7" s="115"/>
      <c r="M7" s="128"/>
      <c r="N7" s="89"/>
      <c r="O7" s="90"/>
      <c r="P7" s="91"/>
      <c r="R7" s="104">
        <v>2240</v>
      </c>
      <c r="S7" s="105"/>
    </row>
    <row r="8" spans="1:28" ht="15" customHeight="1" thickTop="1" thickBot="1" x14ac:dyDescent="0.3">
      <c r="A8" s="76" t="s">
        <v>154</v>
      </c>
      <c r="C8" s="143"/>
      <c r="D8" s="144"/>
      <c r="E8" s="145"/>
      <c r="F8" s="151"/>
      <c r="G8" s="135"/>
      <c r="H8" s="137"/>
      <c r="I8" s="137"/>
      <c r="J8" s="139"/>
      <c r="K8" s="137"/>
      <c r="L8" s="115"/>
      <c r="M8" s="74"/>
      <c r="N8" s="89"/>
      <c r="O8" s="90"/>
      <c r="P8" s="91"/>
      <c r="R8" s="57" t="s">
        <v>41</v>
      </c>
    </row>
    <row r="9" spans="1:28" ht="15" customHeight="1" thickTop="1" thickBot="1" x14ac:dyDescent="0.3">
      <c r="A9" s="76" t="s">
        <v>149</v>
      </c>
      <c r="C9" s="146"/>
      <c r="D9" s="147"/>
      <c r="E9" s="148"/>
      <c r="F9" s="130" t="s">
        <v>9</v>
      </c>
      <c r="G9" s="129" t="s">
        <v>19</v>
      </c>
      <c r="H9" s="129"/>
      <c r="I9" s="129"/>
      <c r="J9" s="129"/>
      <c r="K9" s="129"/>
      <c r="L9" s="129"/>
      <c r="M9" s="130" t="s">
        <v>11</v>
      </c>
      <c r="N9" s="92"/>
      <c r="O9" s="93"/>
      <c r="P9" s="94"/>
      <c r="R9" s="104">
        <f>Database!F3</f>
        <v>0</v>
      </c>
      <c r="S9" s="105"/>
      <c r="W9" s="65" t="s">
        <v>44</v>
      </c>
      <c r="X9" s="66" t="s">
        <v>45</v>
      </c>
      <c r="Y9" s="67" t="s">
        <v>49</v>
      </c>
      <c r="Z9" s="66" t="s">
        <v>46</v>
      </c>
      <c r="AA9" s="66" t="s">
        <v>47</v>
      </c>
      <c r="AB9" s="80" t="s">
        <v>43</v>
      </c>
    </row>
    <row r="10" spans="1:28" ht="15" customHeight="1" thickTop="1" thickBot="1" x14ac:dyDescent="0.3">
      <c r="A10" s="76" t="s">
        <v>155</v>
      </c>
      <c r="C10" s="152"/>
      <c r="D10" s="153"/>
      <c r="E10" s="154"/>
      <c r="F10" s="131"/>
      <c r="G10" s="155"/>
      <c r="H10" s="156"/>
      <c r="I10" s="156"/>
      <c r="J10" s="156"/>
      <c r="K10" s="156"/>
      <c r="L10" s="157"/>
      <c r="M10" s="131"/>
      <c r="N10" s="152"/>
      <c r="O10" s="153"/>
      <c r="P10" s="154"/>
      <c r="W10" s="168"/>
      <c r="X10" s="169"/>
      <c r="Y10" s="169"/>
      <c r="Z10" s="169"/>
      <c r="AA10" s="169"/>
      <c r="AB10" s="81"/>
    </row>
    <row r="11" spans="1:28" ht="15" customHeight="1" thickTop="1" x14ac:dyDescent="0.25">
      <c r="A11" s="76" t="s">
        <v>153</v>
      </c>
      <c r="C11" s="95" t="s">
        <v>36</v>
      </c>
      <c r="D11" s="96"/>
      <c r="E11" s="97"/>
      <c r="F11" s="149"/>
      <c r="G11" s="55"/>
      <c r="H11" s="116" t="s">
        <v>14</v>
      </c>
      <c r="I11" s="116" t="s">
        <v>15</v>
      </c>
      <c r="J11" s="123" t="s">
        <v>16</v>
      </c>
      <c r="K11" s="116" t="s">
        <v>17</v>
      </c>
      <c r="L11" s="55"/>
      <c r="M11" s="149"/>
      <c r="N11" s="95" t="s">
        <v>35</v>
      </c>
      <c r="O11" s="96"/>
      <c r="P11" s="97"/>
      <c r="W11" s="69" t="s">
        <v>48</v>
      </c>
      <c r="X11" s="63">
        <v>223</v>
      </c>
      <c r="Y11" s="63" t="s">
        <v>50</v>
      </c>
      <c r="Z11" s="63">
        <v>225</v>
      </c>
      <c r="AA11" s="63">
        <v>226</v>
      </c>
      <c r="AB11" s="81"/>
    </row>
    <row r="12" spans="1:28" ht="15" customHeight="1" x14ac:dyDescent="0.25">
      <c r="A12" s="76" t="s">
        <v>147</v>
      </c>
      <c r="C12" s="98"/>
      <c r="D12" s="99"/>
      <c r="E12" s="100"/>
      <c r="F12" s="128" t="s">
        <v>8</v>
      </c>
      <c r="G12" s="123" t="s">
        <v>13</v>
      </c>
      <c r="H12" s="116"/>
      <c r="I12" s="116"/>
      <c r="J12" s="123"/>
      <c r="K12" s="116"/>
      <c r="L12" s="116" t="s">
        <v>18</v>
      </c>
      <c r="M12" s="128" t="s">
        <v>12</v>
      </c>
      <c r="N12" s="98"/>
      <c r="O12" s="99"/>
      <c r="P12" s="100"/>
      <c r="W12" s="168"/>
      <c r="X12" s="169"/>
      <c r="Y12" s="169"/>
      <c r="Z12" s="169"/>
      <c r="AA12" s="169"/>
      <c r="AB12" s="81"/>
    </row>
    <row r="13" spans="1:28" ht="15" customHeight="1" x14ac:dyDescent="0.25">
      <c r="A13" s="76" t="s">
        <v>148</v>
      </c>
      <c r="C13" s="98"/>
      <c r="D13" s="99"/>
      <c r="E13" s="100"/>
      <c r="F13" s="128"/>
      <c r="G13" s="123"/>
      <c r="H13" s="116"/>
      <c r="I13" s="116"/>
      <c r="J13" s="123"/>
      <c r="K13" s="116"/>
      <c r="L13" s="116"/>
      <c r="M13" s="128"/>
      <c r="N13" s="98"/>
      <c r="O13" s="99"/>
      <c r="P13" s="100"/>
      <c r="W13" s="69" t="s">
        <v>52</v>
      </c>
      <c r="X13" s="63">
        <v>332</v>
      </c>
      <c r="Y13" s="63" t="s">
        <v>51</v>
      </c>
      <c r="Z13" s="63">
        <v>335</v>
      </c>
      <c r="AA13" s="63">
        <v>336</v>
      </c>
      <c r="AB13" s="81"/>
    </row>
    <row r="14" spans="1:28" ht="15" customHeight="1" x14ac:dyDescent="0.25">
      <c r="A14" s="76" t="s">
        <v>148</v>
      </c>
      <c r="C14" s="101"/>
      <c r="D14" s="102"/>
      <c r="E14" s="103"/>
      <c r="F14" s="150"/>
      <c r="G14" s="124"/>
      <c r="H14" s="2"/>
      <c r="I14" s="107" t="s">
        <v>38</v>
      </c>
      <c r="J14" s="107"/>
      <c r="K14" s="2"/>
      <c r="L14" s="117"/>
      <c r="M14" s="150"/>
      <c r="N14" s="101"/>
      <c r="O14" s="102"/>
      <c r="P14" s="103"/>
      <c r="W14" s="168"/>
      <c r="X14" s="169"/>
      <c r="Y14" s="169"/>
      <c r="Z14" s="169"/>
      <c r="AA14" s="169"/>
      <c r="AB14" s="81"/>
    </row>
    <row r="15" spans="1:28" ht="15" customHeight="1" thickBot="1" x14ac:dyDescent="0.3">
      <c r="A15" s="76" t="s">
        <v>151</v>
      </c>
      <c r="C15" s="152"/>
      <c r="D15" s="153"/>
      <c r="E15" s="154"/>
      <c r="F15" s="73" t="s">
        <v>6</v>
      </c>
      <c r="G15" s="158"/>
      <c r="H15" s="158"/>
      <c r="I15" s="158"/>
      <c r="J15" s="158"/>
      <c r="K15" s="158"/>
      <c r="L15" s="158"/>
      <c r="M15" s="73" t="s">
        <v>6</v>
      </c>
      <c r="N15" s="153"/>
      <c r="O15" s="153"/>
      <c r="P15" s="154"/>
      <c r="W15" s="70" t="s">
        <v>53</v>
      </c>
      <c r="X15" s="63" t="s">
        <v>54</v>
      </c>
      <c r="Y15" s="63" t="s">
        <v>55</v>
      </c>
      <c r="Z15" s="63" t="s">
        <v>56</v>
      </c>
      <c r="AA15" s="63" t="s">
        <v>57</v>
      </c>
      <c r="AB15" s="81"/>
    </row>
    <row r="16" spans="1:28" ht="15.75" thickTop="1" x14ac:dyDescent="0.25">
      <c r="A16" s="76" t="s">
        <v>156</v>
      </c>
      <c r="C16" s="48">
        <v>4</v>
      </c>
      <c r="D16" s="49">
        <v>5</v>
      </c>
      <c r="E16" s="49">
        <v>6</v>
      </c>
      <c r="F16" s="49">
        <v>7</v>
      </c>
      <c r="G16" s="49">
        <v>8</v>
      </c>
      <c r="H16" s="49">
        <v>9</v>
      </c>
      <c r="I16" s="49">
        <v>10</v>
      </c>
      <c r="J16" s="49">
        <v>11</v>
      </c>
      <c r="K16" s="49">
        <v>12</v>
      </c>
      <c r="L16" s="49">
        <v>13</v>
      </c>
      <c r="M16" s="49">
        <v>14</v>
      </c>
      <c r="N16" s="49">
        <v>15</v>
      </c>
      <c r="O16" s="49">
        <v>16</v>
      </c>
      <c r="P16" s="50">
        <v>17</v>
      </c>
      <c r="W16" s="168"/>
      <c r="X16" s="169"/>
      <c r="Y16" s="169"/>
      <c r="Z16" s="169"/>
      <c r="AA16" s="169"/>
      <c r="AB16" s="81"/>
    </row>
    <row r="17" spans="1:29" x14ac:dyDescent="0.25">
      <c r="A17" s="76" t="s">
        <v>158</v>
      </c>
      <c r="C17" s="51" t="s">
        <v>0</v>
      </c>
      <c r="D17" s="52" t="s">
        <v>1</v>
      </c>
      <c r="E17" s="52" t="s">
        <v>2</v>
      </c>
      <c r="F17" s="52" t="s">
        <v>3</v>
      </c>
      <c r="G17" s="52" t="s">
        <v>4</v>
      </c>
      <c r="H17" s="52" t="s">
        <v>4</v>
      </c>
      <c r="I17" s="52" t="s">
        <v>4</v>
      </c>
      <c r="J17" s="52" t="s">
        <v>4</v>
      </c>
      <c r="K17" s="52" t="s">
        <v>4</v>
      </c>
      <c r="L17" s="52" t="s">
        <v>3</v>
      </c>
      <c r="M17" s="52" t="s">
        <v>2</v>
      </c>
      <c r="N17" s="52" t="s">
        <v>1</v>
      </c>
      <c r="O17" s="52" t="s">
        <v>0</v>
      </c>
      <c r="P17" s="53" t="s">
        <v>5</v>
      </c>
      <c r="W17" s="69" t="s">
        <v>58</v>
      </c>
      <c r="X17" s="63">
        <v>552</v>
      </c>
      <c r="Y17" s="63">
        <v>553</v>
      </c>
      <c r="Z17" s="63" t="s">
        <v>59</v>
      </c>
      <c r="AA17" s="63">
        <v>556</v>
      </c>
      <c r="AB17" s="81"/>
    </row>
    <row r="18" spans="1:29" ht="15.75" thickBot="1" x14ac:dyDescent="0.3">
      <c r="A18" s="76" t="s">
        <v>149</v>
      </c>
      <c r="C18" s="159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1"/>
      <c r="W18" s="168"/>
      <c r="X18" s="169"/>
      <c r="Y18" s="169"/>
      <c r="Z18" s="169"/>
      <c r="AA18" s="169"/>
      <c r="AB18" s="81"/>
    </row>
    <row r="19" spans="1:29" ht="15" customHeight="1" thickTop="1" x14ac:dyDescent="0.25">
      <c r="A19" s="76" t="s">
        <v>151</v>
      </c>
      <c r="B19" s="118" t="s">
        <v>37</v>
      </c>
      <c r="C19" s="3">
        <v>1</v>
      </c>
      <c r="D19" s="4">
        <v>2</v>
      </c>
      <c r="E19" s="3">
        <v>1</v>
      </c>
      <c r="F19" s="3">
        <v>1</v>
      </c>
      <c r="G19" s="4">
        <v>2</v>
      </c>
      <c r="H19" s="4">
        <v>3</v>
      </c>
      <c r="I19" s="4">
        <v>2</v>
      </c>
      <c r="J19" s="4">
        <v>2</v>
      </c>
      <c r="K19" s="4">
        <v>3</v>
      </c>
      <c r="L19" s="3">
        <v>4</v>
      </c>
      <c r="M19" s="4">
        <v>3</v>
      </c>
      <c r="N19" s="3">
        <v>1</v>
      </c>
      <c r="O19" s="3">
        <v>1</v>
      </c>
      <c r="P19" s="5">
        <v>4</v>
      </c>
      <c r="Q19" s="6">
        <v>5</v>
      </c>
      <c r="W19" s="69" t="s">
        <v>60</v>
      </c>
      <c r="X19" s="63">
        <v>662</v>
      </c>
      <c r="Y19" s="63">
        <v>663</v>
      </c>
      <c r="Z19" s="63" t="s">
        <v>61</v>
      </c>
      <c r="AA19" s="63">
        <v>665</v>
      </c>
      <c r="AB19" s="81"/>
    </row>
    <row r="20" spans="1:29" ht="15.75" thickBot="1" x14ac:dyDescent="0.3">
      <c r="A20" s="76" t="s">
        <v>153</v>
      </c>
      <c r="B20" s="119"/>
      <c r="C20" s="7">
        <v>2</v>
      </c>
      <c r="D20" s="7">
        <v>4</v>
      </c>
      <c r="E20" s="7">
        <v>3</v>
      </c>
      <c r="F20" s="8">
        <v>4</v>
      </c>
      <c r="G20" s="7">
        <v>3</v>
      </c>
      <c r="H20" s="8">
        <v>4</v>
      </c>
      <c r="I20" s="7">
        <v>5</v>
      </c>
      <c r="J20" s="7">
        <v>6</v>
      </c>
      <c r="K20" s="7">
        <v>5</v>
      </c>
      <c r="L20" s="7">
        <v>5</v>
      </c>
      <c r="M20" s="7">
        <v>6</v>
      </c>
      <c r="N20" s="7">
        <v>5</v>
      </c>
      <c r="O20" s="7">
        <v>6</v>
      </c>
      <c r="P20" s="9">
        <v>6</v>
      </c>
      <c r="Q20" s="10">
        <v>6</v>
      </c>
      <c r="W20" s="170"/>
      <c r="X20" s="171"/>
      <c r="Y20" s="171"/>
      <c r="Z20" s="171"/>
      <c r="AA20" s="171"/>
      <c r="AB20" s="82"/>
    </row>
    <row r="21" spans="1:29" ht="16.5" thickTop="1" thickBot="1" x14ac:dyDescent="0.3">
      <c r="A21" s="76" t="s">
        <v>158</v>
      </c>
      <c r="B21" s="120"/>
      <c r="C21" s="162"/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1"/>
    </row>
    <row r="22" spans="1:29" ht="17.25" customHeight="1" thickTop="1" x14ac:dyDescent="0.25">
      <c r="A22" s="76" t="s">
        <v>159</v>
      </c>
      <c r="B22" s="14">
        <v>1</v>
      </c>
      <c r="C22" s="11">
        <v>2</v>
      </c>
      <c r="D22" s="11">
        <v>3</v>
      </c>
      <c r="E22" s="12">
        <v>4</v>
      </c>
      <c r="F22" s="13">
        <v>2</v>
      </c>
      <c r="G22" s="11">
        <v>3</v>
      </c>
      <c r="H22" s="14">
        <v>4</v>
      </c>
      <c r="I22" s="15">
        <v>5</v>
      </c>
      <c r="J22" s="13">
        <v>2</v>
      </c>
      <c r="K22" s="11">
        <v>3</v>
      </c>
      <c r="L22" s="11">
        <v>5</v>
      </c>
      <c r="M22" s="15">
        <v>6</v>
      </c>
      <c r="N22" s="13">
        <v>3</v>
      </c>
      <c r="O22" s="14">
        <v>4</v>
      </c>
      <c r="P22" s="11">
        <v>5</v>
      </c>
      <c r="Q22" s="16">
        <v>6</v>
      </c>
      <c r="W22" s="65" t="s">
        <v>63</v>
      </c>
      <c r="X22" s="66" t="s">
        <v>64</v>
      </c>
      <c r="Y22" s="66" t="s">
        <v>65</v>
      </c>
      <c r="Z22" s="66">
        <v>256</v>
      </c>
      <c r="AA22" s="66" t="s">
        <v>66</v>
      </c>
      <c r="AB22" s="80" t="s">
        <v>62</v>
      </c>
    </row>
    <row r="23" spans="1:29" x14ac:dyDescent="0.25">
      <c r="A23" s="76" t="s">
        <v>147</v>
      </c>
      <c r="B23" s="121" t="s">
        <v>39</v>
      </c>
      <c r="C23" s="107"/>
      <c r="D23" s="107"/>
      <c r="E23" s="122"/>
      <c r="F23" s="106" t="s">
        <v>40</v>
      </c>
      <c r="G23" s="107"/>
      <c r="H23" s="107"/>
      <c r="I23" s="122"/>
      <c r="J23" s="106" t="s">
        <v>40</v>
      </c>
      <c r="K23" s="107"/>
      <c r="L23" s="107"/>
      <c r="M23" s="122"/>
      <c r="N23" s="106" t="s">
        <v>40</v>
      </c>
      <c r="O23" s="107"/>
      <c r="P23" s="107"/>
      <c r="Q23" s="108"/>
      <c r="W23" s="168"/>
      <c r="X23" s="169"/>
      <c r="Y23" s="169"/>
      <c r="Z23" s="169"/>
      <c r="AA23" s="169"/>
      <c r="AB23" s="83"/>
    </row>
    <row r="24" spans="1:29" ht="15.75" thickBot="1" x14ac:dyDescent="0.3">
      <c r="A24" s="76" t="s">
        <v>148</v>
      </c>
      <c r="B24" s="163"/>
      <c r="C24" s="164"/>
      <c r="D24" s="164"/>
      <c r="E24" s="164"/>
      <c r="F24" s="164"/>
      <c r="G24" s="164"/>
      <c r="H24" s="164"/>
      <c r="I24" s="164"/>
      <c r="J24" s="164"/>
      <c r="K24" s="164"/>
      <c r="L24" s="164"/>
      <c r="M24" s="164"/>
      <c r="N24" s="164"/>
      <c r="O24" s="164"/>
      <c r="P24" s="164"/>
      <c r="Q24" s="165"/>
      <c r="W24" s="69" t="s">
        <v>67</v>
      </c>
      <c r="X24" s="63" t="s">
        <v>68</v>
      </c>
      <c r="Y24" s="63" t="s">
        <v>69</v>
      </c>
      <c r="Z24" s="63">
        <v>235</v>
      </c>
      <c r="AA24" s="63">
        <v>356</v>
      </c>
      <c r="AB24" s="83"/>
    </row>
    <row r="25" spans="1:29" ht="15.75" thickTop="1" x14ac:dyDescent="0.25">
      <c r="A25" s="76" t="s">
        <v>147</v>
      </c>
      <c r="B25" s="17"/>
      <c r="C25" s="17"/>
      <c r="D25" s="112">
        <v>1</v>
      </c>
      <c r="E25" s="112"/>
      <c r="F25" s="110">
        <v>2</v>
      </c>
      <c r="G25" s="110"/>
      <c r="H25" s="110">
        <v>3</v>
      </c>
      <c r="I25" s="110"/>
      <c r="J25" s="112">
        <v>4</v>
      </c>
      <c r="K25" s="112"/>
      <c r="L25" s="110">
        <v>5</v>
      </c>
      <c r="M25" s="110"/>
      <c r="N25" s="110">
        <v>6</v>
      </c>
      <c r="O25" s="110"/>
      <c r="W25" s="168"/>
      <c r="X25" s="169"/>
      <c r="Y25" s="169"/>
      <c r="Z25" s="169"/>
      <c r="AA25" s="169"/>
      <c r="AB25" s="83"/>
    </row>
    <row r="26" spans="1:29" x14ac:dyDescent="0.25">
      <c r="A26" s="76" t="s">
        <v>149</v>
      </c>
      <c r="B26" s="18"/>
      <c r="C26" s="18"/>
      <c r="D26" s="113"/>
      <c r="E26" s="113"/>
      <c r="F26" s="111"/>
      <c r="G26" s="111"/>
      <c r="H26" s="111"/>
      <c r="I26" s="111"/>
      <c r="J26" s="113"/>
      <c r="K26" s="113"/>
      <c r="L26" s="111"/>
      <c r="M26" s="111"/>
      <c r="N26" s="111"/>
      <c r="O26" s="111"/>
      <c r="W26" s="69" t="s">
        <v>70</v>
      </c>
      <c r="X26" s="63" t="s">
        <v>71</v>
      </c>
      <c r="Y26" s="63">
        <v>236</v>
      </c>
      <c r="Z26" s="63" t="s">
        <v>72</v>
      </c>
      <c r="AA26" s="63" t="s">
        <v>73</v>
      </c>
      <c r="AB26" s="83"/>
    </row>
    <row r="27" spans="1:29" ht="15" customHeight="1" x14ac:dyDescent="0.25">
      <c r="A27" s="76" t="s">
        <v>152</v>
      </c>
      <c r="B27" s="18"/>
      <c r="C27" s="18"/>
      <c r="D27" s="113"/>
      <c r="E27" s="113"/>
      <c r="F27" s="111"/>
      <c r="G27" s="111"/>
      <c r="H27" s="111"/>
      <c r="I27" s="111"/>
      <c r="J27" s="113"/>
      <c r="K27" s="113"/>
      <c r="L27" s="111"/>
      <c r="M27" s="111"/>
      <c r="N27" s="111"/>
      <c r="O27" s="111"/>
      <c r="P27" s="172" t="s">
        <v>160</v>
      </c>
      <c r="Q27" s="172"/>
      <c r="R27" s="172"/>
      <c r="S27" s="172"/>
      <c r="T27" s="172"/>
      <c r="U27" s="172"/>
      <c r="V27" s="172"/>
      <c r="W27" s="168"/>
      <c r="X27" s="169"/>
      <c r="Y27" s="169"/>
      <c r="Z27" s="169"/>
      <c r="AA27" s="169"/>
      <c r="AB27" s="83"/>
    </row>
    <row r="28" spans="1:29" ht="15" customHeight="1" x14ac:dyDescent="0.25">
      <c r="A28" s="76" t="s">
        <v>153</v>
      </c>
      <c r="D28" s="109" t="s">
        <v>20</v>
      </c>
      <c r="E28" s="109"/>
      <c r="F28" s="109" t="s">
        <v>20</v>
      </c>
      <c r="G28" s="109"/>
      <c r="H28" s="109" t="s">
        <v>20</v>
      </c>
      <c r="I28" s="109"/>
      <c r="J28" s="109" t="s">
        <v>20</v>
      </c>
      <c r="K28" s="109"/>
      <c r="L28" s="109" t="s">
        <v>20</v>
      </c>
      <c r="M28" s="109"/>
      <c r="N28" s="109" t="s">
        <v>20</v>
      </c>
      <c r="O28" s="109"/>
      <c r="P28" s="172"/>
      <c r="Q28" s="172"/>
      <c r="R28" s="172"/>
      <c r="S28" s="172"/>
      <c r="T28" s="172"/>
      <c r="U28" s="172"/>
      <c r="V28" s="172"/>
      <c r="W28" s="69" t="s">
        <v>74</v>
      </c>
      <c r="X28" s="63" t="s">
        <v>75</v>
      </c>
      <c r="Y28" s="63" t="s">
        <v>76</v>
      </c>
      <c r="Z28" s="63" t="s">
        <v>77</v>
      </c>
      <c r="AA28" s="63" t="s">
        <v>78</v>
      </c>
      <c r="AB28" s="83"/>
    </row>
    <row r="29" spans="1:29" ht="19.5" customHeight="1" thickBot="1" x14ac:dyDescent="0.35">
      <c r="A29" s="77" t="s">
        <v>158</v>
      </c>
      <c r="B29" s="125" t="s">
        <v>150</v>
      </c>
      <c r="C29" s="126"/>
      <c r="D29" s="166"/>
      <c r="E29" s="167"/>
      <c r="F29" s="166"/>
      <c r="G29" s="167"/>
      <c r="H29" s="166"/>
      <c r="I29" s="167"/>
      <c r="J29" s="166"/>
      <c r="K29" s="167"/>
      <c r="L29" s="166"/>
      <c r="M29" s="167"/>
      <c r="N29" s="166"/>
      <c r="O29" s="167"/>
      <c r="P29" s="172"/>
      <c r="Q29" s="172"/>
      <c r="R29" s="172"/>
      <c r="S29" s="172"/>
      <c r="T29" s="172"/>
      <c r="U29" s="172"/>
      <c r="V29" s="172"/>
      <c r="W29" s="170"/>
      <c r="X29" s="171"/>
      <c r="Y29" s="171"/>
      <c r="Z29" s="171"/>
      <c r="AA29" s="171"/>
      <c r="AB29" s="84"/>
    </row>
    <row r="30" spans="1:29" x14ac:dyDescent="0.25">
      <c r="P30" s="172"/>
      <c r="Q30" s="172"/>
      <c r="R30" s="172"/>
      <c r="S30" s="172"/>
      <c r="T30" s="172"/>
      <c r="U30" s="172"/>
      <c r="V30" s="172"/>
    </row>
    <row r="31" spans="1:29" x14ac:dyDescent="0.25"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</row>
    <row r="32" spans="1:29" x14ac:dyDescent="0.25">
      <c r="K32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</row>
    <row r="33" spans="5:29" x14ac:dyDescent="0.25">
      <c r="L33"/>
      <c r="N33" s="85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</row>
    <row r="34" spans="5:29" x14ac:dyDescent="0.25"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</row>
    <row r="35" spans="5:29" x14ac:dyDescent="0.25"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</row>
    <row r="36" spans="5:29" x14ac:dyDescent="0.25">
      <c r="H36" s="79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</row>
    <row r="37" spans="5:29" x14ac:dyDescent="0.25"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</row>
    <row r="38" spans="5:29" x14ac:dyDescent="0.25">
      <c r="W38" s="56" t="s">
        <v>42</v>
      </c>
    </row>
    <row r="39" spans="5:29" x14ac:dyDescent="0.25">
      <c r="E39" s="173" t="s">
        <v>163</v>
      </c>
      <c r="F39" s="173"/>
      <c r="G39" s="173"/>
      <c r="H39" s="173"/>
      <c r="I39" s="173"/>
      <c r="K39" s="173" t="s">
        <v>162</v>
      </c>
      <c r="L39" s="173"/>
    </row>
  </sheetData>
  <mergeCells count="65">
    <mergeCell ref="K39:L39"/>
    <mergeCell ref="E39:I39"/>
    <mergeCell ref="B29:C29"/>
    <mergeCell ref="M6:M7"/>
    <mergeCell ref="F12:F13"/>
    <mergeCell ref="M12:M13"/>
    <mergeCell ref="G9:L9"/>
    <mergeCell ref="F9:F10"/>
    <mergeCell ref="M9:M10"/>
    <mergeCell ref="F6:F7"/>
    <mergeCell ref="G6:G8"/>
    <mergeCell ref="H6:H8"/>
    <mergeCell ref="I6:I8"/>
    <mergeCell ref="J6:J8"/>
    <mergeCell ref="K6:K8"/>
    <mergeCell ref="C6:E9"/>
    <mergeCell ref="C10:E10"/>
    <mergeCell ref="G15:L15"/>
    <mergeCell ref="I14:J14"/>
    <mergeCell ref="L6:L8"/>
    <mergeCell ref="L12:L14"/>
    <mergeCell ref="B19:B21"/>
    <mergeCell ref="B23:E23"/>
    <mergeCell ref="F23:I23"/>
    <mergeCell ref="J23:M23"/>
    <mergeCell ref="C11:E14"/>
    <mergeCell ref="C15:E15"/>
    <mergeCell ref="G12:G14"/>
    <mergeCell ref="H11:H13"/>
    <mergeCell ref="I11:I13"/>
    <mergeCell ref="J11:J13"/>
    <mergeCell ref="K11:K13"/>
    <mergeCell ref="L28:M28"/>
    <mergeCell ref="B24:E24"/>
    <mergeCell ref="F24:I24"/>
    <mergeCell ref="J24:M24"/>
    <mergeCell ref="N24:Q24"/>
    <mergeCell ref="H25:I27"/>
    <mergeCell ref="J25:K27"/>
    <mergeCell ref="L25:M27"/>
    <mergeCell ref="N25:O27"/>
    <mergeCell ref="D25:E27"/>
    <mergeCell ref="F25:G27"/>
    <mergeCell ref="P27:V30"/>
    <mergeCell ref="F29:G29"/>
    <mergeCell ref="D28:E28"/>
    <mergeCell ref="F28:G28"/>
    <mergeCell ref="H28:I28"/>
    <mergeCell ref="J28:K28"/>
    <mergeCell ref="AB9:AB20"/>
    <mergeCell ref="AB22:AB29"/>
    <mergeCell ref="N31:AC37"/>
    <mergeCell ref="D29:E29"/>
    <mergeCell ref="N6:P9"/>
    <mergeCell ref="N10:P10"/>
    <mergeCell ref="N11:P14"/>
    <mergeCell ref="N15:P15"/>
    <mergeCell ref="R7:S7"/>
    <mergeCell ref="R9:S9"/>
    <mergeCell ref="N29:O29"/>
    <mergeCell ref="N23:Q23"/>
    <mergeCell ref="N28:O28"/>
    <mergeCell ref="L29:M29"/>
    <mergeCell ref="J29:K29"/>
    <mergeCell ref="H29:I29"/>
  </mergeCells>
  <conditionalFormatting sqref="A6:A29">
    <cfRule type="containsText" dxfId="2" priority="1" operator="containsText" text="小">
      <formula>NOT(ISERROR(SEARCH("小",A6)))</formula>
    </cfRule>
    <cfRule type="containsText" dxfId="1" priority="2" operator="containsText" text="大">
      <formula>NOT(ISERROR(SEARCH("大",A6)))</formula>
    </cfRule>
    <cfRule type="containsText" dxfId="0" priority="3" operator="containsText" text="豹子">
      <formula>NOT(ISERROR(SEARCH("豹子",A6)))</formula>
    </cfRule>
  </conditionalFormatting>
  <pageMargins left="0.7" right="0.7" top="0.75" bottom="0.75" header="0.3" footer="0.3"/>
  <pageSetup orientation="portrait" r:id="rId1"/>
  <ignoredErrors>
    <ignoredError sqref="L12 H11:K11 G12 G7:L8 G6:K6 L6" twoDigitTextYear="1"/>
    <ignoredError sqref="W9:AA9 W11 Y11 W13 Y13 W15:AA15 W17 Z17 W19 Z19 W22:AA22 W24:Y24 W26:X26 W28:AA28 Z26:AA26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110"/>
  <sheetViews>
    <sheetView zoomScale="106" zoomScaleNormal="106" workbookViewId="0">
      <selection activeCell="O2" sqref="O2"/>
    </sheetView>
  </sheetViews>
  <sheetFormatPr defaultRowHeight="15" x14ac:dyDescent="0.25"/>
  <cols>
    <col min="1" max="1" width="10.5703125" bestFit="1" customWidth="1"/>
  </cols>
  <sheetData>
    <row r="1" spans="1:20" ht="15.75" thickBot="1" x14ac:dyDescent="0.3">
      <c r="A1">
        <f>Main!A1</f>
        <v>4</v>
      </c>
      <c r="B1">
        <f>Main!A2</f>
        <v>2</v>
      </c>
      <c r="C1">
        <f>Main!A3</f>
        <v>1</v>
      </c>
      <c r="F1">
        <f>Main!B1</f>
        <v>7</v>
      </c>
      <c r="H1" t="s">
        <v>144</v>
      </c>
      <c r="O1" t="s">
        <v>157</v>
      </c>
    </row>
    <row r="2" spans="1:20" ht="15.75" thickTop="1" x14ac:dyDescent="0.25">
      <c r="F2" t="s">
        <v>111</v>
      </c>
      <c r="H2" t="s">
        <v>145</v>
      </c>
      <c r="O2" s="65" t="s">
        <v>44</v>
      </c>
      <c r="P2" s="66" t="s">
        <v>45</v>
      </c>
      <c r="Q2" s="67" t="s">
        <v>49</v>
      </c>
      <c r="R2" s="66" t="s">
        <v>46</v>
      </c>
      <c r="S2" s="66" t="s">
        <v>47</v>
      </c>
      <c r="T2" s="80" t="s">
        <v>43</v>
      </c>
    </row>
    <row r="3" spans="1:20" x14ac:dyDescent="0.25">
      <c r="F3">
        <f>SUM(F5:F110)</f>
        <v>0</v>
      </c>
      <c r="H3" t="s">
        <v>146</v>
      </c>
      <c r="I3">
        <f>SUM(I5:I110)</f>
        <v>0</v>
      </c>
      <c r="O3" s="68"/>
      <c r="P3" s="64"/>
      <c r="Q3" s="64"/>
      <c r="R3" s="64"/>
      <c r="S3" s="64"/>
      <c r="T3" s="81"/>
    </row>
    <row r="4" spans="1:20" x14ac:dyDescent="0.25">
      <c r="B4" t="s">
        <v>79</v>
      </c>
      <c r="C4" t="s">
        <v>80</v>
      </c>
      <c r="D4" t="s">
        <v>103</v>
      </c>
      <c r="E4" t="s">
        <v>104</v>
      </c>
      <c r="F4" t="s">
        <v>81</v>
      </c>
      <c r="G4" t="s">
        <v>82</v>
      </c>
      <c r="H4" t="s">
        <v>84</v>
      </c>
      <c r="I4" t="s">
        <v>83</v>
      </c>
      <c r="O4" s="69" t="s">
        <v>48</v>
      </c>
      <c r="P4" s="63">
        <v>223</v>
      </c>
      <c r="Q4" s="63" t="s">
        <v>50</v>
      </c>
      <c r="R4" s="63">
        <v>225</v>
      </c>
      <c r="S4" s="63">
        <v>226</v>
      </c>
      <c r="T4" s="81"/>
    </row>
    <row r="5" spans="1:20" x14ac:dyDescent="0.25">
      <c r="A5" t="s">
        <v>23</v>
      </c>
      <c r="B5">
        <v>6</v>
      </c>
      <c r="C5">
        <v>3</v>
      </c>
      <c r="D5">
        <v>6</v>
      </c>
      <c r="E5">
        <v>3</v>
      </c>
      <c r="F5">
        <f>Main!C10</f>
        <v>0</v>
      </c>
      <c r="G5" t="b">
        <f>Main!D1</f>
        <v>1</v>
      </c>
      <c r="H5">
        <v>1</v>
      </c>
      <c r="I5">
        <f>IF(G5=TRUE,H5*F5,0)</f>
        <v>0</v>
      </c>
      <c r="O5" s="68"/>
      <c r="P5" s="64"/>
      <c r="Q5" s="64"/>
      <c r="R5" s="64"/>
      <c r="S5" s="64"/>
      <c r="T5" s="81"/>
    </row>
    <row r="6" spans="1:20" x14ac:dyDescent="0.25">
      <c r="A6" t="s">
        <v>85</v>
      </c>
      <c r="B6">
        <v>6</v>
      </c>
      <c r="C6">
        <v>14</v>
      </c>
      <c r="D6">
        <v>6</v>
      </c>
      <c r="E6">
        <v>14</v>
      </c>
      <c r="F6">
        <f>Main!N10</f>
        <v>0</v>
      </c>
      <c r="G6" t="b">
        <f>Main!M1</f>
        <v>0</v>
      </c>
      <c r="H6">
        <v>1</v>
      </c>
      <c r="I6">
        <f>IF(G6=TRUE,H6*F6,0)</f>
        <v>0</v>
      </c>
      <c r="O6" s="69" t="s">
        <v>52</v>
      </c>
      <c r="P6" s="63">
        <v>332</v>
      </c>
      <c r="Q6" s="63" t="s">
        <v>51</v>
      </c>
      <c r="R6" s="63">
        <v>335</v>
      </c>
      <c r="S6" s="63">
        <v>336</v>
      </c>
      <c r="T6" s="81"/>
    </row>
    <row r="7" spans="1:20" x14ac:dyDescent="0.25">
      <c r="A7" t="s">
        <v>137</v>
      </c>
      <c r="B7">
        <v>6</v>
      </c>
      <c r="C7">
        <v>7</v>
      </c>
      <c r="D7">
        <v>6</v>
      </c>
      <c r="E7">
        <v>7</v>
      </c>
      <c r="F7">
        <f>Main!G10</f>
        <v>0</v>
      </c>
      <c r="G7" t="b">
        <f>Main!F1</f>
        <v>0</v>
      </c>
      <c r="H7">
        <v>150</v>
      </c>
      <c r="I7">
        <f t="shared" ref="I7:I70" si="0">IF(G7=TRUE,H7*F7,0)</f>
        <v>0</v>
      </c>
      <c r="O7" s="68"/>
      <c r="P7" s="64"/>
      <c r="Q7" s="64"/>
      <c r="R7" s="64"/>
      <c r="S7" s="64"/>
      <c r="T7" s="81"/>
    </row>
    <row r="8" spans="1:20" x14ac:dyDescent="0.25">
      <c r="A8" t="s">
        <v>138</v>
      </c>
      <c r="B8">
        <v>6</v>
      </c>
      <c r="C8">
        <v>8</v>
      </c>
      <c r="D8">
        <v>6</v>
      </c>
      <c r="E8">
        <v>8</v>
      </c>
      <c r="F8">
        <f>Main!H10</f>
        <v>0</v>
      </c>
      <c r="G8" t="b">
        <f>Main!G1</f>
        <v>0</v>
      </c>
      <c r="H8">
        <v>150</v>
      </c>
      <c r="I8">
        <f t="shared" si="0"/>
        <v>0</v>
      </c>
      <c r="O8" s="70" t="s">
        <v>53</v>
      </c>
      <c r="P8" s="63" t="s">
        <v>54</v>
      </c>
      <c r="Q8" s="63" t="s">
        <v>55</v>
      </c>
      <c r="R8" s="63" t="s">
        <v>56</v>
      </c>
      <c r="S8" s="63" t="s">
        <v>57</v>
      </c>
      <c r="T8" s="81"/>
    </row>
    <row r="9" spans="1:20" x14ac:dyDescent="0.25">
      <c r="A9" t="s">
        <v>139</v>
      </c>
      <c r="B9">
        <v>6</v>
      </c>
      <c r="C9">
        <v>9</v>
      </c>
      <c r="D9">
        <v>6</v>
      </c>
      <c r="E9">
        <v>9</v>
      </c>
      <c r="F9">
        <f>Main!I10</f>
        <v>0</v>
      </c>
      <c r="G9" t="b">
        <f>Main!H1</f>
        <v>0</v>
      </c>
      <c r="H9">
        <v>150</v>
      </c>
      <c r="I9">
        <f t="shared" si="0"/>
        <v>0</v>
      </c>
      <c r="O9" s="68"/>
      <c r="P9" s="64"/>
      <c r="Q9" s="64"/>
      <c r="R9" s="64"/>
      <c r="S9" s="64"/>
      <c r="T9" s="81"/>
    </row>
    <row r="10" spans="1:20" x14ac:dyDescent="0.25">
      <c r="A10" t="s">
        <v>140</v>
      </c>
      <c r="B10">
        <v>6</v>
      </c>
      <c r="C10">
        <v>10</v>
      </c>
      <c r="D10">
        <v>6</v>
      </c>
      <c r="E10">
        <v>10</v>
      </c>
      <c r="F10">
        <f>Main!J10</f>
        <v>0</v>
      </c>
      <c r="G10" t="b">
        <f>Main!I1</f>
        <v>0</v>
      </c>
      <c r="H10">
        <v>150</v>
      </c>
      <c r="I10">
        <f t="shared" si="0"/>
        <v>0</v>
      </c>
      <c r="O10" s="69" t="s">
        <v>58</v>
      </c>
      <c r="P10" s="63">
        <v>552</v>
      </c>
      <c r="Q10" s="63">
        <v>553</v>
      </c>
      <c r="R10" s="63" t="s">
        <v>59</v>
      </c>
      <c r="S10" s="63">
        <v>556</v>
      </c>
      <c r="T10" s="81"/>
    </row>
    <row r="11" spans="1:20" x14ac:dyDescent="0.25">
      <c r="A11" t="s">
        <v>141</v>
      </c>
      <c r="B11">
        <v>6</v>
      </c>
      <c r="C11">
        <v>11</v>
      </c>
      <c r="D11">
        <v>6</v>
      </c>
      <c r="E11">
        <v>11</v>
      </c>
      <c r="F11">
        <f>Main!K10</f>
        <v>0</v>
      </c>
      <c r="G11" t="b">
        <f>Main!J1</f>
        <v>0</v>
      </c>
      <c r="H11">
        <v>150</v>
      </c>
      <c r="I11">
        <f t="shared" si="0"/>
        <v>0</v>
      </c>
      <c r="O11" s="68"/>
      <c r="P11" s="64"/>
      <c r="Q11" s="64"/>
      <c r="R11" s="64"/>
      <c r="S11" s="64"/>
      <c r="T11" s="81"/>
    </row>
    <row r="12" spans="1:20" x14ac:dyDescent="0.25">
      <c r="A12" t="s">
        <v>142</v>
      </c>
      <c r="B12">
        <v>6</v>
      </c>
      <c r="C12">
        <v>12</v>
      </c>
      <c r="D12">
        <v>6</v>
      </c>
      <c r="E12">
        <v>12</v>
      </c>
      <c r="F12">
        <f>Main!L10</f>
        <v>0</v>
      </c>
      <c r="G12" t="b">
        <f>Main!K1</f>
        <v>0</v>
      </c>
      <c r="H12">
        <v>150</v>
      </c>
      <c r="I12">
        <f t="shared" si="0"/>
        <v>0</v>
      </c>
      <c r="O12" s="69" t="s">
        <v>60</v>
      </c>
      <c r="P12" s="63">
        <v>662</v>
      </c>
      <c r="Q12" s="63">
        <v>663</v>
      </c>
      <c r="R12" s="63" t="s">
        <v>61</v>
      </c>
      <c r="S12" s="63">
        <v>665</v>
      </c>
      <c r="T12" s="81"/>
    </row>
    <row r="13" spans="1:20" ht="15.75" thickBot="1" x14ac:dyDescent="0.3">
      <c r="A13" t="s">
        <v>131</v>
      </c>
      <c r="B13">
        <v>6</v>
      </c>
      <c r="C13">
        <v>6</v>
      </c>
      <c r="D13">
        <v>6</v>
      </c>
      <c r="E13">
        <v>6</v>
      </c>
      <c r="F13">
        <f>Main!F8</f>
        <v>0</v>
      </c>
      <c r="G13" t="b">
        <f>Main!R3</f>
        <v>0</v>
      </c>
      <c r="H13">
        <v>8</v>
      </c>
      <c r="I13">
        <f t="shared" si="0"/>
        <v>0</v>
      </c>
      <c r="O13" s="71"/>
      <c r="P13" s="72"/>
      <c r="Q13" s="72"/>
      <c r="R13" s="72"/>
      <c r="S13" s="72"/>
      <c r="T13" s="82"/>
    </row>
    <row r="14" spans="1:20" ht="16.5" thickTop="1" thickBot="1" x14ac:dyDescent="0.3">
      <c r="A14" t="s">
        <v>132</v>
      </c>
      <c r="B14">
        <v>9</v>
      </c>
      <c r="C14">
        <v>6</v>
      </c>
      <c r="D14">
        <v>9</v>
      </c>
      <c r="E14">
        <v>6</v>
      </c>
      <c r="F14">
        <f>Main!F11</f>
        <v>0</v>
      </c>
      <c r="G14" t="b">
        <f>Main!S3</f>
        <v>0</v>
      </c>
      <c r="H14">
        <v>8</v>
      </c>
      <c r="I14">
        <f t="shared" si="0"/>
        <v>0</v>
      </c>
      <c r="O14" s="1"/>
      <c r="P14" s="1"/>
      <c r="Q14" s="1"/>
      <c r="R14" s="1"/>
      <c r="S14" s="1"/>
      <c r="T14" s="1"/>
    </row>
    <row r="15" spans="1:20" ht="15" customHeight="1" thickTop="1" x14ac:dyDescent="0.25">
      <c r="A15" t="s">
        <v>133</v>
      </c>
      <c r="B15">
        <v>12</v>
      </c>
      <c r="C15">
        <v>6</v>
      </c>
      <c r="D15">
        <v>12</v>
      </c>
      <c r="E15">
        <v>6</v>
      </c>
      <c r="F15">
        <f>Main!F14</f>
        <v>0</v>
      </c>
      <c r="G15" t="b">
        <f>Main!T3</f>
        <v>0</v>
      </c>
      <c r="H15">
        <v>8</v>
      </c>
      <c r="I15">
        <f t="shared" si="0"/>
        <v>0</v>
      </c>
      <c r="O15" s="65" t="s">
        <v>63</v>
      </c>
      <c r="P15" s="66" t="s">
        <v>64</v>
      </c>
      <c r="Q15" s="66" t="s">
        <v>65</v>
      </c>
      <c r="R15" s="66">
        <v>256</v>
      </c>
      <c r="S15" s="66" t="s">
        <v>66</v>
      </c>
      <c r="T15" s="80" t="s">
        <v>62</v>
      </c>
    </row>
    <row r="16" spans="1:20" x14ac:dyDescent="0.25">
      <c r="A16" t="s">
        <v>134</v>
      </c>
      <c r="B16">
        <v>12</v>
      </c>
      <c r="C16">
        <v>13</v>
      </c>
      <c r="D16">
        <v>12</v>
      </c>
      <c r="E16">
        <v>13</v>
      </c>
      <c r="F16">
        <f>Main!M14</f>
        <v>0</v>
      </c>
      <c r="G16" t="b">
        <f>Main!U3</f>
        <v>0</v>
      </c>
      <c r="H16">
        <v>8</v>
      </c>
      <c r="I16">
        <f t="shared" si="0"/>
        <v>0</v>
      </c>
      <c r="O16" s="68"/>
      <c r="P16" s="64"/>
      <c r="Q16" s="64"/>
      <c r="R16" s="64"/>
      <c r="S16" s="64"/>
      <c r="T16" s="83"/>
    </row>
    <row r="17" spans="1:20" x14ac:dyDescent="0.25">
      <c r="A17" t="s">
        <v>135</v>
      </c>
      <c r="B17">
        <v>9</v>
      </c>
      <c r="C17">
        <v>13</v>
      </c>
      <c r="D17">
        <v>9</v>
      </c>
      <c r="E17">
        <v>13</v>
      </c>
      <c r="F17">
        <f>Main!M11</f>
        <v>0</v>
      </c>
      <c r="G17" t="b">
        <f>Main!V3</f>
        <v>0</v>
      </c>
      <c r="H17">
        <v>8</v>
      </c>
      <c r="I17">
        <f t="shared" si="0"/>
        <v>0</v>
      </c>
      <c r="O17" s="69" t="s">
        <v>67</v>
      </c>
      <c r="P17" s="63" t="s">
        <v>68</v>
      </c>
      <c r="Q17" s="63" t="s">
        <v>69</v>
      </c>
      <c r="R17" s="63">
        <v>235</v>
      </c>
      <c r="S17" s="63">
        <v>356</v>
      </c>
      <c r="T17" s="83"/>
    </row>
    <row r="18" spans="1:20" x14ac:dyDescent="0.25">
      <c r="A18" t="s">
        <v>136</v>
      </c>
      <c r="B18">
        <v>6</v>
      </c>
      <c r="C18">
        <v>13</v>
      </c>
      <c r="D18">
        <v>6</v>
      </c>
      <c r="E18">
        <v>13</v>
      </c>
      <c r="F18">
        <f>Main!M8</f>
        <v>0</v>
      </c>
      <c r="G18" t="b">
        <f>Main!W3</f>
        <v>0</v>
      </c>
      <c r="H18">
        <v>8</v>
      </c>
      <c r="I18">
        <f t="shared" si="0"/>
        <v>0</v>
      </c>
      <c r="O18" s="68"/>
      <c r="P18" s="64"/>
      <c r="Q18" s="64"/>
      <c r="R18" s="64"/>
      <c r="S18" s="64"/>
      <c r="T18" s="83"/>
    </row>
    <row r="19" spans="1:20" x14ac:dyDescent="0.25">
      <c r="A19" t="s">
        <v>86</v>
      </c>
      <c r="B19">
        <v>11</v>
      </c>
      <c r="C19">
        <v>3</v>
      </c>
      <c r="D19">
        <v>11</v>
      </c>
      <c r="E19">
        <v>3</v>
      </c>
      <c r="F19">
        <f>Main!C15</f>
        <v>0</v>
      </c>
      <c r="G19" t="b">
        <f>Main!O1</f>
        <v>1</v>
      </c>
      <c r="H19">
        <v>1</v>
      </c>
      <c r="I19">
        <f t="shared" si="0"/>
        <v>0</v>
      </c>
      <c r="O19" s="69" t="s">
        <v>70</v>
      </c>
      <c r="P19" s="63" t="s">
        <v>71</v>
      </c>
      <c r="Q19" s="63">
        <v>236</v>
      </c>
      <c r="R19" s="63" t="s">
        <v>72</v>
      </c>
      <c r="S19" s="63" t="s">
        <v>73</v>
      </c>
      <c r="T19" s="83"/>
    </row>
    <row r="20" spans="1:20" x14ac:dyDescent="0.25">
      <c r="A20" t="s">
        <v>87</v>
      </c>
      <c r="B20">
        <v>11</v>
      </c>
      <c r="C20">
        <v>14</v>
      </c>
      <c r="D20">
        <v>11</v>
      </c>
      <c r="E20">
        <v>14</v>
      </c>
      <c r="F20">
        <f>Main!N15</f>
        <v>0</v>
      </c>
      <c r="G20" t="b">
        <f>Main!S1</f>
        <v>0</v>
      </c>
      <c r="H20">
        <v>1</v>
      </c>
      <c r="I20">
        <f t="shared" si="0"/>
        <v>0</v>
      </c>
      <c r="O20" s="68"/>
      <c r="P20" s="64"/>
      <c r="Q20" s="64"/>
      <c r="R20" s="64"/>
      <c r="S20" s="64"/>
      <c r="T20" s="83"/>
    </row>
    <row r="21" spans="1:20" x14ac:dyDescent="0.25">
      <c r="A21" t="s">
        <v>143</v>
      </c>
      <c r="B21">
        <v>11</v>
      </c>
      <c r="C21">
        <v>7</v>
      </c>
      <c r="D21">
        <v>14</v>
      </c>
      <c r="E21">
        <v>13</v>
      </c>
      <c r="F21">
        <f>Main!G15</f>
        <v>0</v>
      </c>
      <c r="G21" t="b">
        <f>Main!U1</f>
        <v>0</v>
      </c>
      <c r="H21">
        <v>24</v>
      </c>
      <c r="I21">
        <f t="shared" si="0"/>
        <v>0</v>
      </c>
      <c r="O21" s="69" t="s">
        <v>74</v>
      </c>
      <c r="P21" s="63" t="s">
        <v>75</v>
      </c>
      <c r="Q21" s="63" t="s">
        <v>76</v>
      </c>
      <c r="R21" s="63" t="s">
        <v>77</v>
      </c>
      <c r="S21" s="63" t="s">
        <v>78</v>
      </c>
      <c r="T21" s="83"/>
    </row>
    <row r="22" spans="1:20" ht="15.75" thickBot="1" x14ac:dyDescent="0.3">
      <c r="A22" t="s">
        <v>89</v>
      </c>
      <c r="B22">
        <v>16</v>
      </c>
      <c r="C22">
        <v>3</v>
      </c>
      <c r="D22">
        <v>17</v>
      </c>
      <c r="E22">
        <v>3</v>
      </c>
      <c r="F22">
        <f>Main!C18</f>
        <v>0</v>
      </c>
      <c r="G22" t="b">
        <f>Main!C2</f>
        <v>0</v>
      </c>
      <c r="H22">
        <v>30</v>
      </c>
      <c r="I22">
        <f t="shared" si="0"/>
        <v>0</v>
      </c>
      <c r="O22" s="71"/>
      <c r="P22" s="72"/>
      <c r="Q22" s="72"/>
      <c r="R22" s="72"/>
      <c r="S22" s="72"/>
      <c r="T22" s="84"/>
    </row>
    <row r="23" spans="1:20" ht="15.75" thickTop="1" x14ac:dyDescent="0.25">
      <c r="A23" t="s">
        <v>90</v>
      </c>
      <c r="B23">
        <v>16</v>
      </c>
      <c r="C23">
        <v>4</v>
      </c>
      <c r="D23">
        <v>17</v>
      </c>
      <c r="E23">
        <v>4</v>
      </c>
      <c r="F23">
        <f>Main!D18</f>
        <v>0</v>
      </c>
      <c r="G23" t="b">
        <f>Main!D2</f>
        <v>0</v>
      </c>
      <c r="H23">
        <v>18</v>
      </c>
      <c r="I23">
        <f t="shared" si="0"/>
        <v>0</v>
      </c>
      <c r="T23" s="62"/>
    </row>
    <row r="24" spans="1:20" x14ac:dyDescent="0.25">
      <c r="A24" t="s">
        <v>91</v>
      </c>
      <c r="B24">
        <v>16</v>
      </c>
      <c r="C24">
        <v>5</v>
      </c>
      <c r="D24">
        <v>17</v>
      </c>
      <c r="E24">
        <v>5</v>
      </c>
      <c r="F24">
        <f>Main!E18</f>
        <v>0</v>
      </c>
      <c r="G24" t="b">
        <f>Main!E2</f>
        <v>0</v>
      </c>
      <c r="H24">
        <v>13</v>
      </c>
      <c r="I24">
        <f t="shared" si="0"/>
        <v>0</v>
      </c>
      <c r="T24" s="62"/>
    </row>
    <row r="25" spans="1:20" x14ac:dyDescent="0.25">
      <c r="A25" t="s">
        <v>92</v>
      </c>
      <c r="B25">
        <v>16</v>
      </c>
      <c r="C25">
        <v>6</v>
      </c>
      <c r="D25">
        <v>17</v>
      </c>
      <c r="E25">
        <v>6</v>
      </c>
      <c r="F25">
        <f>Main!F18</f>
        <v>0</v>
      </c>
      <c r="G25" t="b">
        <f>Main!F2</f>
        <v>1</v>
      </c>
      <c r="H25">
        <v>8</v>
      </c>
      <c r="I25">
        <f t="shared" si="0"/>
        <v>0</v>
      </c>
      <c r="T25" s="62"/>
    </row>
    <row r="26" spans="1:20" x14ac:dyDescent="0.25">
      <c r="A26" t="s">
        <v>93</v>
      </c>
      <c r="B26">
        <v>16</v>
      </c>
      <c r="C26">
        <v>7</v>
      </c>
      <c r="D26">
        <v>17</v>
      </c>
      <c r="E26">
        <v>7</v>
      </c>
      <c r="F26">
        <f>Main!G18</f>
        <v>0</v>
      </c>
      <c r="G26" t="b">
        <f>Main!G2</f>
        <v>0</v>
      </c>
      <c r="H26">
        <v>6</v>
      </c>
      <c r="I26">
        <f t="shared" si="0"/>
        <v>0</v>
      </c>
      <c r="T26" s="62"/>
    </row>
    <row r="27" spans="1:20" x14ac:dyDescent="0.25">
      <c r="A27" t="s">
        <v>94</v>
      </c>
      <c r="B27">
        <v>16</v>
      </c>
      <c r="C27">
        <v>8</v>
      </c>
      <c r="D27">
        <v>17</v>
      </c>
      <c r="E27">
        <v>8</v>
      </c>
      <c r="F27">
        <f>Main!H18</f>
        <v>0</v>
      </c>
      <c r="G27" t="b">
        <f>Main!H2</f>
        <v>0</v>
      </c>
      <c r="H27">
        <v>6</v>
      </c>
      <c r="I27">
        <f t="shared" si="0"/>
        <v>0</v>
      </c>
    </row>
    <row r="28" spans="1:20" x14ac:dyDescent="0.25">
      <c r="A28" t="s">
        <v>95</v>
      </c>
      <c r="B28">
        <v>16</v>
      </c>
      <c r="C28">
        <v>9</v>
      </c>
      <c r="D28">
        <v>17</v>
      </c>
      <c r="E28">
        <v>9</v>
      </c>
      <c r="F28">
        <f>Main!I18</f>
        <v>0</v>
      </c>
      <c r="G28" t="b">
        <f>Main!I2</f>
        <v>0</v>
      </c>
      <c r="H28">
        <v>6</v>
      </c>
      <c r="I28">
        <f t="shared" si="0"/>
        <v>0</v>
      </c>
    </row>
    <row r="29" spans="1:20" x14ac:dyDescent="0.25">
      <c r="A29" t="s">
        <v>96</v>
      </c>
      <c r="B29">
        <v>16</v>
      </c>
      <c r="C29">
        <v>10</v>
      </c>
      <c r="D29">
        <v>17</v>
      </c>
      <c r="E29">
        <v>10</v>
      </c>
      <c r="F29">
        <f>Main!J18</f>
        <v>0</v>
      </c>
      <c r="G29" t="b">
        <f>Main!J2</f>
        <v>0</v>
      </c>
      <c r="H29">
        <v>6</v>
      </c>
      <c r="I29">
        <f t="shared" si="0"/>
        <v>0</v>
      </c>
    </row>
    <row r="30" spans="1:20" x14ac:dyDescent="0.25">
      <c r="A30" t="s">
        <v>97</v>
      </c>
      <c r="B30">
        <v>16</v>
      </c>
      <c r="C30">
        <v>11</v>
      </c>
      <c r="D30">
        <v>17</v>
      </c>
      <c r="E30">
        <v>11</v>
      </c>
      <c r="F30">
        <f>Main!K18</f>
        <v>0</v>
      </c>
      <c r="G30" t="b">
        <f>Main!K2</f>
        <v>0</v>
      </c>
      <c r="H30">
        <v>6</v>
      </c>
      <c r="I30">
        <f t="shared" si="0"/>
        <v>0</v>
      </c>
    </row>
    <row r="31" spans="1:20" x14ac:dyDescent="0.25">
      <c r="A31" t="s">
        <v>98</v>
      </c>
      <c r="B31">
        <v>16</v>
      </c>
      <c r="C31">
        <v>12</v>
      </c>
      <c r="D31">
        <v>17</v>
      </c>
      <c r="E31">
        <v>12</v>
      </c>
      <c r="F31">
        <f>Main!L18</f>
        <v>0</v>
      </c>
      <c r="G31" t="b">
        <f>Main!L2</f>
        <v>0</v>
      </c>
      <c r="H31">
        <v>8</v>
      </c>
      <c r="I31">
        <f t="shared" si="0"/>
        <v>0</v>
      </c>
    </row>
    <row r="32" spans="1:20" x14ac:dyDescent="0.25">
      <c r="A32" t="s">
        <v>99</v>
      </c>
      <c r="B32">
        <v>16</v>
      </c>
      <c r="C32">
        <v>13</v>
      </c>
      <c r="D32">
        <v>17</v>
      </c>
      <c r="E32">
        <v>13</v>
      </c>
      <c r="F32">
        <f>Main!M18</f>
        <v>0</v>
      </c>
      <c r="G32" t="b">
        <f>Main!M2</f>
        <v>0</v>
      </c>
      <c r="H32">
        <v>13</v>
      </c>
      <c r="I32">
        <f t="shared" si="0"/>
        <v>0</v>
      </c>
    </row>
    <row r="33" spans="1:9" x14ac:dyDescent="0.25">
      <c r="A33" t="s">
        <v>100</v>
      </c>
      <c r="B33">
        <v>16</v>
      </c>
      <c r="C33">
        <v>14</v>
      </c>
      <c r="D33">
        <v>17</v>
      </c>
      <c r="E33">
        <v>14</v>
      </c>
      <c r="F33">
        <f>Main!N18</f>
        <v>0</v>
      </c>
      <c r="G33" t="b">
        <f>Main!N2</f>
        <v>0</v>
      </c>
      <c r="H33">
        <v>18</v>
      </c>
      <c r="I33">
        <f t="shared" si="0"/>
        <v>0</v>
      </c>
    </row>
    <row r="34" spans="1:9" x14ac:dyDescent="0.25">
      <c r="A34" t="s">
        <v>101</v>
      </c>
      <c r="B34">
        <v>16</v>
      </c>
      <c r="C34">
        <v>15</v>
      </c>
      <c r="D34">
        <v>17</v>
      </c>
      <c r="E34">
        <v>15</v>
      </c>
      <c r="F34">
        <f>Main!O18</f>
        <v>0</v>
      </c>
      <c r="G34" t="b">
        <f>Main!O2</f>
        <v>0</v>
      </c>
      <c r="H34">
        <v>30</v>
      </c>
      <c r="I34">
        <f t="shared" si="0"/>
        <v>0</v>
      </c>
    </row>
    <row r="35" spans="1:9" x14ac:dyDescent="0.25">
      <c r="A35" t="s">
        <v>102</v>
      </c>
      <c r="B35">
        <v>16</v>
      </c>
      <c r="C35">
        <v>16</v>
      </c>
      <c r="D35">
        <v>17</v>
      </c>
      <c r="E35">
        <v>16</v>
      </c>
      <c r="F35">
        <f>Main!P18</f>
        <v>0</v>
      </c>
      <c r="G35" t="b">
        <f>Main!P2</f>
        <v>0</v>
      </c>
      <c r="H35">
        <v>50</v>
      </c>
      <c r="I35">
        <f t="shared" si="0"/>
        <v>0</v>
      </c>
    </row>
    <row r="36" spans="1:9" x14ac:dyDescent="0.25">
      <c r="A36" t="s">
        <v>116</v>
      </c>
      <c r="B36">
        <v>19</v>
      </c>
      <c r="C36">
        <v>3</v>
      </c>
      <c r="D36">
        <v>20</v>
      </c>
      <c r="E36">
        <v>3</v>
      </c>
      <c r="F36">
        <f>Main!C21</f>
        <v>0</v>
      </c>
      <c r="G36" t="b">
        <f>Main!C3</f>
        <v>1</v>
      </c>
      <c r="H36">
        <v>7</v>
      </c>
      <c r="I36">
        <f t="shared" si="0"/>
        <v>0</v>
      </c>
    </row>
    <row r="37" spans="1:9" x14ac:dyDescent="0.25">
      <c r="A37" t="s">
        <v>117</v>
      </c>
      <c r="B37">
        <v>19</v>
      </c>
      <c r="C37">
        <v>4</v>
      </c>
      <c r="D37">
        <v>20</v>
      </c>
      <c r="E37">
        <v>4</v>
      </c>
      <c r="F37">
        <f>Main!D21</f>
        <v>0</v>
      </c>
      <c r="G37" t="b">
        <f>Main!D3</f>
        <v>1</v>
      </c>
      <c r="H37">
        <v>7</v>
      </c>
      <c r="I37">
        <f t="shared" si="0"/>
        <v>0</v>
      </c>
    </row>
    <row r="38" spans="1:9" x14ac:dyDescent="0.25">
      <c r="A38" t="s">
        <v>118</v>
      </c>
      <c r="B38">
        <v>19</v>
      </c>
      <c r="C38">
        <v>5</v>
      </c>
      <c r="D38">
        <v>20</v>
      </c>
      <c r="E38">
        <v>5</v>
      </c>
      <c r="F38">
        <f>Main!E21</f>
        <v>0</v>
      </c>
      <c r="G38" t="b">
        <f>Main!E3</f>
        <v>0</v>
      </c>
      <c r="H38">
        <v>7</v>
      </c>
      <c r="I38">
        <f t="shared" si="0"/>
        <v>0</v>
      </c>
    </row>
    <row r="39" spans="1:9" x14ac:dyDescent="0.25">
      <c r="A39" t="s">
        <v>119</v>
      </c>
      <c r="B39">
        <v>19</v>
      </c>
      <c r="C39">
        <v>6</v>
      </c>
      <c r="D39">
        <v>20</v>
      </c>
      <c r="E39">
        <v>6</v>
      </c>
      <c r="F39">
        <f>Main!F21</f>
        <v>0</v>
      </c>
      <c r="G39" t="b">
        <f>Main!F3</f>
        <v>1</v>
      </c>
      <c r="H39">
        <v>7</v>
      </c>
      <c r="I39">
        <f t="shared" si="0"/>
        <v>0</v>
      </c>
    </row>
    <row r="40" spans="1:9" x14ac:dyDescent="0.25">
      <c r="A40" t="s">
        <v>120</v>
      </c>
      <c r="B40">
        <v>19</v>
      </c>
      <c r="C40">
        <v>7</v>
      </c>
      <c r="D40">
        <v>20</v>
      </c>
      <c r="E40">
        <v>7</v>
      </c>
      <c r="F40">
        <f>Main!G21</f>
        <v>0</v>
      </c>
      <c r="G40" t="b">
        <f>Main!G3</f>
        <v>0</v>
      </c>
      <c r="H40">
        <v>7</v>
      </c>
      <c r="I40">
        <f t="shared" si="0"/>
        <v>0</v>
      </c>
    </row>
    <row r="41" spans="1:9" x14ac:dyDescent="0.25">
      <c r="A41" t="s">
        <v>121</v>
      </c>
      <c r="B41">
        <v>19</v>
      </c>
      <c r="C41">
        <v>8</v>
      </c>
      <c r="D41">
        <v>20</v>
      </c>
      <c r="E41">
        <v>8</v>
      </c>
      <c r="F41">
        <f>Main!H21</f>
        <v>0</v>
      </c>
      <c r="G41" t="b">
        <f>Main!H3</f>
        <v>0</v>
      </c>
      <c r="H41">
        <v>7</v>
      </c>
      <c r="I41">
        <f t="shared" si="0"/>
        <v>0</v>
      </c>
    </row>
    <row r="42" spans="1:9" x14ac:dyDescent="0.25">
      <c r="A42" t="s">
        <v>122</v>
      </c>
      <c r="B42">
        <v>19</v>
      </c>
      <c r="C42">
        <v>9</v>
      </c>
      <c r="D42">
        <v>20</v>
      </c>
      <c r="E42">
        <v>9</v>
      </c>
      <c r="F42">
        <f>Main!I21</f>
        <v>0</v>
      </c>
      <c r="G42" t="b">
        <f>Main!I3</f>
        <v>0</v>
      </c>
      <c r="H42">
        <v>7</v>
      </c>
      <c r="I42">
        <f t="shared" si="0"/>
        <v>0</v>
      </c>
    </row>
    <row r="43" spans="1:9" x14ac:dyDescent="0.25">
      <c r="A43" t="s">
        <v>123</v>
      </c>
      <c r="B43">
        <v>19</v>
      </c>
      <c r="C43">
        <v>10</v>
      </c>
      <c r="D43">
        <v>20</v>
      </c>
      <c r="E43">
        <v>10</v>
      </c>
      <c r="F43">
        <f>Main!J21</f>
        <v>0</v>
      </c>
      <c r="G43" t="b">
        <f>Main!J3</f>
        <v>0</v>
      </c>
      <c r="H43">
        <v>7</v>
      </c>
      <c r="I43">
        <f t="shared" si="0"/>
        <v>0</v>
      </c>
    </row>
    <row r="44" spans="1:9" x14ac:dyDescent="0.25">
      <c r="A44" t="s">
        <v>124</v>
      </c>
      <c r="B44">
        <v>19</v>
      </c>
      <c r="C44">
        <v>11</v>
      </c>
      <c r="D44">
        <v>20</v>
      </c>
      <c r="E44">
        <v>11</v>
      </c>
      <c r="F44">
        <f>Main!K21</f>
        <v>0</v>
      </c>
      <c r="G44" t="b">
        <f>Main!K3</f>
        <v>0</v>
      </c>
      <c r="H44">
        <v>7</v>
      </c>
      <c r="I44">
        <f t="shared" si="0"/>
        <v>0</v>
      </c>
    </row>
    <row r="45" spans="1:9" x14ac:dyDescent="0.25">
      <c r="A45" t="s">
        <v>125</v>
      </c>
      <c r="B45">
        <v>19</v>
      </c>
      <c r="C45">
        <v>12</v>
      </c>
      <c r="D45">
        <v>20</v>
      </c>
      <c r="E45">
        <v>12</v>
      </c>
      <c r="F45">
        <f>Main!L21</f>
        <v>0</v>
      </c>
      <c r="G45" t="b">
        <f>Main!L3</f>
        <v>0</v>
      </c>
      <c r="H45">
        <v>7</v>
      </c>
      <c r="I45">
        <f t="shared" si="0"/>
        <v>0</v>
      </c>
    </row>
    <row r="46" spans="1:9" x14ac:dyDescent="0.25">
      <c r="A46" t="s">
        <v>126</v>
      </c>
      <c r="B46">
        <v>19</v>
      </c>
      <c r="C46">
        <v>13</v>
      </c>
      <c r="D46">
        <v>20</v>
      </c>
      <c r="E46">
        <v>13</v>
      </c>
      <c r="F46">
        <f>Main!M21</f>
        <v>0</v>
      </c>
      <c r="G46" t="b">
        <f>Main!M3</f>
        <v>0</v>
      </c>
      <c r="H46">
        <v>7</v>
      </c>
      <c r="I46">
        <f t="shared" si="0"/>
        <v>0</v>
      </c>
    </row>
    <row r="47" spans="1:9" x14ac:dyDescent="0.25">
      <c r="A47" t="s">
        <v>127</v>
      </c>
      <c r="B47">
        <v>19</v>
      </c>
      <c r="C47">
        <v>14</v>
      </c>
      <c r="D47">
        <v>20</v>
      </c>
      <c r="E47">
        <v>14</v>
      </c>
      <c r="F47">
        <f>Main!N21</f>
        <v>0</v>
      </c>
      <c r="G47" t="b">
        <f>Main!N3</f>
        <v>0</v>
      </c>
      <c r="H47">
        <v>7</v>
      </c>
      <c r="I47">
        <f t="shared" si="0"/>
        <v>0</v>
      </c>
    </row>
    <row r="48" spans="1:9" x14ac:dyDescent="0.25">
      <c r="A48" t="s">
        <v>128</v>
      </c>
      <c r="B48">
        <v>19</v>
      </c>
      <c r="C48">
        <v>15</v>
      </c>
      <c r="D48">
        <v>20</v>
      </c>
      <c r="E48">
        <v>15</v>
      </c>
      <c r="F48">
        <f>Main!O21</f>
        <v>0</v>
      </c>
      <c r="G48" t="b">
        <f>Main!O3</f>
        <v>0</v>
      </c>
      <c r="H48">
        <v>7</v>
      </c>
      <c r="I48">
        <f t="shared" si="0"/>
        <v>0</v>
      </c>
    </row>
    <row r="49" spans="1:10" x14ac:dyDescent="0.25">
      <c r="A49" t="s">
        <v>129</v>
      </c>
      <c r="B49">
        <v>19</v>
      </c>
      <c r="C49">
        <v>16</v>
      </c>
      <c r="D49">
        <v>20</v>
      </c>
      <c r="E49">
        <v>16</v>
      </c>
      <c r="F49">
        <f>Main!P21</f>
        <v>0</v>
      </c>
      <c r="G49" t="b">
        <f>Main!P3</f>
        <v>0</v>
      </c>
      <c r="H49">
        <v>7</v>
      </c>
      <c r="I49">
        <f t="shared" si="0"/>
        <v>0</v>
      </c>
    </row>
    <row r="50" spans="1:10" x14ac:dyDescent="0.25">
      <c r="A50" t="s">
        <v>130</v>
      </c>
      <c r="B50">
        <v>19</v>
      </c>
      <c r="C50">
        <v>17</v>
      </c>
      <c r="D50">
        <v>20</v>
      </c>
      <c r="E50">
        <v>17</v>
      </c>
      <c r="F50">
        <f>Main!Q21</f>
        <v>0</v>
      </c>
      <c r="G50" t="b">
        <f>Main!Q3</f>
        <v>0</v>
      </c>
      <c r="H50">
        <v>7</v>
      </c>
      <c r="I50">
        <f t="shared" si="0"/>
        <v>0</v>
      </c>
    </row>
    <row r="51" spans="1:10" x14ac:dyDescent="0.25">
      <c r="A51" t="s">
        <v>112</v>
      </c>
      <c r="B51">
        <v>22</v>
      </c>
      <c r="C51">
        <v>2</v>
      </c>
      <c r="D51">
        <v>23</v>
      </c>
      <c r="E51">
        <v>5</v>
      </c>
      <c r="F51">
        <f>Main!B24</f>
        <v>0</v>
      </c>
      <c r="G51" t="b">
        <f>Main!C4</f>
        <v>1</v>
      </c>
      <c r="H51">
        <v>7</v>
      </c>
      <c r="I51">
        <f t="shared" si="0"/>
        <v>0</v>
      </c>
    </row>
    <row r="52" spans="1:10" x14ac:dyDescent="0.25">
      <c r="A52" t="s">
        <v>113</v>
      </c>
      <c r="B52">
        <v>22</v>
      </c>
      <c r="C52">
        <v>6</v>
      </c>
      <c r="D52">
        <v>23</v>
      </c>
      <c r="E52">
        <v>9</v>
      </c>
      <c r="F52">
        <f>Main!F24</f>
        <v>0</v>
      </c>
      <c r="G52" t="b">
        <f>Main!D4</f>
        <v>0</v>
      </c>
      <c r="H52">
        <v>7</v>
      </c>
      <c r="I52">
        <f t="shared" si="0"/>
        <v>0</v>
      </c>
    </row>
    <row r="53" spans="1:10" x14ac:dyDescent="0.25">
      <c r="A53" t="s">
        <v>114</v>
      </c>
      <c r="B53">
        <v>22</v>
      </c>
      <c r="C53">
        <v>10</v>
      </c>
      <c r="D53">
        <v>23</v>
      </c>
      <c r="E53">
        <v>13</v>
      </c>
      <c r="F53">
        <f>Main!J24</f>
        <v>0</v>
      </c>
      <c r="G53" t="b">
        <f>Main!E4</f>
        <v>0</v>
      </c>
      <c r="H53">
        <v>7</v>
      </c>
      <c r="I53">
        <f t="shared" si="0"/>
        <v>0</v>
      </c>
    </row>
    <row r="54" spans="1:10" x14ac:dyDescent="0.25">
      <c r="A54" t="s">
        <v>115</v>
      </c>
      <c r="B54">
        <v>22</v>
      </c>
      <c r="C54">
        <v>14</v>
      </c>
      <c r="D54">
        <v>23</v>
      </c>
      <c r="E54">
        <v>17</v>
      </c>
      <c r="F54">
        <f>Main!N24</f>
        <v>0</v>
      </c>
      <c r="G54" t="b">
        <f>Main!F4</f>
        <v>0</v>
      </c>
      <c r="H54">
        <v>7</v>
      </c>
      <c r="I54">
        <f t="shared" si="0"/>
        <v>0</v>
      </c>
    </row>
    <row r="55" spans="1:10" x14ac:dyDescent="0.25">
      <c r="A55" t="s">
        <v>105</v>
      </c>
      <c r="B55">
        <v>25</v>
      </c>
      <c r="C55">
        <v>4</v>
      </c>
      <c r="D55">
        <v>28</v>
      </c>
      <c r="E55">
        <v>5</v>
      </c>
      <c r="F55">
        <f>Main!D29</f>
        <v>0</v>
      </c>
      <c r="G55" t="b">
        <f>Main!H4</f>
        <v>1</v>
      </c>
      <c r="H55">
        <v>1</v>
      </c>
      <c r="I55">
        <f t="shared" si="0"/>
        <v>0</v>
      </c>
    </row>
    <row r="56" spans="1:10" x14ac:dyDescent="0.25">
      <c r="A56" t="s">
        <v>106</v>
      </c>
      <c r="B56">
        <v>25</v>
      </c>
      <c r="C56">
        <v>6</v>
      </c>
      <c r="D56">
        <v>28</v>
      </c>
      <c r="E56">
        <v>7</v>
      </c>
      <c r="F56">
        <f>Main!F29</f>
        <v>0</v>
      </c>
      <c r="G56" t="b">
        <f>Main!I4</f>
        <v>1</v>
      </c>
      <c r="H56">
        <v>1</v>
      </c>
      <c r="I56">
        <f t="shared" si="0"/>
        <v>0</v>
      </c>
    </row>
    <row r="57" spans="1:10" x14ac:dyDescent="0.25">
      <c r="A57" t="s">
        <v>107</v>
      </c>
      <c r="B57">
        <v>25</v>
      </c>
      <c r="C57">
        <v>8</v>
      </c>
      <c r="D57">
        <v>28</v>
      </c>
      <c r="E57">
        <v>9</v>
      </c>
      <c r="F57">
        <f>Main!H29</f>
        <v>0</v>
      </c>
      <c r="G57" t="b">
        <f>Main!J4</f>
        <v>0</v>
      </c>
      <c r="H57">
        <v>1</v>
      </c>
      <c r="I57">
        <f t="shared" si="0"/>
        <v>0</v>
      </c>
    </row>
    <row r="58" spans="1:10" x14ac:dyDescent="0.25">
      <c r="A58" t="s">
        <v>108</v>
      </c>
      <c r="B58">
        <v>25</v>
      </c>
      <c r="C58">
        <v>10</v>
      </c>
      <c r="D58">
        <v>28</v>
      </c>
      <c r="E58">
        <v>11</v>
      </c>
      <c r="F58">
        <f>Main!J29</f>
        <v>0</v>
      </c>
      <c r="G58" t="b">
        <f>Main!K4</f>
        <v>1</v>
      </c>
      <c r="H58">
        <v>1</v>
      </c>
      <c r="I58">
        <f t="shared" si="0"/>
        <v>0</v>
      </c>
    </row>
    <row r="59" spans="1:10" x14ac:dyDescent="0.25">
      <c r="A59" t="s">
        <v>109</v>
      </c>
      <c r="B59">
        <v>25</v>
      </c>
      <c r="C59">
        <v>12</v>
      </c>
      <c r="D59">
        <v>28</v>
      </c>
      <c r="E59">
        <v>13</v>
      </c>
      <c r="F59">
        <f>Main!L29</f>
        <v>0</v>
      </c>
      <c r="G59" t="b">
        <f>Main!L4</f>
        <v>0</v>
      </c>
      <c r="H59">
        <v>1</v>
      </c>
      <c r="I59">
        <f t="shared" si="0"/>
        <v>0</v>
      </c>
    </row>
    <row r="60" spans="1:10" x14ac:dyDescent="0.25">
      <c r="A60" t="s">
        <v>110</v>
      </c>
      <c r="B60">
        <v>25</v>
      </c>
      <c r="C60">
        <v>14</v>
      </c>
      <c r="D60">
        <v>28</v>
      </c>
      <c r="E60">
        <v>15</v>
      </c>
      <c r="F60">
        <f>Main!N29</f>
        <v>0</v>
      </c>
      <c r="G60" t="b">
        <f>Main!M4</f>
        <v>0</v>
      </c>
      <c r="H60">
        <v>1</v>
      </c>
      <c r="I60">
        <f t="shared" si="0"/>
        <v>0</v>
      </c>
    </row>
    <row r="61" spans="1:10" x14ac:dyDescent="0.25">
      <c r="A61" t="str">
        <f>CONCATENATE("SPOT ",J61)</f>
        <v>SPOT 112</v>
      </c>
      <c r="B61">
        <v>9</v>
      </c>
      <c r="C61">
        <v>23</v>
      </c>
      <c r="D61">
        <v>9</v>
      </c>
      <c r="E61">
        <v>23</v>
      </c>
      <c r="F61" s="78">
        <f>Main!W10</f>
        <v>0</v>
      </c>
      <c r="G61" t="b">
        <f t="shared" ref="G61:G90" si="1">IF(COUNTIF($A$1:$C$1,LEFT(J61,1))=2,IF(COUNTIF($A$1:$C$1,RIGHT(J61,1))=1,TRUE,FALSE),FALSE)</f>
        <v>0</v>
      </c>
      <c r="H61">
        <v>50</v>
      </c>
      <c r="I61">
        <f>IF(G61=TRUE,H61*F61,0)</f>
        <v>0</v>
      </c>
      <c r="J61" s="78" t="str">
        <f>Main!W9</f>
        <v>112</v>
      </c>
    </row>
    <row r="62" spans="1:10" x14ac:dyDescent="0.25">
      <c r="A62" t="str">
        <f t="shared" ref="A62:A110" si="2">CONCATENATE("SPOT ",J62)</f>
        <v>SPOT 113</v>
      </c>
      <c r="B62">
        <v>9</v>
      </c>
      <c r="C62">
        <v>24</v>
      </c>
      <c r="D62">
        <v>9</v>
      </c>
      <c r="E62">
        <v>24</v>
      </c>
      <c r="F62" s="78">
        <f>Main!X10</f>
        <v>0</v>
      </c>
      <c r="G62" t="b">
        <f t="shared" si="1"/>
        <v>0</v>
      </c>
      <c r="H62">
        <v>50</v>
      </c>
      <c r="I62">
        <f t="shared" si="0"/>
        <v>0</v>
      </c>
      <c r="J62" s="78" t="str">
        <f>Main!X9</f>
        <v>113</v>
      </c>
    </row>
    <row r="63" spans="1:10" x14ac:dyDescent="0.25">
      <c r="A63" t="str">
        <f t="shared" si="2"/>
        <v>SPOT 114</v>
      </c>
      <c r="B63">
        <v>9</v>
      </c>
      <c r="C63">
        <v>25</v>
      </c>
      <c r="D63">
        <v>9</v>
      </c>
      <c r="E63">
        <v>25</v>
      </c>
      <c r="F63" s="78">
        <f>Main!Y10</f>
        <v>0</v>
      </c>
      <c r="G63" t="b">
        <f t="shared" si="1"/>
        <v>0</v>
      </c>
      <c r="H63">
        <v>50</v>
      </c>
      <c r="I63">
        <f t="shared" si="0"/>
        <v>0</v>
      </c>
      <c r="J63" s="78" t="str">
        <f>Main!Y9</f>
        <v>114</v>
      </c>
    </row>
    <row r="64" spans="1:10" x14ac:dyDescent="0.25">
      <c r="A64" t="str">
        <f t="shared" si="2"/>
        <v>SPOT 115</v>
      </c>
      <c r="B64">
        <v>9</v>
      </c>
      <c r="C64">
        <v>26</v>
      </c>
      <c r="D64">
        <v>9</v>
      </c>
      <c r="E64">
        <v>26</v>
      </c>
      <c r="F64" s="78">
        <f>Main!Z10</f>
        <v>0</v>
      </c>
      <c r="G64" t="b">
        <f t="shared" si="1"/>
        <v>0</v>
      </c>
      <c r="H64">
        <v>50</v>
      </c>
      <c r="I64">
        <f t="shared" si="0"/>
        <v>0</v>
      </c>
      <c r="J64" s="78" t="str">
        <f>Main!Z9</f>
        <v>115</v>
      </c>
    </row>
    <row r="65" spans="1:10" x14ac:dyDescent="0.25">
      <c r="A65" t="str">
        <f t="shared" si="2"/>
        <v>SPOT 116</v>
      </c>
      <c r="B65">
        <v>9</v>
      </c>
      <c r="C65">
        <v>27</v>
      </c>
      <c r="D65">
        <v>9</v>
      </c>
      <c r="E65">
        <v>27</v>
      </c>
      <c r="F65" s="78">
        <f>Main!AA10</f>
        <v>0</v>
      </c>
      <c r="G65" t="b">
        <f t="shared" si="1"/>
        <v>0</v>
      </c>
      <c r="H65">
        <v>50</v>
      </c>
      <c r="I65">
        <f t="shared" si="0"/>
        <v>0</v>
      </c>
      <c r="J65" s="78" t="str">
        <f>Main!AA9</f>
        <v>116</v>
      </c>
    </row>
    <row r="66" spans="1:10" x14ac:dyDescent="0.25">
      <c r="A66" t="str">
        <f t="shared" si="2"/>
        <v>SPOT 221</v>
      </c>
      <c r="B66">
        <v>11</v>
      </c>
      <c r="C66">
        <v>23</v>
      </c>
      <c r="D66">
        <v>11</v>
      </c>
      <c r="E66">
        <v>23</v>
      </c>
      <c r="F66" s="78">
        <f>Main!W12</f>
        <v>0</v>
      </c>
      <c r="G66" t="b">
        <f t="shared" si="1"/>
        <v>0</v>
      </c>
      <c r="H66">
        <v>50</v>
      </c>
      <c r="I66">
        <f t="shared" si="0"/>
        <v>0</v>
      </c>
      <c r="J66" s="78" t="str">
        <f>Main!W11</f>
        <v>221</v>
      </c>
    </row>
    <row r="67" spans="1:10" x14ac:dyDescent="0.25">
      <c r="A67" t="str">
        <f t="shared" si="2"/>
        <v>SPOT 223</v>
      </c>
      <c r="B67">
        <v>11</v>
      </c>
      <c r="C67">
        <v>24</v>
      </c>
      <c r="D67">
        <v>11</v>
      </c>
      <c r="E67">
        <v>24</v>
      </c>
      <c r="F67" s="78">
        <f>Main!X12</f>
        <v>0</v>
      </c>
      <c r="G67" t="b">
        <f t="shared" si="1"/>
        <v>0</v>
      </c>
      <c r="H67">
        <v>50</v>
      </c>
      <c r="I67">
        <f t="shared" si="0"/>
        <v>0</v>
      </c>
      <c r="J67" s="78">
        <f>Main!X11</f>
        <v>223</v>
      </c>
    </row>
    <row r="68" spans="1:10" x14ac:dyDescent="0.25">
      <c r="A68" t="str">
        <f t="shared" si="2"/>
        <v>SPOT 224</v>
      </c>
      <c r="B68">
        <v>11</v>
      </c>
      <c r="C68">
        <v>25</v>
      </c>
      <c r="D68">
        <v>11</v>
      </c>
      <c r="E68">
        <v>25</v>
      </c>
      <c r="F68" s="78">
        <f>Main!Y12</f>
        <v>0</v>
      </c>
      <c r="G68" t="b">
        <f t="shared" si="1"/>
        <v>0</v>
      </c>
      <c r="H68">
        <v>50</v>
      </c>
      <c r="I68">
        <f t="shared" si="0"/>
        <v>0</v>
      </c>
      <c r="J68" s="78" t="str">
        <f>Main!Y11</f>
        <v>224</v>
      </c>
    </row>
    <row r="69" spans="1:10" x14ac:dyDescent="0.25">
      <c r="A69" t="str">
        <f t="shared" si="2"/>
        <v>SPOT 225</v>
      </c>
      <c r="B69">
        <v>11</v>
      </c>
      <c r="C69">
        <v>26</v>
      </c>
      <c r="D69">
        <v>11</v>
      </c>
      <c r="E69">
        <v>26</v>
      </c>
      <c r="F69" s="78">
        <f>Main!Z12</f>
        <v>0</v>
      </c>
      <c r="G69" t="b">
        <f t="shared" si="1"/>
        <v>0</v>
      </c>
      <c r="H69">
        <v>50</v>
      </c>
      <c r="I69">
        <f t="shared" si="0"/>
        <v>0</v>
      </c>
      <c r="J69" s="78">
        <f>Main!Z11</f>
        <v>225</v>
      </c>
    </row>
    <row r="70" spans="1:10" x14ac:dyDescent="0.25">
      <c r="A70" t="str">
        <f t="shared" si="2"/>
        <v>SPOT 226</v>
      </c>
      <c r="B70">
        <v>11</v>
      </c>
      <c r="C70">
        <v>27</v>
      </c>
      <c r="D70">
        <v>11</v>
      </c>
      <c r="E70">
        <v>27</v>
      </c>
      <c r="F70" s="78">
        <f>Main!AA12</f>
        <v>0</v>
      </c>
      <c r="G70" t="b">
        <f t="shared" si="1"/>
        <v>0</v>
      </c>
      <c r="H70">
        <v>50</v>
      </c>
      <c r="I70">
        <f t="shared" si="0"/>
        <v>0</v>
      </c>
      <c r="J70" s="78">
        <f>Main!AA11</f>
        <v>226</v>
      </c>
    </row>
    <row r="71" spans="1:10" x14ac:dyDescent="0.25">
      <c r="A71" t="str">
        <f t="shared" si="2"/>
        <v>SPOT 331</v>
      </c>
      <c r="B71">
        <v>13</v>
      </c>
      <c r="C71">
        <v>23</v>
      </c>
      <c r="D71">
        <v>13</v>
      </c>
      <c r="E71">
        <v>23</v>
      </c>
      <c r="F71" s="78">
        <f>Main!W14</f>
        <v>0</v>
      </c>
      <c r="G71" t="b">
        <f t="shared" si="1"/>
        <v>0</v>
      </c>
      <c r="H71">
        <v>50</v>
      </c>
      <c r="I71">
        <f t="shared" ref="I71:I110" si="3">IF(G71=TRUE,H71*F71,0)</f>
        <v>0</v>
      </c>
      <c r="J71" s="78" t="str">
        <f>Main!W13</f>
        <v>331</v>
      </c>
    </row>
    <row r="72" spans="1:10" x14ac:dyDescent="0.25">
      <c r="A72" t="str">
        <f t="shared" si="2"/>
        <v>SPOT 332</v>
      </c>
      <c r="B72">
        <v>13</v>
      </c>
      <c r="C72">
        <v>24</v>
      </c>
      <c r="D72">
        <v>13</v>
      </c>
      <c r="E72">
        <v>24</v>
      </c>
      <c r="F72" s="78">
        <f>Main!X14</f>
        <v>0</v>
      </c>
      <c r="G72" t="b">
        <f t="shared" si="1"/>
        <v>0</v>
      </c>
      <c r="H72">
        <v>50</v>
      </c>
      <c r="I72">
        <f t="shared" si="3"/>
        <v>0</v>
      </c>
      <c r="J72" s="78">
        <f>Main!X13</f>
        <v>332</v>
      </c>
    </row>
    <row r="73" spans="1:10" x14ac:dyDescent="0.25">
      <c r="A73" t="str">
        <f t="shared" si="2"/>
        <v>SPOT 334</v>
      </c>
      <c r="B73">
        <v>13</v>
      </c>
      <c r="C73">
        <v>25</v>
      </c>
      <c r="D73">
        <v>13</v>
      </c>
      <c r="E73">
        <v>25</v>
      </c>
      <c r="F73" s="78">
        <f>Main!Y14</f>
        <v>0</v>
      </c>
      <c r="G73" t="b">
        <f t="shared" si="1"/>
        <v>0</v>
      </c>
      <c r="H73">
        <v>50</v>
      </c>
      <c r="I73">
        <f t="shared" si="3"/>
        <v>0</v>
      </c>
      <c r="J73" s="78" t="str">
        <f>Main!Y13</f>
        <v>334</v>
      </c>
    </row>
    <row r="74" spans="1:10" x14ac:dyDescent="0.25">
      <c r="A74" t="str">
        <f t="shared" si="2"/>
        <v>SPOT 335</v>
      </c>
      <c r="B74">
        <v>13</v>
      </c>
      <c r="C74">
        <v>26</v>
      </c>
      <c r="D74">
        <v>13</v>
      </c>
      <c r="E74">
        <v>26</v>
      </c>
      <c r="F74" s="78">
        <f>Main!Z14</f>
        <v>0</v>
      </c>
      <c r="G74" t="b">
        <f t="shared" si="1"/>
        <v>0</v>
      </c>
      <c r="H74">
        <v>50</v>
      </c>
      <c r="I74">
        <f t="shared" si="3"/>
        <v>0</v>
      </c>
      <c r="J74" s="78">
        <f>Main!Z13</f>
        <v>335</v>
      </c>
    </row>
    <row r="75" spans="1:10" x14ac:dyDescent="0.25">
      <c r="A75" t="str">
        <f t="shared" si="2"/>
        <v>SPOT 336</v>
      </c>
      <c r="B75">
        <v>13</v>
      </c>
      <c r="C75">
        <v>27</v>
      </c>
      <c r="D75">
        <v>13</v>
      </c>
      <c r="E75">
        <v>27</v>
      </c>
      <c r="F75" s="78">
        <f>Main!AA14</f>
        <v>0</v>
      </c>
      <c r="G75" t="b">
        <f t="shared" si="1"/>
        <v>0</v>
      </c>
      <c r="H75">
        <v>50</v>
      </c>
      <c r="I75">
        <f t="shared" si="3"/>
        <v>0</v>
      </c>
      <c r="J75" s="78">
        <f>Main!AA13</f>
        <v>336</v>
      </c>
    </row>
    <row r="76" spans="1:10" x14ac:dyDescent="0.25">
      <c r="A76" t="str">
        <f t="shared" si="2"/>
        <v>SPOT 441</v>
      </c>
      <c r="B76">
        <v>15</v>
      </c>
      <c r="C76">
        <v>23</v>
      </c>
      <c r="D76">
        <v>15</v>
      </c>
      <c r="E76">
        <v>23</v>
      </c>
      <c r="F76" s="78">
        <f>Main!W16</f>
        <v>0</v>
      </c>
      <c r="G76" t="b">
        <f t="shared" si="1"/>
        <v>0</v>
      </c>
      <c r="H76">
        <v>50</v>
      </c>
      <c r="I76">
        <f t="shared" si="3"/>
        <v>0</v>
      </c>
      <c r="J76" s="78" t="str">
        <f>Main!W15</f>
        <v>441</v>
      </c>
    </row>
    <row r="77" spans="1:10" x14ac:dyDescent="0.25">
      <c r="A77" t="str">
        <f t="shared" si="2"/>
        <v>SPOT 442</v>
      </c>
      <c r="B77">
        <v>15</v>
      </c>
      <c r="C77">
        <v>24</v>
      </c>
      <c r="D77">
        <v>15</v>
      </c>
      <c r="E77">
        <v>24</v>
      </c>
      <c r="F77" s="78">
        <f>Main!X16</f>
        <v>0</v>
      </c>
      <c r="G77" t="b">
        <f t="shared" si="1"/>
        <v>0</v>
      </c>
      <c r="H77">
        <v>50</v>
      </c>
      <c r="I77">
        <f t="shared" si="3"/>
        <v>0</v>
      </c>
      <c r="J77" s="78" t="str">
        <f>Main!X15</f>
        <v>442</v>
      </c>
    </row>
    <row r="78" spans="1:10" x14ac:dyDescent="0.25">
      <c r="A78" t="str">
        <f t="shared" si="2"/>
        <v>SPOT 443</v>
      </c>
      <c r="B78">
        <v>15</v>
      </c>
      <c r="C78">
        <v>25</v>
      </c>
      <c r="D78">
        <v>15</v>
      </c>
      <c r="E78">
        <v>25</v>
      </c>
      <c r="F78" s="78">
        <f>Main!Y16</f>
        <v>0</v>
      </c>
      <c r="G78" t="b">
        <f t="shared" si="1"/>
        <v>0</v>
      </c>
      <c r="H78">
        <v>50</v>
      </c>
      <c r="I78">
        <f t="shared" si="3"/>
        <v>0</v>
      </c>
      <c r="J78" s="78" t="str">
        <f>Main!Y15</f>
        <v>443</v>
      </c>
    </row>
    <row r="79" spans="1:10" x14ac:dyDescent="0.25">
      <c r="A79" t="str">
        <f t="shared" si="2"/>
        <v>SPOT 445</v>
      </c>
      <c r="B79">
        <v>15</v>
      </c>
      <c r="C79">
        <v>26</v>
      </c>
      <c r="D79">
        <v>15</v>
      </c>
      <c r="E79">
        <v>26</v>
      </c>
      <c r="F79" s="78">
        <f>Main!Z16</f>
        <v>0</v>
      </c>
      <c r="G79" t="b">
        <f t="shared" si="1"/>
        <v>0</v>
      </c>
      <c r="H79">
        <v>50</v>
      </c>
      <c r="I79">
        <f t="shared" si="3"/>
        <v>0</v>
      </c>
      <c r="J79" s="78" t="str">
        <f>Main!Z15</f>
        <v>445</v>
      </c>
    </row>
    <row r="80" spans="1:10" x14ac:dyDescent="0.25">
      <c r="A80" t="str">
        <f t="shared" si="2"/>
        <v>SPOT 446</v>
      </c>
      <c r="B80">
        <v>15</v>
      </c>
      <c r="C80">
        <v>27</v>
      </c>
      <c r="D80">
        <v>15</v>
      </c>
      <c r="E80">
        <v>27</v>
      </c>
      <c r="F80" s="78">
        <f>Main!AA16</f>
        <v>0</v>
      </c>
      <c r="G80" t="b">
        <f t="shared" si="1"/>
        <v>0</v>
      </c>
      <c r="H80">
        <v>50</v>
      </c>
      <c r="I80">
        <f t="shared" si="3"/>
        <v>0</v>
      </c>
      <c r="J80" s="78" t="str">
        <f>Main!AA15</f>
        <v>446</v>
      </c>
    </row>
    <row r="81" spans="1:10" x14ac:dyDescent="0.25">
      <c r="A81" t="str">
        <f t="shared" si="2"/>
        <v>SPOT 551</v>
      </c>
      <c r="B81">
        <v>17</v>
      </c>
      <c r="C81">
        <v>23</v>
      </c>
      <c r="D81">
        <v>17</v>
      </c>
      <c r="E81">
        <v>23</v>
      </c>
      <c r="F81" s="78">
        <f>Main!W18</f>
        <v>0</v>
      </c>
      <c r="G81" t="b">
        <f t="shared" si="1"/>
        <v>0</v>
      </c>
      <c r="H81">
        <v>50</v>
      </c>
      <c r="I81">
        <f t="shared" si="3"/>
        <v>0</v>
      </c>
      <c r="J81" s="78" t="str">
        <f>Main!W17</f>
        <v>551</v>
      </c>
    </row>
    <row r="82" spans="1:10" x14ac:dyDescent="0.25">
      <c r="A82" t="str">
        <f t="shared" si="2"/>
        <v>SPOT 552</v>
      </c>
      <c r="B82">
        <v>17</v>
      </c>
      <c r="C82">
        <v>24</v>
      </c>
      <c r="D82">
        <v>17</v>
      </c>
      <c r="E82">
        <v>24</v>
      </c>
      <c r="F82" s="78">
        <f>Main!X18</f>
        <v>0</v>
      </c>
      <c r="G82" t="b">
        <f t="shared" si="1"/>
        <v>0</v>
      </c>
      <c r="H82">
        <v>50</v>
      </c>
      <c r="I82">
        <f t="shared" si="3"/>
        <v>0</v>
      </c>
      <c r="J82" s="78">
        <f>Main!X17</f>
        <v>552</v>
      </c>
    </row>
    <row r="83" spans="1:10" x14ac:dyDescent="0.25">
      <c r="A83" t="str">
        <f t="shared" si="2"/>
        <v>SPOT 553</v>
      </c>
      <c r="B83">
        <v>17</v>
      </c>
      <c r="C83">
        <v>25</v>
      </c>
      <c r="D83">
        <v>17</v>
      </c>
      <c r="E83">
        <v>25</v>
      </c>
      <c r="F83" s="78">
        <f>Main!Y18</f>
        <v>0</v>
      </c>
      <c r="G83" t="b">
        <f t="shared" si="1"/>
        <v>0</v>
      </c>
      <c r="H83">
        <v>50</v>
      </c>
      <c r="I83">
        <f t="shared" si="3"/>
        <v>0</v>
      </c>
      <c r="J83" s="78">
        <f>Main!Y17</f>
        <v>553</v>
      </c>
    </row>
    <row r="84" spans="1:10" x14ac:dyDescent="0.25">
      <c r="A84" t="str">
        <f t="shared" si="2"/>
        <v>SPOT 554</v>
      </c>
      <c r="B84">
        <v>17</v>
      </c>
      <c r="C84">
        <v>26</v>
      </c>
      <c r="D84">
        <v>17</v>
      </c>
      <c r="E84">
        <v>26</v>
      </c>
      <c r="F84" s="78">
        <f>Main!Z18</f>
        <v>0</v>
      </c>
      <c r="G84" t="b">
        <f t="shared" si="1"/>
        <v>0</v>
      </c>
      <c r="H84">
        <v>50</v>
      </c>
      <c r="I84">
        <f t="shared" si="3"/>
        <v>0</v>
      </c>
      <c r="J84" s="78" t="str">
        <f>Main!Z17</f>
        <v>554</v>
      </c>
    </row>
    <row r="85" spans="1:10" x14ac:dyDescent="0.25">
      <c r="A85" t="str">
        <f t="shared" si="2"/>
        <v>SPOT 556</v>
      </c>
      <c r="B85">
        <v>17</v>
      </c>
      <c r="C85">
        <v>27</v>
      </c>
      <c r="D85">
        <v>17</v>
      </c>
      <c r="E85">
        <v>27</v>
      </c>
      <c r="F85" s="78">
        <f>Main!AA18</f>
        <v>0</v>
      </c>
      <c r="G85" t="b">
        <f t="shared" si="1"/>
        <v>0</v>
      </c>
      <c r="H85">
        <v>50</v>
      </c>
      <c r="I85">
        <f t="shared" si="3"/>
        <v>0</v>
      </c>
      <c r="J85" s="78">
        <f>Main!AA17</f>
        <v>556</v>
      </c>
    </row>
    <row r="86" spans="1:10" x14ac:dyDescent="0.25">
      <c r="A86" t="str">
        <f t="shared" si="2"/>
        <v>SPOT 661</v>
      </c>
      <c r="B86">
        <v>19</v>
      </c>
      <c r="C86">
        <v>23</v>
      </c>
      <c r="D86">
        <v>19</v>
      </c>
      <c r="E86">
        <v>23</v>
      </c>
      <c r="F86" s="78">
        <f>Main!W20</f>
        <v>0</v>
      </c>
      <c r="G86" t="b">
        <f t="shared" si="1"/>
        <v>0</v>
      </c>
      <c r="H86">
        <v>50</v>
      </c>
      <c r="I86">
        <f t="shared" si="3"/>
        <v>0</v>
      </c>
      <c r="J86" s="78" t="str">
        <f>Main!W19</f>
        <v>661</v>
      </c>
    </row>
    <row r="87" spans="1:10" x14ac:dyDescent="0.25">
      <c r="A87" t="str">
        <f t="shared" si="2"/>
        <v>SPOT 662</v>
      </c>
      <c r="B87">
        <v>19</v>
      </c>
      <c r="C87">
        <v>24</v>
      </c>
      <c r="D87">
        <v>19</v>
      </c>
      <c r="E87">
        <v>24</v>
      </c>
      <c r="F87" s="78">
        <f>Main!X20</f>
        <v>0</v>
      </c>
      <c r="G87" t="b">
        <f t="shared" si="1"/>
        <v>0</v>
      </c>
      <c r="H87">
        <v>50</v>
      </c>
      <c r="I87">
        <f t="shared" si="3"/>
        <v>0</v>
      </c>
      <c r="J87" s="78">
        <f>Main!X19</f>
        <v>662</v>
      </c>
    </row>
    <row r="88" spans="1:10" x14ac:dyDescent="0.25">
      <c r="A88" t="str">
        <f t="shared" si="2"/>
        <v>SPOT 663</v>
      </c>
      <c r="B88">
        <v>19</v>
      </c>
      <c r="C88">
        <v>25</v>
      </c>
      <c r="D88">
        <v>19</v>
      </c>
      <c r="E88">
        <v>25</v>
      </c>
      <c r="F88" s="78">
        <f>Main!Y20</f>
        <v>0</v>
      </c>
      <c r="G88" t="b">
        <f t="shared" si="1"/>
        <v>0</v>
      </c>
      <c r="H88">
        <v>50</v>
      </c>
      <c r="I88">
        <f t="shared" si="3"/>
        <v>0</v>
      </c>
      <c r="J88" s="78">
        <f>Main!Y19</f>
        <v>663</v>
      </c>
    </row>
    <row r="89" spans="1:10" x14ac:dyDescent="0.25">
      <c r="A89" t="str">
        <f t="shared" si="2"/>
        <v>SPOT 664</v>
      </c>
      <c r="B89">
        <v>19</v>
      </c>
      <c r="C89">
        <v>26</v>
      </c>
      <c r="D89">
        <v>19</v>
      </c>
      <c r="E89">
        <v>26</v>
      </c>
      <c r="F89" s="78">
        <f>Main!Z20</f>
        <v>0</v>
      </c>
      <c r="G89" t="b">
        <f t="shared" si="1"/>
        <v>0</v>
      </c>
      <c r="H89">
        <v>50</v>
      </c>
      <c r="I89">
        <f t="shared" si="3"/>
        <v>0</v>
      </c>
      <c r="J89" s="78" t="str">
        <f>Main!Z19</f>
        <v>664</v>
      </c>
    </row>
    <row r="90" spans="1:10" x14ac:dyDescent="0.25">
      <c r="A90" t="str">
        <f t="shared" si="2"/>
        <v>SPOT 665</v>
      </c>
      <c r="B90">
        <v>19</v>
      </c>
      <c r="C90">
        <v>27</v>
      </c>
      <c r="D90">
        <v>19</v>
      </c>
      <c r="E90">
        <v>27</v>
      </c>
      <c r="F90" s="78">
        <f>Main!AA20</f>
        <v>0</v>
      </c>
      <c r="G90" t="b">
        <f t="shared" si="1"/>
        <v>0</v>
      </c>
      <c r="H90">
        <v>50</v>
      </c>
      <c r="I90">
        <f t="shared" si="3"/>
        <v>0</v>
      </c>
      <c r="J90" s="78">
        <f>Main!AA19</f>
        <v>665</v>
      </c>
    </row>
    <row r="91" spans="1:10" x14ac:dyDescent="0.25">
      <c r="A91" t="str">
        <f t="shared" si="2"/>
        <v>SPOT 126</v>
      </c>
      <c r="B91">
        <v>22</v>
      </c>
      <c r="C91">
        <v>23</v>
      </c>
      <c r="D91">
        <v>22</v>
      </c>
      <c r="E91">
        <v>23</v>
      </c>
      <c r="F91" s="78">
        <f>Main!W23</f>
        <v>0</v>
      </c>
      <c r="G91" t="b">
        <f>IF(COUNTIF($A$1:$C$1,LEFT(J91,1))=1,IF(COUNTIF($A$1:$C$1,MID(J91,2,1))=1,IF(COUNTIF($A$1:$C$1,RIGHT(J91,1))=1,TRUE,FALSE),FALSE),FALSE)</f>
        <v>0</v>
      </c>
      <c r="H91">
        <v>30</v>
      </c>
      <c r="I91">
        <f t="shared" si="3"/>
        <v>0</v>
      </c>
      <c r="J91" s="78" t="str">
        <f>Main!W22</f>
        <v>126</v>
      </c>
    </row>
    <row r="92" spans="1:10" x14ac:dyDescent="0.25">
      <c r="A92" t="str">
        <f t="shared" si="2"/>
        <v>SPOT 135</v>
      </c>
      <c r="B92">
        <v>22</v>
      </c>
      <c r="C92">
        <v>24</v>
      </c>
      <c r="D92">
        <v>22</v>
      </c>
      <c r="E92">
        <v>24</v>
      </c>
      <c r="F92" s="78">
        <f>Main!X23</f>
        <v>0</v>
      </c>
      <c r="G92" t="b">
        <f t="shared" ref="G92:G110" si="4">IF(COUNTIF($A$1:$C$1,LEFT(J92,1))=1,IF(COUNTIF($A$1:$C$1,MID(J92,2,1))=1,IF(COUNTIF($A$1:$C$1,RIGHT(J92,1))=1,TRUE,FALSE),FALSE),FALSE)</f>
        <v>0</v>
      </c>
      <c r="H92">
        <v>30</v>
      </c>
      <c r="I92">
        <f t="shared" si="3"/>
        <v>0</v>
      </c>
      <c r="J92" s="78" t="str">
        <f>Main!X22</f>
        <v>135</v>
      </c>
    </row>
    <row r="93" spans="1:10" x14ac:dyDescent="0.25">
      <c r="A93" t="str">
        <f t="shared" si="2"/>
        <v>SPOT 234</v>
      </c>
      <c r="B93">
        <v>22</v>
      </c>
      <c r="C93">
        <v>25</v>
      </c>
      <c r="D93">
        <v>22</v>
      </c>
      <c r="E93">
        <v>25</v>
      </c>
      <c r="F93" s="78">
        <f>Main!Y23</f>
        <v>0</v>
      </c>
      <c r="G93" t="b">
        <f t="shared" si="4"/>
        <v>0</v>
      </c>
      <c r="H93">
        <v>30</v>
      </c>
      <c r="I93">
        <f t="shared" si="3"/>
        <v>0</v>
      </c>
      <c r="J93" s="78" t="str">
        <f>Main!Y22</f>
        <v>234</v>
      </c>
    </row>
    <row r="94" spans="1:10" x14ac:dyDescent="0.25">
      <c r="A94" t="str">
        <f t="shared" si="2"/>
        <v>SPOT 256</v>
      </c>
      <c r="B94">
        <v>22</v>
      </c>
      <c r="C94">
        <v>26</v>
      </c>
      <c r="D94">
        <v>22</v>
      </c>
      <c r="E94">
        <v>26</v>
      </c>
      <c r="F94" s="78">
        <f>Main!Z23</f>
        <v>0</v>
      </c>
      <c r="G94" t="b">
        <f t="shared" si="4"/>
        <v>0</v>
      </c>
      <c r="H94">
        <v>30</v>
      </c>
      <c r="I94">
        <f t="shared" si="3"/>
        <v>0</v>
      </c>
      <c r="J94" s="78">
        <f>Main!Z22</f>
        <v>256</v>
      </c>
    </row>
    <row r="95" spans="1:10" x14ac:dyDescent="0.25">
      <c r="A95" t="str">
        <f t="shared" si="2"/>
        <v>SPOT 346</v>
      </c>
      <c r="B95">
        <v>22</v>
      </c>
      <c r="C95">
        <v>27</v>
      </c>
      <c r="D95">
        <v>22</v>
      </c>
      <c r="E95">
        <v>27</v>
      </c>
      <c r="F95" s="78">
        <f>Main!AA23</f>
        <v>0</v>
      </c>
      <c r="G95" t="b">
        <f t="shared" si="4"/>
        <v>0</v>
      </c>
      <c r="H95">
        <v>30</v>
      </c>
      <c r="I95">
        <f t="shared" si="3"/>
        <v>0</v>
      </c>
      <c r="J95" s="78" t="str">
        <f>Main!AA22</f>
        <v>346</v>
      </c>
    </row>
    <row r="96" spans="1:10" x14ac:dyDescent="0.25">
      <c r="A96" t="str">
        <f t="shared" si="2"/>
        <v>SPOT 123</v>
      </c>
      <c r="B96">
        <v>24</v>
      </c>
      <c r="C96">
        <v>23</v>
      </c>
      <c r="D96">
        <v>24</v>
      </c>
      <c r="E96">
        <v>23</v>
      </c>
      <c r="F96" s="78">
        <f>Main!W25</f>
        <v>0</v>
      </c>
      <c r="G96" t="b">
        <f t="shared" si="4"/>
        <v>0</v>
      </c>
      <c r="H96">
        <v>30</v>
      </c>
      <c r="I96">
        <f t="shared" si="3"/>
        <v>0</v>
      </c>
      <c r="J96" s="78" t="str">
        <f>Main!W24</f>
        <v>123</v>
      </c>
    </row>
    <row r="97" spans="1:10" x14ac:dyDescent="0.25">
      <c r="A97" t="str">
        <f t="shared" si="2"/>
        <v>SPOT 136</v>
      </c>
      <c r="B97">
        <v>24</v>
      </c>
      <c r="C97">
        <v>24</v>
      </c>
      <c r="D97">
        <v>24</v>
      </c>
      <c r="E97">
        <v>24</v>
      </c>
      <c r="F97" s="78">
        <f>Main!X25</f>
        <v>0</v>
      </c>
      <c r="G97" t="b">
        <f t="shared" si="4"/>
        <v>0</v>
      </c>
      <c r="H97">
        <v>30</v>
      </c>
      <c r="I97">
        <f t="shared" si="3"/>
        <v>0</v>
      </c>
      <c r="J97" s="78" t="str">
        <f>Main!X24</f>
        <v>136</v>
      </c>
    </row>
    <row r="98" spans="1:10" x14ac:dyDescent="0.25">
      <c r="A98" t="str">
        <f t="shared" si="2"/>
        <v>SPOT 145</v>
      </c>
      <c r="B98">
        <v>24</v>
      </c>
      <c r="C98">
        <v>25</v>
      </c>
      <c r="D98">
        <v>24</v>
      </c>
      <c r="E98">
        <v>25</v>
      </c>
      <c r="F98" s="78">
        <f>Main!Y25</f>
        <v>0</v>
      </c>
      <c r="G98" t="b">
        <f t="shared" si="4"/>
        <v>0</v>
      </c>
      <c r="H98">
        <v>30</v>
      </c>
      <c r="I98">
        <f t="shared" si="3"/>
        <v>0</v>
      </c>
      <c r="J98" s="78" t="str">
        <f>Main!Y24</f>
        <v>145</v>
      </c>
    </row>
    <row r="99" spans="1:10" x14ac:dyDescent="0.25">
      <c r="A99" t="str">
        <f t="shared" si="2"/>
        <v>SPOT 235</v>
      </c>
      <c r="B99">
        <v>24</v>
      </c>
      <c r="C99">
        <v>26</v>
      </c>
      <c r="D99">
        <v>24</v>
      </c>
      <c r="E99">
        <v>26</v>
      </c>
      <c r="F99" s="78">
        <f>Main!Z25</f>
        <v>0</v>
      </c>
      <c r="G99" t="b">
        <f t="shared" si="4"/>
        <v>0</v>
      </c>
      <c r="H99">
        <v>30</v>
      </c>
      <c r="I99">
        <f t="shared" si="3"/>
        <v>0</v>
      </c>
      <c r="J99" s="78">
        <f>Main!Z24</f>
        <v>235</v>
      </c>
    </row>
    <row r="100" spans="1:10" x14ac:dyDescent="0.25">
      <c r="A100" t="str">
        <f t="shared" si="2"/>
        <v>SPOT 356</v>
      </c>
      <c r="B100">
        <v>24</v>
      </c>
      <c r="C100">
        <v>27</v>
      </c>
      <c r="D100">
        <v>24</v>
      </c>
      <c r="E100">
        <v>27</v>
      </c>
      <c r="F100" s="78">
        <f>Main!AA25</f>
        <v>0</v>
      </c>
      <c r="G100" t="b">
        <f t="shared" si="4"/>
        <v>0</v>
      </c>
      <c r="H100">
        <v>30</v>
      </c>
      <c r="I100">
        <f t="shared" si="3"/>
        <v>0</v>
      </c>
      <c r="J100" s="78">
        <f>Main!AA24</f>
        <v>356</v>
      </c>
    </row>
    <row r="101" spans="1:10" x14ac:dyDescent="0.25">
      <c r="A101" t="str">
        <f t="shared" si="2"/>
        <v>SPOT 124</v>
      </c>
      <c r="B101">
        <v>26</v>
      </c>
      <c r="C101">
        <v>23</v>
      </c>
      <c r="D101">
        <v>26</v>
      </c>
      <c r="E101">
        <v>23</v>
      </c>
      <c r="F101" s="78">
        <f>Main!W27</f>
        <v>0</v>
      </c>
      <c r="G101" t="b">
        <f t="shared" si="4"/>
        <v>1</v>
      </c>
      <c r="H101">
        <v>30</v>
      </c>
      <c r="I101">
        <f t="shared" si="3"/>
        <v>0</v>
      </c>
      <c r="J101" s="78" t="str">
        <f>Main!W26</f>
        <v>124</v>
      </c>
    </row>
    <row r="102" spans="1:10" x14ac:dyDescent="0.25">
      <c r="A102" t="str">
        <f t="shared" si="2"/>
        <v>SPOT 146</v>
      </c>
      <c r="B102">
        <v>26</v>
      </c>
      <c r="C102">
        <v>24</v>
      </c>
      <c r="D102">
        <v>26</v>
      </c>
      <c r="E102">
        <v>24</v>
      </c>
      <c r="F102" s="78">
        <f>Main!X27</f>
        <v>0</v>
      </c>
      <c r="G102" t="b">
        <f t="shared" si="4"/>
        <v>0</v>
      </c>
      <c r="H102">
        <v>30</v>
      </c>
      <c r="I102">
        <f t="shared" si="3"/>
        <v>0</v>
      </c>
      <c r="J102" s="78" t="str">
        <f>Main!X26</f>
        <v>146</v>
      </c>
    </row>
    <row r="103" spans="1:10" x14ac:dyDescent="0.25">
      <c r="A103" t="str">
        <f t="shared" si="2"/>
        <v>SPOT 236</v>
      </c>
      <c r="B103">
        <v>26</v>
      </c>
      <c r="C103">
        <v>25</v>
      </c>
      <c r="D103">
        <v>26</v>
      </c>
      <c r="E103">
        <v>25</v>
      </c>
      <c r="F103" s="78">
        <f>Main!Y27</f>
        <v>0</v>
      </c>
      <c r="G103" t="b">
        <f t="shared" si="4"/>
        <v>0</v>
      </c>
      <c r="H103">
        <v>30</v>
      </c>
      <c r="I103">
        <f t="shared" si="3"/>
        <v>0</v>
      </c>
      <c r="J103" s="78">
        <f>Main!Y26</f>
        <v>236</v>
      </c>
    </row>
    <row r="104" spans="1:10" x14ac:dyDescent="0.25">
      <c r="A104" t="str">
        <f t="shared" si="2"/>
        <v>SPOT 245</v>
      </c>
      <c r="B104">
        <v>26</v>
      </c>
      <c r="C104">
        <v>26</v>
      </c>
      <c r="D104">
        <v>26</v>
      </c>
      <c r="E104">
        <v>26</v>
      </c>
      <c r="F104" s="78">
        <f>Main!Z27</f>
        <v>0</v>
      </c>
      <c r="G104" t="b">
        <f t="shared" si="4"/>
        <v>0</v>
      </c>
      <c r="H104">
        <v>30</v>
      </c>
      <c r="I104">
        <f t="shared" si="3"/>
        <v>0</v>
      </c>
      <c r="J104" s="78" t="str">
        <f>Main!Z26</f>
        <v>245</v>
      </c>
    </row>
    <row r="105" spans="1:10" x14ac:dyDescent="0.25">
      <c r="A105" t="str">
        <f t="shared" si="2"/>
        <v>SPOT 456</v>
      </c>
      <c r="B105">
        <v>26</v>
      </c>
      <c r="C105">
        <v>27</v>
      </c>
      <c r="D105">
        <v>26</v>
      </c>
      <c r="E105">
        <v>27</v>
      </c>
      <c r="F105" s="78">
        <f>Main!AA27</f>
        <v>0</v>
      </c>
      <c r="G105" t="b">
        <f t="shared" si="4"/>
        <v>0</v>
      </c>
      <c r="H105">
        <v>30</v>
      </c>
      <c r="I105">
        <f t="shared" si="3"/>
        <v>0</v>
      </c>
      <c r="J105" s="78" t="str">
        <f>Main!AA26</f>
        <v>456</v>
      </c>
    </row>
    <row r="106" spans="1:10" x14ac:dyDescent="0.25">
      <c r="A106" t="str">
        <f t="shared" si="2"/>
        <v>SPOT 125</v>
      </c>
      <c r="B106">
        <v>28</v>
      </c>
      <c r="C106">
        <v>23</v>
      </c>
      <c r="D106">
        <v>28</v>
      </c>
      <c r="E106">
        <v>23</v>
      </c>
      <c r="F106" s="78">
        <f>Main!W29</f>
        <v>0</v>
      </c>
      <c r="G106" t="b">
        <f t="shared" si="4"/>
        <v>0</v>
      </c>
      <c r="H106">
        <v>30</v>
      </c>
      <c r="I106">
        <f t="shared" si="3"/>
        <v>0</v>
      </c>
      <c r="J106" s="78" t="str">
        <f>Main!W28</f>
        <v>125</v>
      </c>
    </row>
    <row r="107" spans="1:10" x14ac:dyDescent="0.25">
      <c r="A107" t="str">
        <f t="shared" si="2"/>
        <v>SPOT 134</v>
      </c>
      <c r="B107">
        <v>28</v>
      </c>
      <c r="C107">
        <v>24</v>
      </c>
      <c r="D107">
        <v>28</v>
      </c>
      <c r="E107">
        <v>24</v>
      </c>
      <c r="F107" s="78">
        <f>Main!X29</f>
        <v>0</v>
      </c>
      <c r="G107" t="b">
        <f t="shared" si="4"/>
        <v>0</v>
      </c>
      <c r="H107">
        <v>30</v>
      </c>
      <c r="I107">
        <f t="shared" si="3"/>
        <v>0</v>
      </c>
      <c r="J107" s="78" t="str">
        <f>Main!X28</f>
        <v>134</v>
      </c>
    </row>
    <row r="108" spans="1:10" x14ac:dyDescent="0.25">
      <c r="A108" t="str">
        <f t="shared" si="2"/>
        <v>SPOT 156</v>
      </c>
      <c r="B108">
        <v>28</v>
      </c>
      <c r="C108">
        <v>25</v>
      </c>
      <c r="D108">
        <v>28</v>
      </c>
      <c r="E108">
        <v>25</v>
      </c>
      <c r="F108" s="78">
        <f>Main!Y29</f>
        <v>0</v>
      </c>
      <c r="G108" t="b">
        <f t="shared" si="4"/>
        <v>0</v>
      </c>
      <c r="H108">
        <v>30</v>
      </c>
      <c r="I108">
        <f t="shared" si="3"/>
        <v>0</v>
      </c>
      <c r="J108" s="78" t="str">
        <f>Main!Y28</f>
        <v>156</v>
      </c>
    </row>
    <row r="109" spans="1:10" x14ac:dyDescent="0.25">
      <c r="A109" t="str">
        <f t="shared" si="2"/>
        <v>SPOT 246</v>
      </c>
      <c r="B109">
        <v>28</v>
      </c>
      <c r="C109">
        <v>26</v>
      </c>
      <c r="D109">
        <v>28</v>
      </c>
      <c r="E109">
        <v>26</v>
      </c>
      <c r="F109" s="78">
        <f>Main!Z29</f>
        <v>0</v>
      </c>
      <c r="G109" t="b">
        <f t="shared" si="4"/>
        <v>0</v>
      </c>
      <c r="H109">
        <v>30</v>
      </c>
      <c r="I109">
        <f t="shared" si="3"/>
        <v>0</v>
      </c>
      <c r="J109" s="78" t="str">
        <f>Main!Z28</f>
        <v>246</v>
      </c>
    </row>
    <row r="110" spans="1:10" x14ac:dyDescent="0.25">
      <c r="A110" t="str">
        <f t="shared" si="2"/>
        <v>SPOT 345</v>
      </c>
      <c r="B110">
        <v>28</v>
      </c>
      <c r="C110">
        <v>27</v>
      </c>
      <c r="D110">
        <v>28</v>
      </c>
      <c r="E110">
        <v>27</v>
      </c>
      <c r="F110" s="78">
        <f>Main!AA29</f>
        <v>0</v>
      </c>
      <c r="G110" t="b">
        <f t="shared" si="4"/>
        <v>0</v>
      </c>
      <c r="H110">
        <v>30</v>
      </c>
      <c r="I110">
        <f t="shared" si="3"/>
        <v>0</v>
      </c>
      <c r="J110" s="78" t="str">
        <f>Main!AA28</f>
        <v>345</v>
      </c>
    </row>
  </sheetData>
  <mergeCells count="2">
    <mergeCell ref="T2:T13"/>
    <mergeCell ref="T15:T22"/>
  </mergeCells>
  <pageMargins left="0.7" right="0.7" top="0.75" bottom="0.75" header="0.3" footer="0.3"/>
  <ignoredErrors>
    <ignoredError sqref="O2:S2 Q4 O4 O6 Q6 O8:S8 O10 R10 O12 R12 O21:S21 R19:S19 O19:P19 O17:Q17 S15 O15:Q16" numberStoredAsText="1"/>
  </ignoredErrors>
  <drawing r:id="rId1"/>
  <legacyDrawing r:id="rId2"/>
  <controls>
    <mc:AlternateContent xmlns:mc="http://schemas.openxmlformats.org/markup-compatibility/2006">
      <mc:Choice Requires="x14">
        <control shapeId="1026" r:id="rId3" name="CommandButton2">
          <controlPr defaultSize="0" autoLine="0" r:id="rId4">
            <anchor moveWithCells="1">
              <from>
                <xdr:col>12</xdr:col>
                <xdr:colOff>228600</xdr:colOff>
                <xdr:row>2</xdr:row>
                <xdr:rowOff>85725</xdr:rowOff>
              </from>
              <to>
                <xdr:col>13</xdr:col>
                <xdr:colOff>371475</xdr:colOff>
                <xdr:row>4</xdr:row>
                <xdr:rowOff>57150</xdr:rowOff>
              </to>
            </anchor>
          </controlPr>
        </control>
      </mc:Choice>
      <mc:Fallback>
        <control shapeId="1026" r:id="rId3" name="CommandButton2"/>
      </mc:Fallback>
    </mc:AlternateContent>
    <mc:AlternateContent xmlns:mc="http://schemas.openxmlformats.org/markup-compatibility/2006">
      <mc:Choice Requires="x14">
        <control shapeId="1025" r:id="rId5" name="CommandButton1">
          <controlPr defaultSize="0" autoLine="0" autoPict="0" r:id="rId6">
            <anchor moveWithCells="1">
              <from>
                <xdr:col>12</xdr:col>
                <xdr:colOff>209550</xdr:colOff>
                <xdr:row>0</xdr:row>
                <xdr:rowOff>57150</xdr:rowOff>
              </from>
              <to>
                <xdr:col>13</xdr:col>
                <xdr:colOff>428625</xdr:colOff>
                <xdr:row>1</xdr:row>
                <xdr:rowOff>171450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Main</vt:lpstr>
      <vt:lpstr>Database</vt:lpstr>
      <vt:lpstr>Dice11a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2017-09-15T11:38:35Z</dcterms:created>
  <dcterms:modified xsi:type="dcterms:W3CDTF">2017-09-17T08:01:55Z</dcterms:modified>
</cp:coreProperties>
</file>