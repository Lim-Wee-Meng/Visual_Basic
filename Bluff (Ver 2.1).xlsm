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Main" sheetId="1" r:id="rId1"/>
    <sheet name="Game" sheetId="3" r:id="rId2"/>
    <sheet name="Pic" sheetId="2" r:id="rId3"/>
  </sheets>
  <definedNames>
    <definedName name="C_Call">INDEX(Pic!$B$2:$B$7,MATCH(Game!$I$5,Pic!$A$2:$A$7,0),1)</definedName>
    <definedName name="C_Dice1">INDEX(Pic!$B$2:$B$12,MATCH(Game!$C$1,Pic!$A$2:$A$12,0),1)</definedName>
    <definedName name="C_Dice2">INDEX(Pic!$B$2:$B$12,MATCH(Game!$D$1,Pic!$A$2:$A$12,0),1)</definedName>
    <definedName name="C_Dice3">INDEX(Pic!$B$2:$B$12,MATCH(Game!$E$1,Pic!$A$2:$A$12,0),1)</definedName>
    <definedName name="C_Dice4">INDEX(Pic!$B$2:$B$12,MATCH(Game!$F$1,Pic!$A$2:$A$12,0),1)</definedName>
    <definedName name="C_Dice5">INDEX(Pic!$B$2:$B$12,MATCH(Game!$G$1,Pic!$A$2:$A$12,0),1)</definedName>
    <definedName name="Dice_Pic">INDEX(Pic!$B$2:$B$14,MATCH(Pic!$H$2,Pic!$A$2:$A$14,0),1)</definedName>
    <definedName name="Joker_Dice">INDEX(Pic!$B$13:$B$14,MATCH(Game!$C$5,Pic!$A$13:$A$14,0),1)</definedName>
    <definedName name="P_Call">INDEX(Pic!$B$2:$B$7,MATCH(Game!$I$4,Pic!$A$2:$A$7,0),1)</definedName>
    <definedName name="P_Dice1">INDEX(Pic!$B$2:$B$7,MATCH(Game!$C$2,Pic!$A$2:$A$7,0),1)</definedName>
    <definedName name="P_Dice2">INDEX(Pic!$B$2:$B$7,MATCH(Game!$D$2,Pic!$A$2:$A$7,0),1)</definedName>
    <definedName name="P_Dice3">INDEX(Pic!$B$2:$B$7,MATCH(Game!$E$2,Pic!$A$2:$A$7,0),1)</definedName>
    <definedName name="P_Dice4">INDEX(Pic!$B$2:$B$7,MATCH(Game!$F$2,Pic!$A$2:$A$7,0),1)</definedName>
    <definedName name="P_Dice5">INDEX(Pic!$B$2:$B$7,MATCH(Game!$G$2,Pic!$A$2:$A$7,0),1)</definedName>
    <definedName name="results">INDEX(Pic!$D$17:$D$20,MATCH(Game!$H$38,Pic!$C$17:$C$20,0))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3" l="1"/>
  <c r="K9" i="3" s="1"/>
  <c r="I6" i="3"/>
  <c r="E5" i="1"/>
  <c r="B4" i="1"/>
  <c r="C5" i="3" l="1"/>
  <c r="J33" i="3"/>
  <c r="K33" i="3"/>
  <c r="J35" i="3"/>
  <c r="K32" i="3"/>
  <c r="J32" i="3"/>
  <c r="H30" i="3" s="1"/>
  <c r="K8" i="3"/>
  <c r="I11" i="3" s="1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16" i="3"/>
  <c r="K5" i="3"/>
  <c r="C6" i="1" s="1"/>
  <c r="K4" i="3"/>
  <c r="F6" i="1" s="1"/>
  <c r="H5" i="3"/>
  <c r="H4" i="3"/>
  <c r="E9" i="3"/>
  <c r="E10" i="3"/>
  <c r="E11" i="3"/>
  <c r="E12" i="3"/>
  <c r="E13" i="3"/>
  <c r="E8" i="3"/>
  <c r="F8" i="3" s="1"/>
  <c r="H23" i="3" s="1"/>
  <c r="I23" i="3" s="1"/>
  <c r="J23" i="3" s="1"/>
  <c r="K23" i="3" s="1"/>
  <c r="B9" i="3"/>
  <c r="B10" i="3"/>
  <c r="B11" i="3"/>
  <c r="B12" i="3"/>
  <c r="B13" i="3"/>
  <c r="B8" i="3"/>
  <c r="C8" i="3" s="1"/>
  <c r="G1" i="3"/>
  <c r="F1" i="3"/>
  <c r="E1" i="3"/>
  <c r="D1" i="3"/>
  <c r="C1" i="3"/>
  <c r="I15" i="3" l="1"/>
  <c r="I13" i="3"/>
  <c r="I16" i="3"/>
  <c r="I14" i="3"/>
  <c r="I12" i="3"/>
  <c r="I32" i="3"/>
  <c r="L32" i="3" s="1"/>
  <c r="L5" i="3"/>
  <c r="F5" i="1" s="1"/>
  <c r="I33" i="3"/>
  <c r="L33" i="3" s="1"/>
  <c r="F12" i="3"/>
  <c r="H27" i="3" s="1"/>
  <c r="I27" i="3" s="1"/>
  <c r="J27" i="3" s="1"/>
  <c r="K27" i="3" s="1"/>
  <c r="F13" i="3"/>
  <c r="G13" i="3" s="1"/>
  <c r="F11" i="3"/>
  <c r="H26" i="3" s="1"/>
  <c r="I26" i="3" s="1"/>
  <c r="J26" i="3" s="1"/>
  <c r="K26" i="3" s="1"/>
  <c r="F9" i="3"/>
  <c r="G9" i="3" s="1"/>
  <c r="G8" i="3"/>
  <c r="C11" i="3"/>
  <c r="C13" i="3"/>
  <c r="C12" i="3"/>
  <c r="C10" i="3"/>
  <c r="C9" i="3"/>
  <c r="F10" i="3"/>
  <c r="L4" i="3"/>
  <c r="K35" i="3" l="1"/>
  <c r="I35" i="3" s="1"/>
  <c r="H24" i="3"/>
  <c r="I24" i="3" s="1"/>
  <c r="O32" i="3"/>
  <c r="H28" i="3"/>
  <c r="I28" i="3" s="1"/>
  <c r="J28" i="3" s="1"/>
  <c r="K28" i="3" s="1"/>
  <c r="G11" i="3"/>
  <c r="G12" i="3"/>
  <c r="H25" i="3"/>
  <c r="I25" i="3" s="1"/>
  <c r="G10" i="3"/>
  <c r="I30" i="3" l="1"/>
  <c r="J30" i="3" s="1"/>
  <c r="J25" i="3"/>
  <c r="K25" i="3" s="1"/>
  <c r="L35" i="3"/>
  <c r="M32" i="3" s="1"/>
  <c r="J24" i="3"/>
  <c r="K24" i="3" s="1"/>
  <c r="E17" i="3"/>
  <c r="E21" i="3"/>
  <c r="E25" i="3"/>
  <c r="E29" i="3"/>
  <c r="E33" i="3"/>
  <c r="E37" i="3"/>
  <c r="E41" i="3"/>
  <c r="E45" i="3"/>
  <c r="E49" i="3"/>
  <c r="E53" i="3"/>
  <c r="E57" i="3"/>
  <c r="E61" i="3"/>
  <c r="E65" i="3"/>
  <c r="E69" i="3"/>
  <c r="E73" i="3"/>
  <c r="E18" i="3"/>
  <c r="E22" i="3"/>
  <c r="E26" i="3"/>
  <c r="E30" i="3"/>
  <c r="E34" i="3"/>
  <c r="E42" i="3"/>
  <c r="E50" i="3"/>
  <c r="E66" i="3"/>
  <c r="E64" i="3"/>
  <c r="E19" i="3"/>
  <c r="E23" i="3"/>
  <c r="E27" i="3"/>
  <c r="E31" i="3"/>
  <c r="E35" i="3"/>
  <c r="E39" i="3"/>
  <c r="E43" i="3"/>
  <c r="E47" i="3"/>
  <c r="E51" i="3"/>
  <c r="E55" i="3"/>
  <c r="E59" i="3"/>
  <c r="E63" i="3"/>
  <c r="E67" i="3"/>
  <c r="E71" i="3"/>
  <c r="E75" i="3"/>
  <c r="E20" i="3"/>
  <c r="E24" i="3"/>
  <c r="E28" i="3"/>
  <c r="E32" i="3"/>
  <c r="E36" i="3"/>
  <c r="E40" i="3"/>
  <c r="E44" i="3"/>
  <c r="E48" i="3"/>
  <c r="E52" i="3"/>
  <c r="E70" i="3"/>
  <c r="E62" i="3"/>
  <c r="E54" i="3"/>
  <c r="E16" i="3"/>
  <c r="E68" i="3"/>
  <c r="E60" i="3"/>
  <c r="E38" i="3"/>
  <c r="E46" i="3"/>
  <c r="E74" i="3"/>
  <c r="E58" i="3"/>
  <c r="E72" i="3"/>
  <c r="E56" i="3"/>
  <c r="M33" i="3" l="1"/>
  <c r="J16" i="3"/>
  <c r="K16" i="3" s="1"/>
  <c r="J12" i="3"/>
  <c r="K12" i="3" s="1"/>
  <c r="J11" i="3"/>
  <c r="K11" i="3" s="1"/>
  <c r="J14" i="3"/>
  <c r="K14" i="3" s="1"/>
  <c r="J15" i="3"/>
  <c r="K15" i="3" s="1"/>
  <c r="J13" i="3"/>
  <c r="K13" i="3" s="1"/>
  <c r="K17" i="3" l="1"/>
  <c r="I19" i="3" l="1"/>
  <c r="K19" i="3" l="1"/>
  <c r="J19" i="3"/>
</calcChain>
</file>

<file path=xl/sharedStrings.xml><?xml version="1.0" encoding="utf-8"?>
<sst xmlns="http://schemas.openxmlformats.org/spreadsheetml/2006/main" count="77" uniqueCount="61">
  <si>
    <t>吹牛</t>
  </si>
  <si>
    <t>BLUFF</t>
  </si>
  <si>
    <t>吹牛高手</t>
  </si>
  <si>
    <t>Computer</t>
  </si>
  <si>
    <t>Joker On</t>
  </si>
  <si>
    <t>Computer Hand</t>
  </si>
  <si>
    <t>Player Hand</t>
  </si>
  <si>
    <t>Game On</t>
  </si>
  <si>
    <t>Computer Show</t>
  </si>
  <si>
    <t>Dice</t>
  </si>
  <si>
    <t>w/Joker</t>
  </si>
  <si>
    <t>w/o Joker</t>
  </si>
  <si>
    <t>Last Win</t>
  </si>
  <si>
    <t>Turns</t>
  </si>
  <si>
    <t>C Call</t>
  </si>
  <si>
    <t>P Call</t>
  </si>
  <si>
    <t>Count</t>
  </si>
  <si>
    <t>一个</t>
  </si>
  <si>
    <t>两个</t>
  </si>
  <si>
    <t>三个</t>
  </si>
  <si>
    <t>四个</t>
  </si>
  <si>
    <t>五个</t>
  </si>
  <si>
    <t>六个</t>
  </si>
  <si>
    <t>七个</t>
  </si>
  <si>
    <t>八个</t>
  </si>
  <si>
    <t>九个</t>
  </si>
  <si>
    <t>十个</t>
  </si>
  <si>
    <t>一</t>
  </si>
  <si>
    <t>三</t>
  </si>
  <si>
    <t>四</t>
  </si>
  <si>
    <t>五</t>
  </si>
  <si>
    <t>六</t>
  </si>
  <si>
    <t>二</t>
  </si>
  <si>
    <t>最少要叫</t>
  </si>
  <si>
    <t>以上</t>
  </si>
  <si>
    <t>C Call Dice</t>
  </si>
  <si>
    <t>Player</t>
  </si>
  <si>
    <t>Current</t>
  </si>
  <si>
    <t>Rank</t>
  </si>
  <si>
    <t>Computer1</t>
  </si>
  <si>
    <t>Computer2</t>
  </si>
  <si>
    <t>Computer3</t>
  </si>
  <si>
    <t>Computer4</t>
  </si>
  <si>
    <t>Computer5</t>
  </si>
  <si>
    <t>Computer6</t>
  </si>
  <si>
    <t>choice</t>
  </si>
  <si>
    <t>Abb</t>
  </si>
  <si>
    <t>Rnk Choice</t>
  </si>
  <si>
    <t>C Catch</t>
  </si>
  <si>
    <t>Actual</t>
  </si>
  <si>
    <t>Bluff</t>
  </si>
  <si>
    <t>吹牛大王</t>
  </si>
  <si>
    <t>Game</t>
  </si>
  <si>
    <t>Results</t>
  </si>
  <si>
    <t>大王叫</t>
  </si>
  <si>
    <t>大王抓 ！</t>
  </si>
  <si>
    <t>大王先叫</t>
  </si>
  <si>
    <t>你先叫</t>
  </si>
  <si>
    <t>Ace Triggered</t>
  </si>
  <si>
    <t>#</t>
  </si>
  <si>
    <t>Bluff (Ver2.1) Program By Remy Lim 2017 April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</si>
</sst>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0"/>
      <name val="Calibri"/>
      <family val="2"/>
      <scheme val="minor"/>
    </font>
    <font>
      <sz val="16"/>
      <color rgb="FFFF0000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/>
    <xf numFmtId="0" fontId="3" fillId="2" borderId="0" xfId="0" applyFont="1" applyFill="1" applyAlignment="1">
      <alignment horizontal="right" vertical="center"/>
    </xf>
    <xf numFmtId="0" fontId="0" fillId="4" borderId="0" xfId="0" applyFill="1"/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quotePrefix="1" applyAlignment="1">
      <alignment horizontal="center"/>
    </xf>
    <xf numFmtId="0" fontId="0" fillId="0" borderId="2" xfId="0" applyBorder="1"/>
    <xf numFmtId="0" fontId="4" fillId="4" borderId="0" xfId="0" applyFont="1" applyFill="1"/>
    <xf numFmtId="0" fontId="4" fillId="0" borderId="0" xfId="0" applyFont="1"/>
    <xf numFmtId="0" fontId="0" fillId="5" borderId="0" xfId="0" applyFill="1"/>
    <xf numFmtId="0" fontId="2" fillId="4" borderId="0" xfId="0" applyFont="1" applyFill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3" fillId="5" borderId="0" xfId="0" applyFont="1" applyFill="1" applyAlignment="1">
      <alignment horizontal="right" vertical="center"/>
    </xf>
    <xf numFmtId="0" fontId="6" fillId="5" borderId="0" xfId="0" applyFont="1" applyFill="1" applyAlignment="1">
      <alignment horizontal="center" vertical="center"/>
    </xf>
    <xf numFmtId="0" fontId="0" fillId="0" borderId="0" xfId="0" applyBorder="1"/>
    <xf numFmtId="0" fontId="7" fillId="2" borderId="0" xfId="0" applyFont="1" applyFill="1" applyAlignment="1">
      <alignment horizontal="center" vertical="center"/>
    </xf>
    <xf numFmtId="0" fontId="6" fillId="4" borderId="0" xfId="0" applyNumberFormat="1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vertical="center"/>
    </xf>
  </cellXfs>
  <cellStyles count="1">
    <cellStyle name="Normal" xfId="0" builtinId="0"/>
  </cellStyles>
  <dxfs count="2">
    <dxf>
      <font>
        <color theme="0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5F1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2" fmlaLink="Game!$I$4" max="6" min="1" page="10" val="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gi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png"/><Relationship Id="rId18" Type="http://schemas.openxmlformats.org/officeDocument/2006/relationships/image" Target="../media/image37.jpeg"/><Relationship Id="rId3" Type="http://schemas.openxmlformats.org/officeDocument/2006/relationships/image" Target="../media/image22.png"/><Relationship Id="rId7" Type="http://schemas.openxmlformats.org/officeDocument/2006/relationships/image" Target="../media/image26.png"/><Relationship Id="rId12" Type="http://schemas.openxmlformats.org/officeDocument/2006/relationships/image" Target="../media/image31.png"/><Relationship Id="rId17" Type="http://schemas.openxmlformats.org/officeDocument/2006/relationships/image" Target="../media/image36.png"/><Relationship Id="rId2" Type="http://schemas.openxmlformats.org/officeDocument/2006/relationships/image" Target="../media/image21.png"/><Relationship Id="rId16" Type="http://schemas.openxmlformats.org/officeDocument/2006/relationships/image" Target="../media/image35.png"/><Relationship Id="rId1" Type="http://schemas.openxmlformats.org/officeDocument/2006/relationships/image" Target="../media/image20.emf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5" Type="http://schemas.openxmlformats.org/officeDocument/2006/relationships/image" Target="../media/image24.png"/><Relationship Id="rId15" Type="http://schemas.openxmlformats.org/officeDocument/2006/relationships/image" Target="../media/image34.pn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Relationship Id="rId14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59532</xdr:colOff>
      <xdr:row>3</xdr:row>
      <xdr:rowOff>321468</xdr:rowOff>
    </xdr:from>
    <xdr:to>
      <xdr:col>11</xdr:col>
      <xdr:colOff>152291</xdr:colOff>
      <xdr:row>5</xdr:row>
      <xdr:rowOff>475142</xdr:rowOff>
    </xdr:to>
    <xdr:sp macro="[0]!Shake_To_Start" textlink="">
      <xdr:nvSpPr>
        <xdr:cNvPr id="2" name="Rounded Rectangle 1"/>
        <xdr:cNvSpPr/>
      </xdr:nvSpPr>
      <xdr:spPr>
        <a:xfrm>
          <a:off x="8203407" y="2678906"/>
          <a:ext cx="1914415" cy="879955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SHAKE DICE TO START</a:t>
          </a:r>
        </a:p>
        <a:p>
          <a:pPr algn="ctr"/>
          <a:r>
            <a:rPr lang="zh-CN" altLang="en-US" sz="1400" b="1">
              <a:solidFill>
                <a:schemeClr val="bg1"/>
              </a:solidFill>
            </a:rPr>
            <a:t>先摇</a:t>
          </a:r>
          <a:r>
            <a:rPr lang="zh-CN" sz="1400" b="1">
              <a:solidFill>
                <a:schemeClr val="bg1"/>
              </a:solidFill>
            </a:rPr>
            <a:t>骰子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22150</xdr:colOff>
          <xdr:row>2</xdr:row>
          <xdr:rowOff>1</xdr:rowOff>
        </xdr:from>
        <xdr:to>
          <xdr:col>3</xdr:col>
          <xdr:colOff>4872</xdr:colOff>
          <xdr:row>3</xdr:row>
          <xdr:rowOff>9525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C_Dice1" spid="_x0000_s30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492005" y="2126513"/>
              <a:ext cx="990600" cy="92879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22151</xdr:colOff>
          <xdr:row>2</xdr:row>
          <xdr:rowOff>11076</xdr:rowOff>
        </xdr:from>
        <xdr:to>
          <xdr:col>4</xdr:col>
          <xdr:colOff>4874</xdr:colOff>
          <xdr:row>3</xdr:row>
          <xdr:rowOff>20600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C_Dice2" spid="_x0000_s306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499884" y="2137588"/>
              <a:ext cx="990600" cy="92879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990600</xdr:colOff>
          <xdr:row>3</xdr:row>
          <xdr:rowOff>9524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C_Dice3" spid="_x0000_s306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5181600" y="2124075"/>
              <a:ext cx="990600" cy="933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5</xdr:col>
          <xdr:colOff>990600</xdr:colOff>
          <xdr:row>3</xdr:row>
          <xdr:rowOff>9524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C_Dice4" spid="_x0000_s306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6534150" y="2124075"/>
              <a:ext cx="990600" cy="933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6</xdr:col>
          <xdr:colOff>990600</xdr:colOff>
          <xdr:row>3</xdr:row>
          <xdr:rowOff>9524</xdr:rowOff>
        </xdr:to>
        <xdr:pic>
          <xdr:nvPicPr>
            <xdr:cNvPr id="9" name="Picture 8"/>
            <xdr:cNvPicPr>
              <a:picLocks noChangeAspect="1" noChangeArrowheads="1"/>
              <a:extLst>
                <a:ext uri="{84589F7E-364E-4C9E-8A38-B11213B215E9}">
                  <a14:cameraTool cellRange="C_Dice5" spid="_x0000_s306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7886700" y="2124075"/>
              <a:ext cx="990600" cy="933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990600</xdr:colOff>
          <xdr:row>6</xdr:row>
          <xdr:rowOff>930792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P_Dice1" spid="_x0000_s307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469855" y="3965058"/>
              <a:ext cx="990600" cy="9307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990600</xdr:colOff>
          <xdr:row>6</xdr:row>
          <xdr:rowOff>930792</xdr:rowOff>
        </xdr:to>
        <xdr:pic>
          <xdr:nvPicPr>
            <xdr:cNvPr id="11" name="Picture 10"/>
            <xdr:cNvPicPr>
              <a:picLocks noChangeAspect="1" noChangeArrowheads="1"/>
              <a:extLst>
                <a:ext uri="{84589F7E-364E-4C9E-8A38-B11213B215E9}">
                  <a14:cameraTool cellRange="P_Dice2" spid="_x0000_s307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477733" y="3965058"/>
              <a:ext cx="990600" cy="9307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990600</xdr:colOff>
          <xdr:row>6</xdr:row>
          <xdr:rowOff>930792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P_Dice3" spid="_x0000_s51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85610" y="3965058"/>
              <a:ext cx="990600" cy="9307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990600</xdr:colOff>
          <xdr:row>6</xdr:row>
          <xdr:rowOff>930792</xdr:rowOff>
        </xdr:to>
        <xdr:pic>
          <xdr:nvPicPr>
            <xdr:cNvPr id="13" name="Picture 12"/>
            <xdr:cNvPicPr>
              <a:picLocks noChangeAspect="1" noChangeArrowheads="1"/>
              <a:extLst>
                <a:ext uri="{84589F7E-364E-4C9E-8A38-B11213B215E9}">
                  <a14:cameraTool cellRange="P_Dice4" spid="_x0000_s512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5493488" y="3965058"/>
              <a:ext cx="990600" cy="9307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6</xdr:col>
          <xdr:colOff>990600</xdr:colOff>
          <xdr:row>6</xdr:row>
          <xdr:rowOff>930792</xdr:rowOff>
        </xdr:to>
        <xdr:pic>
          <xdr:nvPicPr>
            <xdr:cNvPr id="14" name="Picture 13"/>
            <xdr:cNvPicPr>
              <a:picLocks noChangeAspect="1" noChangeArrowheads="1"/>
              <a:extLst>
                <a:ext uri="{84589F7E-364E-4C9E-8A38-B11213B215E9}">
                  <a14:cameraTool cellRange="P_Dice5" spid="_x0000_s5122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6501366" y="3965058"/>
              <a:ext cx="990600" cy="9307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10244</xdr:colOff>
          <xdr:row>5</xdr:row>
          <xdr:rowOff>23812</xdr:rowOff>
        </xdr:from>
        <xdr:to>
          <xdr:col>4</xdr:col>
          <xdr:colOff>1004997</xdr:colOff>
          <xdr:row>5</xdr:row>
          <xdr:rowOff>952500</xdr:rowOff>
        </xdr:to>
        <xdr:pic>
          <xdr:nvPicPr>
            <xdr:cNvPr id="15" name="Picture 14"/>
            <xdr:cNvPicPr>
              <a:picLocks noChangeAspect="1" noChangeArrowheads="1"/>
              <a:extLst>
                <a:ext uri="{84589F7E-364E-4C9E-8A38-B11213B215E9}">
                  <a14:cameraTool cellRange="Joker_Dice" spid="_x0000_s512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4510807" y="3107531"/>
              <a:ext cx="994753" cy="928688"/>
            </a:xfrm>
            <a:prstGeom prst="rect">
              <a:avLst/>
            </a:prstGeom>
            <a:solidFill>
              <a:schemeClr val="bg1"/>
            </a:solidFill>
          </xdr:spPr>
        </xdr:pic>
        <xdr:clientData/>
      </xdr:twoCellAnchor>
    </mc:Choice>
    <mc:Fallback/>
  </mc:AlternateContent>
  <xdr:twoCellAnchor>
    <xdr:from>
      <xdr:col>8</xdr:col>
      <xdr:colOff>100373</xdr:colOff>
      <xdr:row>6</xdr:row>
      <xdr:rowOff>546026</xdr:rowOff>
    </xdr:from>
    <xdr:to>
      <xdr:col>11</xdr:col>
      <xdr:colOff>111449</xdr:colOff>
      <xdr:row>7</xdr:row>
      <xdr:rowOff>478741</xdr:rowOff>
    </xdr:to>
    <xdr:sp macro="[0]!Catch" textlink="">
      <xdr:nvSpPr>
        <xdr:cNvPr id="16" name="Rounded Rectangle 15"/>
        <xdr:cNvSpPr/>
      </xdr:nvSpPr>
      <xdr:spPr>
        <a:xfrm>
          <a:off x="8244248" y="4606057"/>
          <a:ext cx="1832732" cy="897122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CATCH </a:t>
          </a:r>
          <a:r>
            <a:rPr lang="zh-CN" altLang="en-US" sz="2800" b="1"/>
            <a:t>抓</a:t>
          </a:r>
          <a:endParaRPr lang="en-US" sz="2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45133</xdr:colOff>
          <xdr:row>5</xdr:row>
          <xdr:rowOff>140626</xdr:rowOff>
        </xdr:from>
        <xdr:to>
          <xdr:col>3</xdr:col>
          <xdr:colOff>750094</xdr:colOff>
          <xdr:row>5</xdr:row>
          <xdr:rowOff>804917</xdr:rowOff>
        </xdr:to>
        <xdr:pic>
          <xdr:nvPicPr>
            <xdr:cNvPr id="17" name="Picture 16"/>
            <xdr:cNvPicPr>
              <a:picLocks noChangeAspect="1" noChangeArrowheads="1"/>
              <a:extLst>
                <a:ext uri="{84589F7E-364E-4C9E-8A38-B11213B215E9}">
                  <a14:cameraTool cellRange="C_Call" spid="_x0000_s5124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3533664" y="3224345"/>
              <a:ext cx="704961" cy="66429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137890</xdr:colOff>
          <xdr:row>5</xdr:row>
          <xdr:rowOff>160975</xdr:rowOff>
        </xdr:from>
        <xdr:to>
          <xdr:col>6</xdr:col>
          <xdr:colOff>869155</xdr:colOff>
          <xdr:row>5</xdr:row>
          <xdr:rowOff>850051</xdr:rowOff>
        </xdr:to>
        <xdr:pic>
          <xdr:nvPicPr>
            <xdr:cNvPr id="18" name="Picture 17"/>
            <xdr:cNvPicPr>
              <a:picLocks noChangeAspect="1" noChangeArrowheads="1"/>
              <a:extLst>
                <a:ext uri="{84589F7E-364E-4C9E-8A38-B11213B215E9}">
                  <a14:cameraTool cellRange="P_Call" spid="_x0000_s5125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6662515" y="3244694"/>
              <a:ext cx="731265" cy="6890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22150</xdr:colOff>
      <xdr:row>5</xdr:row>
      <xdr:rowOff>753139</xdr:rowOff>
    </xdr:from>
    <xdr:to>
      <xdr:col>5</xdr:col>
      <xdr:colOff>487326</xdr:colOff>
      <xdr:row>5</xdr:row>
      <xdr:rowOff>952501</xdr:rowOff>
    </xdr:to>
    <xdr:grpSp>
      <xdr:nvGrpSpPr>
        <xdr:cNvPr id="4" name="Group 3"/>
        <xdr:cNvGrpSpPr/>
      </xdr:nvGrpSpPr>
      <xdr:grpSpPr>
        <a:xfrm>
          <a:off x="5534744" y="3836858"/>
          <a:ext cx="465176" cy="199362"/>
          <a:chOff x="5515638" y="3798924"/>
          <a:chExt cx="465176" cy="199362"/>
        </a:xfrm>
      </xdr:grpSpPr>
      <xdr:sp macro="[0]!Add_Up" textlink="">
        <xdr:nvSpPr>
          <xdr:cNvPr id="19" name="Rounded Rectangle 18"/>
          <xdr:cNvSpPr/>
        </xdr:nvSpPr>
        <xdr:spPr>
          <a:xfrm>
            <a:off x="5515638" y="3798924"/>
            <a:ext cx="465176" cy="199362"/>
          </a:xfrm>
          <a:prstGeom prst="roundRect">
            <a:avLst/>
          </a:prstGeom>
          <a:solidFill>
            <a:schemeClr val="accent1">
              <a:lumMod val="75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Add_Up" textlink="">
        <xdr:nvSpPr>
          <xdr:cNvPr id="20" name="Cross 19"/>
          <xdr:cNvSpPr/>
        </xdr:nvSpPr>
        <xdr:spPr>
          <a:xfrm>
            <a:off x="5672000" y="3850371"/>
            <a:ext cx="142680" cy="114687"/>
          </a:xfrm>
          <a:prstGeom prst="plus">
            <a:avLst>
              <a:gd name="adj" fmla="val 37500"/>
            </a:avLst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250032</xdr:colOff>
          <xdr:row>5</xdr:row>
          <xdr:rowOff>71436</xdr:rowOff>
        </xdr:from>
        <xdr:to>
          <xdr:col>7</xdr:col>
          <xdr:colOff>583407</xdr:colOff>
          <xdr:row>5</xdr:row>
          <xdr:rowOff>976311</xdr:rowOff>
        </xdr:to>
        <xdr:sp macro="" textlink="">
          <xdr:nvSpPr>
            <xdr:cNvPr id="2212" name="Spinner 164" hidden="1">
              <a:extLst>
                <a:ext uri="{63B3BB69-23CF-44E3-9099-C40C66FF867C}">
                  <a14:compatExt spid="_x0000_s2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81683</xdr:colOff>
      <xdr:row>5</xdr:row>
      <xdr:rowOff>539104</xdr:rowOff>
    </xdr:from>
    <xdr:to>
      <xdr:col>11</xdr:col>
      <xdr:colOff>130140</xdr:colOff>
      <xdr:row>6</xdr:row>
      <xdr:rowOff>482065</xdr:rowOff>
    </xdr:to>
    <xdr:sp macro="[0]!Ibet" textlink="">
      <xdr:nvSpPr>
        <xdr:cNvPr id="22" name="Rounded Rectangle 21"/>
        <xdr:cNvSpPr/>
      </xdr:nvSpPr>
      <xdr:spPr>
        <a:xfrm>
          <a:off x="8225558" y="3622823"/>
          <a:ext cx="1870113" cy="919273"/>
        </a:xfrm>
        <a:prstGeom prst="roundRect">
          <a:avLst/>
        </a:prstGeom>
        <a:solidFill>
          <a:srgbClr val="05F165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I BET THERE IS</a:t>
          </a:r>
        </a:p>
        <a:p>
          <a:pPr algn="ctr"/>
          <a:r>
            <a:rPr lang="zh-CN" altLang="en-US" sz="2000" b="1">
              <a:solidFill>
                <a:sysClr val="windowText" lastClr="000000"/>
              </a:solidFill>
            </a:rPr>
            <a:t>我说有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21321</xdr:colOff>
      <xdr:row>2</xdr:row>
      <xdr:rowOff>567901</xdr:rowOff>
    </xdr:from>
    <xdr:to>
      <xdr:col>1</xdr:col>
      <xdr:colOff>101065</xdr:colOff>
      <xdr:row>6</xdr:row>
      <xdr:rowOff>43750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21" y="1996651"/>
          <a:ext cx="2103807" cy="2107130"/>
        </a:xfrm>
        <a:prstGeom prst="rect">
          <a:avLst/>
        </a:prstGeom>
      </xdr:spPr>
    </xdr:pic>
    <xdr:clientData/>
  </xdr:twoCellAnchor>
  <xdr:twoCellAnchor>
    <xdr:from>
      <xdr:col>12</xdr:col>
      <xdr:colOff>130969</xdr:colOff>
      <xdr:row>6</xdr:row>
      <xdr:rowOff>214313</xdr:rowOff>
    </xdr:from>
    <xdr:to>
      <xdr:col>14</xdr:col>
      <xdr:colOff>500062</xdr:colOff>
      <xdr:row>7</xdr:row>
      <xdr:rowOff>654843</xdr:rowOff>
    </xdr:to>
    <xdr:sp macro="[0]!Reset" textlink="">
      <xdr:nvSpPr>
        <xdr:cNvPr id="23" name="Oval 22"/>
        <xdr:cNvSpPr/>
      </xdr:nvSpPr>
      <xdr:spPr>
        <a:xfrm>
          <a:off x="10703719" y="4274344"/>
          <a:ext cx="1583531" cy="1404937"/>
        </a:xfrm>
        <a:prstGeom prst="ellipse">
          <a:avLst/>
        </a:prstGeom>
        <a:solidFill>
          <a:srgbClr val="FF0000"/>
        </a:solidFill>
        <a:scene3d>
          <a:camera prst="orthographicFront"/>
          <a:lightRig rig="threePt" dir="t"/>
        </a:scene3d>
        <a:sp3d contourW="12700" prstMaterial="dkEdge">
          <a:bevelT w="254000" h="254000"/>
          <a:contourClr>
            <a:schemeClr val="bg1">
              <a:lumMod val="7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FFFF00"/>
              </a:solidFill>
            </a:rPr>
            <a:t>RESET</a:t>
          </a:r>
        </a:p>
        <a:p>
          <a:pPr algn="ctr"/>
          <a:r>
            <a:rPr lang="zh-CN" altLang="en-US" sz="1800" b="1">
              <a:solidFill>
                <a:srgbClr val="FFFF00"/>
              </a:solidFill>
            </a:rPr>
            <a:t>重新归零</a:t>
          </a:r>
          <a:endParaRPr lang="en-US" sz="1800" b="1">
            <a:solidFill>
              <a:srgbClr val="FFFF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12</xdr:col>
          <xdr:colOff>542925</xdr:colOff>
          <xdr:row>3</xdr:row>
          <xdr:rowOff>200025</xdr:rowOff>
        </xdr:to>
        <xdr:pic>
          <xdr:nvPicPr>
            <xdr:cNvPr id="28" name="Picture 27"/>
            <xdr:cNvPicPr>
              <a:picLocks noChangeAspect="1" noChangeArrowheads="1"/>
              <a:extLst>
                <a:ext uri="{84589F7E-364E-4C9E-8A38-B11213B215E9}">
                  <a14:cameraTool cellRange="results" spid="_x0000_s5126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8743950" y="0"/>
              <a:ext cx="2371725" cy="25431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120740</xdr:colOff>
          <xdr:row>1</xdr:row>
          <xdr:rowOff>40247</xdr:rowOff>
        </xdr:from>
        <xdr:to>
          <xdr:col>10</xdr:col>
          <xdr:colOff>501740</xdr:colOff>
          <xdr:row>2</xdr:row>
          <xdr:rowOff>49772</xdr:rowOff>
        </xdr:to>
        <xdr:pic>
          <xdr:nvPicPr>
            <xdr:cNvPr id="75" name="Picture 74"/>
            <xdr:cNvPicPr>
              <a:picLocks noChangeAspect="1" noChangeArrowheads="1"/>
              <a:extLst>
                <a:ext uri="{84589F7E-364E-4C9E-8A38-B11213B215E9}">
                  <a14:cameraTool cellRange="Dice_Pic" spid="_x0000_s11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929648" y="228064"/>
              <a:ext cx="984697" cy="93519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</xdr:col>
      <xdr:colOff>189764</xdr:colOff>
      <xdr:row>1</xdr:row>
      <xdr:rowOff>160985</xdr:rowOff>
    </xdr:from>
    <xdr:to>
      <xdr:col>1</xdr:col>
      <xdr:colOff>818335</xdr:colOff>
      <xdr:row>1</xdr:row>
      <xdr:rowOff>732414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3461" y="348802"/>
          <a:ext cx="628571" cy="5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189764</xdr:colOff>
      <xdr:row>2</xdr:row>
      <xdr:rowOff>181655</xdr:rowOff>
    </xdr:from>
    <xdr:to>
      <xdr:col>1</xdr:col>
      <xdr:colOff>818335</xdr:colOff>
      <xdr:row>2</xdr:row>
      <xdr:rowOff>734036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3461" y="1295141"/>
          <a:ext cx="628571" cy="5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189764</xdr:colOff>
      <xdr:row>3</xdr:row>
      <xdr:rowOff>183276</xdr:rowOff>
    </xdr:from>
    <xdr:to>
      <xdr:col>1</xdr:col>
      <xdr:colOff>818335</xdr:colOff>
      <xdr:row>3</xdr:row>
      <xdr:rowOff>726133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3461" y="2222431"/>
          <a:ext cx="628571" cy="542857"/>
        </a:xfrm>
        <a:prstGeom prst="rect">
          <a:avLst/>
        </a:prstGeom>
      </xdr:spPr>
    </xdr:pic>
    <xdr:clientData/>
  </xdr:twoCellAnchor>
  <xdr:twoCellAnchor editAs="oneCell">
    <xdr:from>
      <xdr:col>1</xdr:col>
      <xdr:colOff>189764</xdr:colOff>
      <xdr:row>4</xdr:row>
      <xdr:rowOff>175374</xdr:rowOff>
    </xdr:from>
    <xdr:to>
      <xdr:col>1</xdr:col>
      <xdr:colOff>818335</xdr:colOff>
      <xdr:row>4</xdr:row>
      <xdr:rowOff>727755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461" y="3140198"/>
          <a:ext cx="628571" cy="5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199287</xdr:colOff>
      <xdr:row>5</xdr:row>
      <xdr:rowOff>176995</xdr:rowOff>
    </xdr:from>
    <xdr:to>
      <xdr:col>1</xdr:col>
      <xdr:colOff>808811</xdr:colOff>
      <xdr:row>5</xdr:row>
      <xdr:rowOff>710328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2984" y="4067488"/>
          <a:ext cx="609524" cy="533333"/>
        </a:xfrm>
        <a:prstGeom prst="rect">
          <a:avLst/>
        </a:prstGeom>
      </xdr:spPr>
    </xdr:pic>
    <xdr:clientData/>
  </xdr:twoCellAnchor>
  <xdr:twoCellAnchor editAs="oneCell">
    <xdr:from>
      <xdr:col>1</xdr:col>
      <xdr:colOff>189764</xdr:colOff>
      <xdr:row>6</xdr:row>
      <xdr:rowOff>159569</xdr:rowOff>
    </xdr:from>
    <xdr:to>
      <xdr:col>1</xdr:col>
      <xdr:colOff>818335</xdr:colOff>
      <xdr:row>6</xdr:row>
      <xdr:rowOff>730998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3461" y="4975731"/>
          <a:ext cx="628571" cy="5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194525</xdr:colOff>
      <xdr:row>7</xdr:row>
      <xdr:rowOff>180239</xdr:rowOff>
    </xdr:from>
    <xdr:to>
      <xdr:col>1</xdr:col>
      <xdr:colOff>813573</xdr:colOff>
      <xdr:row>7</xdr:row>
      <xdr:rowOff>732620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8222" y="5922070"/>
          <a:ext cx="619048" cy="5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189764</xdr:colOff>
      <xdr:row>8</xdr:row>
      <xdr:rowOff>181860</xdr:rowOff>
    </xdr:from>
    <xdr:to>
      <xdr:col>1</xdr:col>
      <xdr:colOff>818335</xdr:colOff>
      <xdr:row>8</xdr:row>
      <xdr:rowOff>734241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93461" y="6849360"/>
          <a:ext cx="628571" cy="5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204049</xdr:colOff>
      <xdr:row>9</xdr:row>
      <xdr:rowOff>183481</xdr:rowOff>
    </xdr:from>
    <xdr:to>
      <xdr:col>1</xdr:col>
      <xdr:colOff>804049</xdr:colOff>
      <xdr:row>9</xdr:row>
      <xdr:rowOff>735862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07746" y="7776650"/>
          <a:ext cx="600000" cy="5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189764</xdr:colOff>
      <xdr:row>10</xdr:row>
      <xdr:rowOff>185102</xdr:rowOff>
    </xdr:from>
    <xdr:to>
      <xdr:col>1</xdr:col>
      <xdr:colOff>818335</xdr:colOff>
      <xdr:row>10</xdr:row>
      <xdr:rowOff>747007</xdr:rowOff>
    </xdr:to>
    <xdr:pic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93461" y="8703940"/>
          <a:ext cx="628571" cy="5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189764</xdr:colOff>
      <xdr:row>11</xdr:row>
      <xdr:rowOff>196248</xdr:rowOff>
    </xdr:from>
    <xdr:to>
      <xdr:col>1</xdr:col>
      <xdr:colOff>818335</xdr:colOff>
      <xdr:row>11</xdr:row>
      <xdr:rowOff>758153</xdr:rowOff>
    </xdr:to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93461" y="9640755"/>
          <a:ext cx="628571" cy="5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194525</xdr:colOff>
      <xdr:row>12</xdr:row>
      <xdr:rowOff>207393</xdr:rowOff>
    </xdr:from>
    <xdr:to>
      <xdr:col>1</xdr:col>
      <xdr:colOff>813573</xdr:colOff>
      <xdr:row>12</xdr:row>
      <xdr:rowOff>778822</xdr:rowOff>
    </xdr:to>
    <xdr:pic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98222" y="10577569"/>
          <a:ext cx="619048" cy="5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189764</xdr:colOff>
      <xdr:row>13</xdr:row>
      <xdr:rowOff>228063</xdr:rowOff>
    </xdr:from>
    <xdr:to>
      <xdr:col>1</xdr:col>
      <xdr:colOff>818335</xdr:colOff>
      <xdr:row>13</xdr:row>
      <xdr:rowOff>780444</xdr:rowOff>
    </xdr:to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93461" y="11523908"/>
          <a:ext cx="628571" cy="552381"/>
        </a:xfrm>
        <a:prstGeom prst="rect">
          <a:avLst/>
        </a:prstGeom>
      </xdr:spPr>
    </xdr:pic>
    <xdr:clientData/>
  </xdr:twoCellAnchor>
  <xdr:twoCellAnchor editAs="oneCell">
    <xdr:from>
      <xdr:col>3</xdr:col>
      <xdr:colOff>147571</xdr:colOff>
      <xdr:row>17</xdr:row>
      <xdr:rowOff>214647</xdr:rowOff>
    </xdr:from>
    <xdr:to>
      <xdr:col>3</xdr:col>
      <xdr:colOff>2283049</xdr:colOff>
      <xdr:row>17</xdr:row>
      <xdr:rowOff>2358577</xdr:rowOff>
    </xdr:to>
    <xdr:pic>
      <xdr:nvPicPr>
        <xdr:cNvPr id="17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4296" y="12999612"/>
          <a:ext cx="2135478" cy="21439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228063</xdr:colOff>
      <xdr:row>18</xdr:row>
      <xdr:rowOff>469541</xdr:rowOff>
    </xdr:from>
    <xdr:to>
      <xdr:col>3</xdr:col>
      <xdr:colOff>2223842</xdr:colOff>
      <xdr:row>18</xdr:row>
      <xdr:rowOff>2213556</xdr:rowOff>
    </xdr:to>
    <xdr:pic>
      <xdr:nvPicPr>
        <xdr:cNvPr id="18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4788" y="15790034"/>
          <a:ext cx="1995779" cy="17440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304800</xdr:colOff>
      <xdr:row>16</xdr:row>
      <xdr:rowOff>304800</xdr:rowOff>
    </xdr:to>
    <xdr:sp macro="" textlink="">
      <xdr:nvSpPr>
        <xdr:cNvPr id="1080" name="AutoShape 56" descr="Image result for game on image"/>
        <xdr:cNvSpPr>
          <a:spLocks noChangeAspect="1" noChangeArrowheads="1"/>
        </xdr:cNvSpPr>
      </xdr:nvSpPr>
      <xdr:spPr bwMode="auto">
        <a:xfrm>
          <a:off x="2200275" y="1258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304800</xdr:colOff>
      <xdr:row>16</xdr:row>
      <xdr:rowOff>304800</xdr:rowOff>
    </xdr:to>
    <xdr:sp macro="" textlink="">
      <xdr:nvSpPr>
        <xdr:cNvPr id="1081" name="AutoShape 57" descr="Image result for game on image"/>
        <xdr:cNvSpPr>
          <a:spLocks noChangeAspect="1" noChangeArrowheads="1"/>
        </xdr:cNvSpPr>
      </xdr:nvSpPr>
      <xdr:spPr bwMode="auto">
        <a:xfrm>
          <a:off x="2200275" y="1258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304800</xdr:colOff>
      <xdr:row>16</xdr:row>
      <xdr:rowOff>304800</xdr:rowOff>
    </xdr:to>
    <xdr:sp macro="" textlink="">
      <xdr:nvSpPr>
        <xdr:cNvPr id="1082" name="AutoShape 58" descr="Image result for game on image"/>
        <xdr:cNvSpPr>
          <a:spLocks noChangeAspect="1" noChangeArrowheads="1"/>
        </xdr:cNvSpPr>
      </xdr:nvSpPr>
      <xdr:spPr bwMode="auto">
        <a:xfrm>
          <a:off x="2200275" y="1258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187818</xdr:colOff>
      <xdr:row>16</xdr:row>
      <xdr:rowOff>563453</xdr:rowOff>
    </xdr:from>
    <xdr:to>
      <xdr:col>3</xdr:col>
      <xdr:colOff>2188182</xdr:colOff>
      <xdr:row>16</xdr:row>
      <xdr:rowOff>1864755</xdr:rowOff>
    </xdr:to>
    <xdr:pic>
      <xdr:nvPicPr>
        <xdr:cNvPr id="24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74543" y="13160601"/>
          <a:ext cx="2000364" cy="13013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228064</xdr:colOff>
      <xdr:row>19</xdr:row>
      <xdr:rowOff>171047</xdr:rowOff>
    </xdr:from>
    <xdr:to>
      <xdr:col>3</xdr:col>
      <xdr:colOff>2226973</xdr:colOff>
      <xdr:row>19</xdr:row>
      <xdr:rowOff>2169956</xdr:rowOff>
    </xdr:to>
    <xdr:pic>
      <xdr:nvPicPr>
        <xdr:cNvPr id="25" name="Picture 24" descr="Image result for 吹牛 image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4789" y="20200378"/>
          <a:ext cx="1998909" cy="1998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6"/>
  <sheetViews>
    <sheetView tabSelected="1" zoomScale="80" zoomScaleNormal="80" workbookViewId="0">
      <selection activeCell="P4" sqref="P4"/>
    </sheetView>
  </sheetViews>
  <sheetFormatPr defaultColWidth="0" defaultRowHeight="15" zeroHeight="1" x14ac:dyDescent="0.25"/>
  <cols>
    <col min="1" max="1" width="30.28515625" customWidth="1"/>
    <col min="2" max="2" width="6.85546875" customWidth="1"/>
    <col min="3" max="7" width="15.140625" customWidth="1"/>
    <col min="8" max="16" width="9.140625" customWidth="1"/>
    <col min="20" max="16384" width="9.140625" hidden="1"/>
  </cols>
  <sheetData>
    <row r="1" spans="1:17" ht="50.25" customHeight="1" x14ac:dyDescent="0.25">
      <c r="A1" s="16" t="s">
        <v>0</v>
      </c>
      <c r="B1" s="5"/>
      <c r="C1" s="8"/>
      <c r="D1" s="8"/>
      <c r="E1" s="8"/>
      <c r="F1" s="8"/>
      <c r="G1" s="8"/>
      <c r="H1" s="5"/>
      <c r="I1" s="5"/>
      <c r="J1" s="8"/>
      <c r="K1" s="8"/>
      <c r="L1" s="8"/>
      <c r="M1" s="8"/>
      <c r="N1" s="8"/>
      <c r="O1" s="5"/>
    </row>
    <row r="2" spans="1:17" ht="61.5" x14ac:dyDescent="0.25">
      <c r="A2" s="16"/>
      <c r="B2" s="18" t="s">
        <v>51</v>
      </c>
      <c r="C2" s="18"/>
      <c r="D2" s="18"/>
      <c r="E2" s="18"/>
      <c r="F2" s="18"/>
      <c r="G2" s="18"/>
      <c r="H2" s="18"/>
      <c r="I2" s="5"/>
      <c r="J2" s="8"/>
      <c r="K2" s="8"/>
      <c r="L2" s="8"/>
      <c r="M2" s="8"/>
      <c r="N2" s="8"/>
      <c r="O2" s="5"/>
      <c r="P2" s="5"/>
    </row>
    <row r="3" spans="1:17" ht="72.75" customHeight="1" x14ac:dyDescent="0.25">
      <c r="A3" s="6" t="s">
        <v>1</v>
      </c>
      <c r="B3" s="17"/>
      <c r="C3" s="17"/>
      <c r="D3" s="17"/>
      <c r="E3" s="17"/>
      <c r="F3" s="17"/>
      <c r="G3" s="17"/>
      <c r="H3" s="17"/>
      <c r="I3" s="5"/>
      <c r="J3" s="8"/>
      <c r="K3" s="8"/>
      <c r="L3" s="8"/>
      <c r="M3" s="8"/>
      <c r="N3" s="8"/>
      <c r="O3" s="5"/>
      <c r="P3" s="5"/>
    </row>
    <row r="4" spans="1:17" ht="29.25" customHeight="1" thickBot="1" x14ac:dyDescent="0.3">
      <c r="A4" s="5"/>
      <c r="B4" s="24">
        <f>INDEX(Game!O13:O15,Game!M4)</f>
        <v>0</v>
      </c>
      <c r="C4" s="24"/>
      <c r="D4" s="24"/>
      <c r="E4" s="3"/>
      <c r="F4" s="3"/>
      <c r="G4" s="3"/>
      <c r="H4" s="3"/>
      <c r="I4" s="5"/>
      <c r="J4" s="5"/>
      <c r="K4" s="5"/>
      <c r="L4" s="5"/>
      <c r="M4" s="5"/>
      <c r="N4" s="5"/>
      <c r="O4" s="5"/>
      <c r="P4" s="5"/>
    </row>
    <row r="5" spans="1:17" ht="27.75" customHeight="1" thickBot="1" x14ac:dyDescent="0.3">
      <c r="A5" s="5"/>
      <c r="B5" s="24"/>
      <c r="C5" s="24"/>
      <c r="D5" s="24"/>
      <c r="E5" s="25">
        <f>INDEX(Game!O17:O19,Game!E5)</f>
        <v>0</v>
      </c>
      <c r="F5" s="22" t="str">
        <f>Game!L5</f>
        <v>最少要叫两个二以上</v>
      </c>
      <c r="G5" s="22"/>
      <c r="H5" s="22"/>
      <c r="I5" s="5"/>
      <c r="J5" s="5"/>
      <c r="K5" s="5"/>
      <c r="L5" s="27" t="s">
        <v>59</v>
      </c>
      <c r="M5" s="28">
        <v>0</v>
      </c>
      <c r="N5" s="29" t="s">
        <v>52</v>
      </c>
      <c r="O5" s="5"/>
      <c r="P5" s="5"/>
    </row>
    <row r="6" spans="1:17" ht="76.5" customHeight="1" x14ac:dyDescent="0.25">
      <c r="A6" s="5"/>
      <c r="B6" s="3"/>
      <c r="C6" s="4" t="str">
        <f>Game!K5</f>
        <v>两个</v>
      </c>
      <c r="D6" s="17"/>
      <c r="E6" s="23"/>
      <c r="F6" s="21" t="str">
        <f>Game!K4</f>
        <v>两个</v>
      </c>
      <c r="G6" s="15"/>
      <c r="H6" s="15"/>
      <c r="I6" s="5"/>
      <c r="J6" s="5"/>
      <c r="K6" s="5"/>
      <c r="L6" s="5"/>
      <c r="M6" s="5"/>
      <c r="N6" s="5"/>
      <c r="O6" s="5"/>
      <c r="P6" s="5"/>
    </row>
    <row r="7" spans="1:17" ht="75.75" customHeight="1" x14ac:dyDescent="0.25">
      <c r="A7" s="5"/>
      <c r="B7" s="15"/>
      <c r="C7" s="15"/>
      <c r="D7" s="15"/>
      <c r="E7" s="15"/>
      <c r="F7" s="15"/>
      <c r="G7" s="15"/>
      <c r="H7" s="15"/>
      <c r="I7" s="5"/>
      <c r="J7" s="5"/>
      <c r="K7" s="5"/>
      <c r="L7" s="5"/>
      <c r="M7" s="5"/>
      <c r="N7" s="5"/>
      <c r="O7" s="5"/>
      <c r="P7" s="5"/>
    </row>
    <row r="8" spans="1:17" s="14" customFormat="1" ht="53.25" customHeight="1" x14ac:dyDescent="0.9">
      <c r="A8" s="13"/>
      <c r="B8" s="20" t="s">
        <v>2</v>
      </c>
      <c r="C8" s="19"/>
      <c r="D8" s="19"/>
      <c r="E8" s="19"/>
      <c r="F8" s="19"/>
      <c r="G8" s="19"/>
      <c r="H8" s="19"/>
      <c r="I8" s="13"/>
      <c r="J8" s="13"/>
      <c r="K8" s="13"/>
      <c r="L8" s="13"/>
      <c r="M8" s="13"/>
      <c r="N8" s="13"/>
      <c r="O8" s="13"/>
      <c r="P8" s="13"/>
    </row>
    <row r="9" spans="1:17" ht="19.5" customHeight="1" x14ac:dyDescent="0.25">
      <c r="A9" s="5"/>
      <c r="B9" s="7"/>
      <c r="C9" s="7"/>
      <c r="D9" s="7"/>
      <c r="E9" s="7"/>
      <c r="F9" s="7"/>
      <c r="G9" s="7"/>
      <c r="H9" s="7"/>
      <c r="I9" s="5"/>
      <c r="J9" s="5"/>
      <c r="K9" s="5"/>
      <c r="L9" s="5"/>
      <c r="M9" s="5"/>
      <c r="N9" s="5"/>
      <c r="O9" s="5"/>
      <c r="P9" s="5"/>
    </row>
    <row r="10" spans="1:17" x14ac:dyDescent="0.25">
      <c r="A10" s="5"/>
      <c r="B10" s="5"/>
      <c r="C10" s="5"/>
      <c r="D10" s="5"/>
      <c r="E10" s="5"/>
      <c r="F10" s="5"/>
      <c r="G10" s="5"/>
      <c r="H10" s="5"/>
      <c r="J10" s="5"/>
      <c r="L10" s="5" t="s">
        <v>60</v>
      </c>
      <c r="M10" s="5"/>
      <c r="N10" s="5"/>
      <c r="O10" s="5"/>
      <c r="P10" s="5"/>
      <c r="Q10" s="5"/>
    </row>
    <row r="11" spans="1:17" hidden="1" x14ac:dyDescent="0.25"/>
    <row r="12" spans="1:17" hidden="1" x14ac:dyDescent="0.25"/>
    <row r="13" spans="1:17" hidden="1" x14ac:dyDescent="0.25"/>
    <row r="14" spans="1:17" hidden="1" x14ac:dyDescent="0.25"/>
    <row r="15" spans="1:17" hidden="1" x14ac:dyDescent="0.25"/>
    <row r="16" spans="1:17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</sheetData>
  <mergeCells count="7">
    <mergeCell ref="J1:N3"/>
    <mergeCell ref="B4:D5"/>
    <mergeCell ref="C1:G1"/>
    <mergeCell ref="B8:H8"/>
    <mergeCell ref="B2:H2"/>
    <mergeCell ref="A1:A2"/>
    <mergeCell ref="F5:H5"/>
  </mergeCells>
  <conditionalFormatting sqref="B4:D5">
    <cfRule type="cellIs" dxfId="1" priority="2" operator="equal">
      <formula>0</formula>
    </cfRule>
  </conditionalFormatting>
  <conditionalFormatting sqref="E5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2" r:id="rId4" name="Spinner 164">
              <controlPr defaultSize="0" autoPict="0">
                <anchor moveWithCells="1" sizeWithCells="1">
                  <from>
                    <xdr:col>7</xdr:col>
                    <xdr:colOff>247650</xdr:colOff>
                    <xdr:row>5</xdr:row>
                    <xdr:rowOff>66675</xdr:rowOff>
                  </from>
                  <to>
                    <xdr:col>7</xdr:col>
                    <xdr:colOff>581025</xdr:colOff>
                    <xdr:row>5</xdr:row>
                    <xdr:rowOff>971550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5"/>
  <sheetViews>
    <sheetView workbookViewId="0">
      <selection activeCell="M4" sqref="M4"/>
    </sheetView>
  </sheetViews>
  <sheetFormatPr defaultRowHeight="15" x14ac:dyDescent="0.25"/>
  <cols>
    <col min="1" max="1" width="32.42578125" customWidth="1"/>
    <col min="2" max="7" width="9.140625" style="2"/>
    <col min="8" max="8" width="13.28515625" bestFit="1" customWidth="1"/>
    <col min="12" max="12" width="25.7109375" customWidth="1"/>
  </cols>
  <sheetData>
    <row r="1" spans="1:16" x14ac:dyDescent="0.25">
      <c r="A1" t="s">
        <v>8</v>
      </c>
      <c r="C1" s="9">
        <f>IF($B4=1,7,C3)</f>
        <v>1</v>
      </c>
      <c r="D1" s="9">
        <f>IF($B4=1,8,D3)</f>
        <v>3</v>
      </c>
      <c r="E1" s="9">
        <f>IF($B4=1,9,E3)</f>
        <v>5</v>
      </c>
      <c r="F1" s="9">
        <f>IF($B4=1,10,F3)</f>
        <v>4</v>
      </c>
      <c r="G1" s="9">
        <f>IF($B4=1,11,G3)</f>
        <v>2</v>
      </c>
    </row>
    <row r="2" spans="1:16" x14ac:dyDescent="0.25">
      <c r="A2" t="s">
        <v>6</v>
      </c>
      <c r="C2" s="9">
        <v>5</v>
      </c>
      <c r="D2" s="9">
        <v>5</v>
      </c>
      <c r="E2" s="9">
        <v>1</v>
      </c>
      <c r="F2" s="9">
        <v>5</v>
      </c>
      <c r="G2" s="9">
        <v>2</v>
      </c>
      <c r="L2" t="s">
        <v>33</v>
      </c>
      <c r="N2">
        <v>1</v>
      </c>
      <c r="O2" t="s">
        <v>17</v>
      </c>
      <c r="P2" t="s">
        <v>27</v>
      </c>
    </row>
    <row r="3" spans="1:16" x14ac:dyDescent="0.25">
      <c r="A3" t="s">
        <v>5</v>
      </c>
      <c r="C3" s="9">
        <v>1</v>
      </c>
      <c r="D3" s="9">
        <v>3</v>
      </c>
      <c r="E3" s="9">
        <v>5</v>
      </c>
      <c r="F3" s="9">
        <v>4</v>
      </c>
      <c r="G3" s="9">
        <v>2</v>
      </c>
      <c r="I3" t="s">
        <v>9</v>
      </c>
      <c r="J3" t="s">
        <v>16</v>
      </c>
      <c r="L3" t="s">
        <v>34</v>
      </c>
      <c r="N3">
        <v>2</v>
      </c>
      <c r="O3" t="s">
        <v>18</v>
      </c>
      <c r="P3" t="s">
        <v>32</v>
      </c>
    </row>
    <row r="4" spans="1:16" x14ac:dyDescent="0.25">
      <c r="A4" t="s">
        <v>7</v>
      </c>
      <c r="B4" s="9">
        <v>0</v>
      </c>
      <c r="D4" s="2" t="s">
        <v>12</v>
      </c>
      <c r="E4" s="9">
        <v>1</v>
      </c>
      <c r="F4" s="11"/>
      <c r="G4" s="2" t="s">
        <v>15</v>
      </c>
      <c r="H4" t="str">
        <f>INDEX(P$2:P$7,I4)</f>
        <v>二</v>
      </c>
      <c r="I4" s="9">
        <v>2</v>
      </c>
      <c r="J4" s="9">
        <v>2</v>
      </c>
      <c r="K4" t="str">
        <f>INDEX(O$2:O$11,J4)</f>
        <v>两个</v>
      </c>
      <c r="L4" t="str">
        <f>CONCATENATE(L$2,K4,H4,L$3)</f>
        <v>最少要叫两个二以上</v>
      </c>
      <c r="M4">
        <v>1</v>
      </c>
      <c r="N4">
        <v>3</v>
      </c>
      <c r="O4" t="s">
        <v>19</v>
      </c>
      <c r="P4" t="s">
        <v>28</v>
      </c>
    </row>
    <row r="5" spans="1:16" x14ac:dyDescent="0.25">
      <c r="A5" t="s">
        <v>4</v>
      </c>
      <c r="B5" s="9">
        <v>1</v>
      </c>
      <c r="C5" s="2">
        <f>IF(B5=1,1,2)</f>
        <v>1</v>
      </c>
      <c r="D5" s="2" t="s">
        <v>13</v>
      </c>
      <c r="E5" s="9">
        <v>3</v>
      </c>
      <c r="G5" s="2" t="s">
        <v>14</v>
      </c>
      <c r="H5" t="str">
        <f>INDEX(P$2:P$7,I5)</f>
        <v>二</v>
      </c>
      <c r="I5" s="26">
        <v>2</v>
      </c>
      <c r="J5" s="26">
        <v>2</v>
      </c>
      <c r="K5" t="str">
        <f>INDEX(O$2:O$11,J5)</f>
        <v>两个</v>
      </c>
      <c r="L5" t="str">
        <f>CONCATENATE(L$2,K5,H5,L$3)</f>
        <v>最少要叫两个二以上</v>
      </c>
      <c r="M5">
        <v>0</v>
      </c>
      <c r="N5">
        <v>4</v>
      </c>
      <c r="O5" t="s">
        <v>20</v>
      </c>
      <c r="P5" t="s">
        <v>29</v>
      </c>
    </row>
    <row r="6" spans="1:16" x14ac:dyDescent="0.25">
      <c r="H6" t="s">
        <v>58</v>
      </c>
      <c r="I6">
        <f>IF(I5=1,1,IF(I4=1,1,0))</f>
        <v>0</v>
      </c>
      <c r="N6">
        <v>5</v>
      </c>
      <c r="O6" t="s">
        <v>21</v>
      </c>
      <c r="P6" t="s">
        <v>30</v>
      </c>
    </row>
    <row r="7" spans="1:16" x14ac:dyDescent="0.25">
      <c r="A7" s="10" t="s">
        <v>9</v>
      </c>
      <c r="B7" s="2" t="s">
        <v>11</v>
      </c>
      <c r="C7" s="2" t="s">
        <v>10</v>
      </c>
      <c r="E7" s="2" t="s">
        <v>3</v>
      </c>
      <c r="F7" s="2" t="s">
        <v>10</v>
      </c>
      <c r="G7" s="2" t="s">
        <v>35</v>
      </c>
      <c r="I7" s="2" t="s">
        <v>9</v>
      </c>
      <c r="J7" s="2" t="s">
        <v>16</v>
      </c>
      <c r="K7" t="str">
        <f>CONCATENATE(I4,J4)</f>
        <v>22</v>
      </c>
      <c r="N7">
        <v>6</v>
      </c>
      <c r="O7" t="s">
        <v>22</v>
      </c>
      <c r="P7" t="s">
        <v>31</v>
      </c>
    </row>
    <row r="8" spans="1:16" x14ac:dyDescent="0.25">
      <c r="A8">
        <v>1</v>
      </c>
      <c r="B8" s="2">
        <f>COUNTIF(C$2:G$3,A8)</f>
        <v>2</v>
      </c>
      <c r="C8" s="2">
        <f>B8</f>
        <v>2</v>
      </c>
      <c r="E8" s="2">
        <f>COUNTIF(C$3:G$3,A8)</f>
        <v>1</v>
      </c>
      <c r="F8" s="2">
        <f>E8</f>
        <v>1</v>
      </c>
      <c r="G8" s="2">
        <f>IF(F8&gt;0,A8,"")</f>
        <v>1</v>
      </c>
      <c r="H8" t="s">
        <v>37</v>
      </c>
      <c r="I8" s="26">
        <v>6</v>
      </c>
      <c r="J8" s="26">
        <v>4</v>
      </c>
      <c r="K8" s="2" t="str">
        <f>CONCATENATE(I8,J8)</f>
        <v>64</v>
      </c>
      <c r="N8">
        <v>7</v>
      </c>
      <c r="O8" t="s">
        <v>23</v>
      </c>
    </row>
    <row r="9" spans="1:16" x14ac:dyDescent="0.25">
      <c r="A9">
        <v>2</v>
      </c>
      <c r="B9" s="2">
        <f t="shared" ref="B9:B13" si="0">COUNTIF(C$2:G$3,A9)</f>
        <v>2</v>
      </c>
      <c r="C9" s="2">
        <f>IF(B$5=1,B9+C$8,B9)</f>
        <v>4</v>
      </c>
      <c r="E9" s="2">
        <f t="shared" ref="E9:E13" si="1">COUNTIF(C$3:G$3,A9)</f>
        <v>1</v>
      </c>
      <c r="F9" s="2">
        <f>IF(B$5=1,E9+F$8,E9)</f>
        <v>2</v>
      </c>
      <c r="G9" s="2">
        <f t="shared" ref="G9:G13" si="2">IF(F9&gt;0,A9,"")</f>
        <v>2</v>
      </c>
      <c r="K9" s="2">
        <f>MATCH(K7,D16:D75,0)</f>
        <v>7</v>
      </c>
      <c r="N9">
        <v>8</v>
      </c>
      <c r="O9" t="s">
        <v>24</v>
      </c>
    </row>
    <row r="10" spans="1:16" x14ac:dyDescent="0.25">
      <c r="A10">
        <v>3</v>
      </c>
      <c r="B10" s="2">
        <f t="shared" si="0"/>
        <v>1</v>
      </c>
      <c r="C10" s="2">
        <f t="shared" ref="C10:C13" si="3">IF(B$5=1,B10+C$8,B10)</f>
        <v>3</v>
      </c>
      <c r="E10" s="2">
        <f t="shared" si="1"/>
        <v>1</v>
      </c>
      <c r="F10" s="2">
        <f t="shared" ref="F10:F13" si="4">IF(B$5=1,E10+F$8,E10)</f>
        <v>2</v>
      </c>
      <c r="G10" s="2">
        <f t="shared" si="2"/>
        <v>3</v>
      </c>
      <c r="I10" t="s">
        <v>46</v>
      </c>
      <c r="J10" t="s">
        <v>35</v>
      </c>
      <c r="K10" t="s">
        <v>47</v>
      </c>
      <c r="N10">
        <v>9</v>
      </c>
      <c r="O10" t="s">
        <v>25</v>
      </c>
    </row>
    <row r="11" spans="1:16" x14ac:dyDescent="0.25">
      <c r="A11">
        <v>4</v>
      </c>
      <c r="B11" s="2">
        <f t="shared" si="0"/>
        <v>1</v>
      </c>
      <c r="C11" s="2">
        <f t="shared" si="3"/>
        <v>3</v>
      </c>
      <c r="E11" s="2">
        <f t="shared" si="1"/>
        <v>1</v>
      </c>
      <c r="F11" s="2">
        <f t="shared" si="4"/>
        <v>2</v>
      </c>
      <c r="G11" s="2">
        <f t="shared" si="2"/>
        <v>4</v>
      </c>
      <c r="H11" t="s">
        <v>39</v>
      </c>
      <c r="I11" s="2" t="str">
        <f>INDEX(D$16:D$75,K$9+1)</f>
        <v>32</v>
      </c>
      <c r="J11" s="2">
        <f>INDEX(E$16:E$75,K$9+1)</f>
        <v>1</v>
      </c>
      <c r="K11" s="2">
        <f>IF(J11&gt;0,1,"")</f>
        <v>1</v>
      </c>
      <c r="N11">
        <v>10</v>
      </c>
      <c r="O11" t="s">
        <v>26</v>
      </c>
    </row>
    <row r="12" spans="1:16" x14ac:dyDescent="0.25">
      <c r="A12">
        <v>5</v>
      </c>
      <c r="B12" s="2">
        <f t="shared" si="0"/>
        <v>4</v>
      </c>
      <c r="C12" s="2">
        <f t="shared" si="3"/>
        <v>6</v>
      </c>
      <c r="E12" s="2">
        <f t="shared" si="1"/>
        <v>1</v>
      </c>
      <c r="F12" s="2">
        <f t="shared" si="4"/>
        <v>2</v>
      </c>
      <c r="G12" s="2">
        <f t="shared" si="2"/>
        <v>5</v>
      </c>
      <c r="H12" t="s">
        <v>40</v>
      </c>
      <c r="I12" s="2" t="str">
        <f>INDEX(D$16:D$75,K$9+2)</f>
        <v>42</v>
      </c>
      <c r="J12" s="2">
        <f>INDEX(E$16:E$75,K$9+2)</f>
        <v>1</v>
      </c>
      <c r="K12" s="2">
        <f>IF(J12&gt;0,2,"")</f>
        <v>2</v>
      </c>
    </row>
    <row r="13" spans="1:16" x14ac:dyDescent="0.25">
      <c r="A13">
        <v>6</v>
      </c>
      <c r="B13" s="2">
        <f t="shared" si="0"/>
        <v>0</v>
      </c>
      <c r="C13" s="2">
        <f t="shared" si="3"/>
        <v>2</v>
      </c>
      <c r="E13" s="2">
        <f t="shared" si="1"/>
        <v>0</v>
      </c>
      <c r="F13" s="2">
        <f t="shared" si="4"/>
        <v>1</v>
      </c>
      <c r="G13" s="2">
        <f t="shared" si="2"/>
        <v>6</v>
      </c>
      <c r="H13" t="s">
        <v>41</v>
      </c>
      <c r="I13" s="2" t="str">
        <f>INDEX(D$16:D$75,K$9+3)</f>
        <v>52</v>
      </c>
      <c r="J13" s="2">
        <f>INDEX(E$16:E$75,K$9+3)</f>
        <v>1</v>
      </c>
      <c r="K13" s="2">
        <f>IF(J13&gt;0,3,"")</f>
        <v>3</v>
      </c>
      <c r="N13">
        <v>1</v>
      </c>
    </row>
    <row r="14" spans="1:16" x14ac:dyDescent="0.25">
      <c r="H14" t="s">
        <v>42</v>
      </c>
      <c r="I14" s="2" t="str">
        <f>INDEX(D$16:D$75,K$9+4)</f>
        <v>62</v>
      </c>
      <c r="J14" s="2">
        <f>INDEX(E$16:E$75,K$9+4)</f>
        <v>1</v>
      </c>
      <c r="K14" s="2">
        <f>IF(J14&gt;0,4,"")</f>
        <v>4</v>
      </c>
      <c r="N14">
        <v>2</v>
      </c>
      <c r="O14" t="s">
        <v>54</v>
      </c>
    </row>
    <row r="15" spans="1:16" x14ac:dyDescent="0.25">
      <c r="A15" s="10" t="s">
        <v>38</v>
      </c>
      <c r="B15" s="2" t="s">
        <v>9</v>
      </c>
      <c r="C15" s="2" t="s">
        <v>16</v>
      </c>
      <c r="D15" s="2" t="s">
        <v>46</v>
      </c>
      <c r="E15" s="2" t="s">
        <v>35</v>
      </c>
      <c r="H15" t="s">
        <v>43</v>
      </c>
      <c r="I15" s="2" t="str">
        <f>INDEX(D$16:D$75,K$9+5)</f>
        <v>12</v>
      </c>
      <c r="J15" s="2">
        <f>INDEX(E$16:E$75,K$9+5)</f>
        <v>1</v>
      </c>
      <c r="K15" s="2">
        <f>IF(J15&gt;0,5,"")</f>
        <v>5</v>
      </c>
      <c r="N15">
        <v>3</v>
      </c>
      <c r="O15" t="s">
        <v>55</v>
      </c>
    </row>
    <row r="16" spans="1:16" x14ac:dyDescent="0.25">
      <c r="A16">
        <v>1</v>
      </c>
      <c r="B16" s="2">
        <v>2</v>
      </c>
      <c r="C16" s="2">
        <v>1</v>
      </c>
      <c r="D16" s="2" t="str">
        <f>CONCATENATE(B16,C16)</f>
        <v>21</v>
      </c>
      <c r="E16" s="2">
        <f>COUNTIF(G$8:G$13,B16)</f>
        <v>1</v>
      </c>
      <c r="H16" t="s">
        <v>44</v>
      </c>
      <c r="I16" s="2" t="str">
        <f>INDEX(D$16:D$75,K$9+6)</f>
        <v>23</v>
      </c>
      <c r="J16" s="2">
        <f>INDEX(E$16:E$75,K$9+6)</f>
        <v>1</v>
      </c>
      <c r="K16" s="2">
        <f>IF(J16&gt;0,6,"")</f>
        <v>6</v>
      </c>
    </row>
    <row r="17" spans="1:15" x14ac:dyDescent="0.25">
      <c r="A17">
        <v>2</v>
      </c>
      <c r="B17" s="2">
        <v>3</v>
      </c>
      <c r="C17" s="2">
        <v>1</v>
      </c>
      <c r="D17" s="2" t="str">
        <f t="shared" ref="D17:D75" si="5">CONCATENATE(B17,C17)</f>
        <v>31</v>
      </c>
      <c r="E17" s="2">
        <f t="shared" ref="E17:E75" si="6">COUNTIF(G$8:G$13,B17)</f>
        <v>1</v>
      </c>
      <c r="I17" s="2"/>
      <c r="J17" s="2" t="s">
        <v>45</v>
      </c>
      <c r="K17" s="2">
        <f>SMALL(K11:K16,1)</f>
        <v>1</v>
      </c>
      <c r="N17">
        <v>1</v>
      </c>
      <c r="O17" t="s">
        <v>56</v>
      </c>
    </row>
    <row r="18" spans="1:15" x14ac:dyDescent="0.25">
      <c r="A18">
        <v>3</v>
      </c>
      <c r="B18" s="2">
        <v>4</v>
      </c>
      <c r="C18" s="2">
        <v>1</v>
      </c>
      <c r="D18" s="2" t="str">
        <f t="shared" si="5"/>
        <v>41</v>
      </c>
      <c r="E18" s="2">
        <f t="shared" si="6"/>
        <v>1</v>
      </c>
      <c r="I18" s="2"/>
      <c r="J18" s="2" t="s">
        <v>9</v>
      </c>
      <c r="K18" s="2" t="s">
        <v>16</v>
      </c>
      <c r="N18">
        <v>2</v>
      </c>
      <c r="O18" t="s">
        <v>57</v>
      </c>
    </row>
    <row r="19" spans="1:15" x14ac:dyDescent="0.25">
      <c r="A19">
        <v>4</v>
      </c>
      <c r="B19" s="2">
        <v>5</v>
      </c>
      <c r="C19" s="2">
        <v>1</v>
      </c>
      <c r="D19" s="2" t="str">
        <f t="shared" si="5"/>
        <v>51</v>
      </c>
      <c r="E19" s="2">
        <f t="shared" si="6"/>
        <v>1</v>
      </c>
      <c r="H19" t="s">
        <v>3</v>
      </c>
      <c r="I19" s="2" t="str">
        <f>INDEX(I11:I17,K17)</f>
        <v>32</v>
      </c>
      <c r="J19" s="2">
        <f>VALUE(LEFT(I19,1))</f>
        <v>3</v>
      </c>
      <c r="K19" s="2">
        <f>VALUE(RIGHT(I19,LEN(I19)-1))</f>
        <v>2</v>
      </c>
      <c r="N19">
        <v>3</v>
      </c>
    </row>
    <row r="20" spans="1:15" x14ac:dyDescent="0.25">
      <c r="A20">
        <v>5</v>
      </c>
      <c r="B20" s="2">
        <v>6</v>
      </c>
      <c r="C20" s="2">
        <v>1</v>
      </c>
      <c r="D20" s="2" t="str">
        <f t="shared" si="5"/>
        <v>61</v>
      </c>
      <c r="E20" s="2">
        <f t="shared" si="6"/>
        <v>1</v>
      </c>
    </row>
    <row r="21" spans="1:15" x14ac:dyDescent="0.25">
      <c r="A21">
        <v>6</v>
      </c>
      <c r="B21" s="2">
        <v>1</v>
      </c>
      <c r="C21" s="2">
        <v>1</v>
      </c>
      <c r="D21" s="2" t="str">
        <f t="shared" si="5"/>
        <v>11</v>
      </c>
      <c r="E21" s="2">
        <f t="shared" si="6"/>
        <v>1</v>
      </c>
    </row>
    <row r="22" spans="1:15" x14ac:dyDescent="0.25">
      <c r="A22">
        <v>7</v>
      </c>
      <c r="B22" s="2">
        <v>2</v>
      </c>
      <c r="C22" s="2">
        <v>2</v>
      </c>
      <c r="D22" s="2" t="str">
        <f t="shared" si="5"/>
        <v>22</v>
      </c>
      <c r="E22" s="2">
        <f t="shared" si="6"/>
        <v>1</v>
      </c>
      <c r="H22" t="s">
        <v>3</v>
      </c>
      <c r="I22">
        <v>2</v>
      </c>
    </row>
    <row r="23" spans="1:15" x14ac:dyDescent="0.25">
      <c r="A23">
        <v>8</v>
      </c>
      <c r="B23" s="2">
        <v>3</v>
      </c>
      <c r="C23" s="2">
        <v>2</v>
      </c>
      <c r="D23" s="2" t="str">
        <f t="shared" si="5"/>
        <v>32</v>
      </c>
      <c r="E23" s="2">
        <f t="shared" si="6"/>
        <v>1</v>
      </c>
      <c r="G23" s="2">
        <v>1</v>
      </c>
      <c r="H23">
        <f>F8</f>
        <v>1</v>
      </c>
      <c r="I23">
        <f>H23+2</f>
        <v>3</v>
      </c>
      <c r="J23" t="str">
        <f>CONCATENATE(G23,I23)</f>
        <v>13</v>
      </c>
      <c r="K23">
        <f>MATCH(J23,D$16:D$75,)</f>
        <v>18</v>
      </c>
    </row>
    <row r="24" spans="1:15" x14ac:dyDescent="0.25">
      <c r="A24">
        <v>9</v>
      </c>
      <c r="B24" s="2">
        <v>4</v>
      </c>
      <c r="C24" s="2">
        <v>2</v>
      </c>
      <c r="D24" s="2" t="str">
        <f t="shared" si="5"/>
        <v>42</v>
      </c>
      <c r="E24" s="2">
        <f t="shared" si="6"/>
        <v>1</v>
      </c>
      <c r="G24" s="2">
        <v>2</v>
      </c>
      <c r="H24">
        <f t="shared" ref="H24:H28" si="7">F9</f>
        <v>2</v>
      </c>
      <c r="I24">
        <f>H24+I$22</f>
        <v>4</v>
      </c>
      <c r="J24" t="str">
        <f t="shared" ref="J24:J28" si="8">CONCATENATE(G24,I24)</f>
        <v>24</v>
      </c>
      <c r="K24">
        <f t="shared" ref="K24:K30" si="9">MATCH(J24,D$16:D$75,)</f>
        <v>19</v>
      </c>
    </row>
    <row r="25" spans="1:15" x14ac:dyDescent="0.25">
      <c r="A25">
        <v>10</v>
      </c>
      <c r="B25" s="2">
        <v>5</v>
      </c>
      <c r="C25" s="2">
        <v>2</v>
      </c>
      <c r="D25" s="2" t="str">
        <f t="shared" si="5"/>
        <v>52</v>
      </c>
      <c r="E25" s="2">
        <f t="shared" si="6"/>
        <v>1</v>
      </c>
      <c r="G25" s="2">
        <v>3</v>
      </c>
      <c r="H25">
        <f t="shared" si="7"/>
        <v>2</v>
      </c>
      <c r="I25">
        <f t="shared" ref="I25:I28" si="10">H25+I$22</f>
        <v>4</v>
      </c>
      <c r="J25" t="str">
        <f t="shared" si="8"/>
        <v>34</v>
      </c>
      <c r="K25">
        <f t="shared" si="9"/>
        <v>20</v>
      </c>
    </row>
    <row r="26" spans="1:15" x14ac:dyDescent="0.25">
      <c r="A26">
        <v>11</v>
      </c>
      <c r="B26" s="2">
        <v>6</v>
      </c>
      <c r="C26" s="2">
        <v>2</v>
      </c>
      <c r="D26" s="2" t="str">
        <f t="shared" si="5"/>
        <v>62</v>
      </c>
      <c r="E26" s="2">
        <f t="shared" si="6"/>
        <v>1</v>
      </c>
      <c r="G26" s="2">
        <v>4</v>
      </c>
      <c r="H26">
        <f t="shared" si="7"/>
        <v>2</v>
      </c>
      <c r="I26">
        <f t="shared" si="10"/>
        <v>4</v>
      </c>
      <c r="J26" t="str">
        <f t="shared" si="8"/>
        <v>44</v>
      </c>
      <c r="K26">
        <f t="shared" si="9"/>
        <v>21</v>
      </c>
    </row>
    <row r="27" spans="1:15" x14ac:dyDescent="0.25">
      <c r="A27">
        <v>12</v>
      </c>
      <c r="B27" s="2">
        <v>1</v>
      </c>
      <c r="C27" s="2">
        <v>2</v>
      </c>
      <c r="D27" s="2" t="str">
        <f t="shared" si="5"/>
        <v>12</v>
      </c>
      <c r="E27" s="2">
        <f t="shared" si="6"/>
        <v>1</v>
      </c>
      <c r="G27" s="2">
        <v>5</v>
      </c>
      <c r="H27">
        <f t="shared" si="7"/>
        <v>2</v>
      </c>
      <c r="I27">
        <f t="shared" si="10"/>
        <v>4</v>
      </c>
      <c r="J27" t="str">
        <f t="shared" si="8"/>
        <v>54</v>
      </c>
      <c r="K27">
        <f t="shared" si="9"/>
        <v>22</v>
      </c>
    </row>
    <row r="28" spans="1:15" x14ac:dyDescent="0.25">
      <c r="A28">
        <v>13</v>
      </c>
      <c r="B28" s="2">
        <v>2</v>
      </c>
      <c r="C28" s="2">
        <v>3</v>
      </c>
      <c r="D28" s="2" t="str">
        <f t="shared" si="5"/>
        <v>23</v>
      </c>
      <c r="E28" s="2">
        <f t="shared" si="6"/>
        <v>1</v>
      </c>
      <c r="G28" s="2">
        <v>6</v>
      </c>
      <c r="H28">
        <f t="shared" si="7"/>
        <v>1</v>
      </c>
      <c r="I28">
        <f t="shared" si="10"/>
        <v>3</v>
      </c>
      <c r="J28" t="str">
        <f t="shared" si="8"/>
        <v>63</v>
      </c>
      <c r="K28">
        <f t="shared" si="9"/>
        <v>17</v>
      </c>
    </row>
    <row r="29" spans="1:15" ht="15.75" thickBot="1" x14ac:dyDescent="0.3">
      <c r="A29">
        <v>14</v>
      </c>
      <c r="B29" s="2">
        <v>3</v>
      </c>
      <c r="C29" s="2">
        <v>3</v>
      </c>
      <c r="D29" s="2" t="str">
        <f t="shared" si="5"/>
        <v>33</v>
      </c>
      <c r="E29" s="2">
        <f t="shared" si="6"/>
        <v>1</v>
      </c>
    </row>
    <row r="30" spans="1:15" ht="15.75" thickBot="1" x14ac:dyDescent="0.3">
      <c r="A30">
        <v>15</v>
      </c>
      <c r="B30" s="2">
        <v>4</v>
      </c>
      <c r="C30" s="2">
        <v>3</v>
      </c>
      <c r="D30" s="2" t="str">
        <f t="shared" si="5"/>
        <v>43</v>
      </c>
      <c r="E30" s="2">
        <f t="shared" si="6"/>
        <v>1</v>
      </c>
      <c r="G30" t="s">
        <v>48</v>
      </c>
      <c r="H30">
        <f>INDEX(G23:G28,J32)</f>
        <v>2</v>
      </c>
      <c r="I30">
        <f>VALUE(INDEX(I23:I28,J32))</f>
        <v>4</v>
      </c>
      <c r="J30" s="12">
        <f>IF(K32&gt;I30,1,0)</f>
        <v>0</v>
      </c>
    </row>
    <row r="31" spans="1:15" x14ac:dyDescent="0.25">
      <c r="A31">
        <v>16</v>
      </c>
      <c r="B31" s="2">
        <v>5</v>
      </c>
      <c r="C31" s="2">
        <v>3</v>
      </c>
      <c r="D31" s="2" t="str">
        <f t="shared" si="5"/>
        <v>53</v>
      </c>
      <c r="E31" s="2">
        <f t="shared" si="6"/>
        <v>1</v>
      </c>
      <c r="J31" t="s">
        <v>9</v>
      </c>
      <c r="K31" t="s">
        <v>16</v>
      </c>
      <c r="M31" t="s">
        <v>50</v>
      </c>
    </row>
    <row r="32" spans="1:15" x14ac:dyDescent="0.25">
      <c r="A32">
        <v>17</v>
      </c>
      <c r="B32" s="2">
        <v>6</v>
      </c>
      <c r="C32" s="2">
        <v>3</v>
      </c>
      <c r="D32" s="2" t="str">
        <f t="shared" si="5"/>
        <v>63</v>
      </c>
      <c r="E32" s="2">
        <f t="shared" si="6"/>
        <v>1</v>
      </c>
      <c r="H32" t="s">
        <v>36</v>
      </c>
      <c r="I32" t="str">
        <f>CONCATENATE(J32,K32)</f>
        <v>22</v>
      </c>
      <c r="J32">
        <f>I4</f>
        <v>2</v>
      </c>
      <c r="K32">
        <f>J4</f>
        <v>2</v>
      </c>
      <c r="L32">
        <f>VALUE(MATCH(I32,D$16:D$75,))</f>
        <v>7</v>
      </c>
      <c r="M32">
        <f>IF(L$35&lt;L32,1,0)</f>
        <v>0</v>
      </c>
      <c r="O32">
        <f>IF(L32&lt;=L33,1,0)</f>
        <v>1</v>
      </c>
    </row>
    <row r="33" spans="1:13" x14ac:dyDescent="0.25">
      <c r="A33">
        <v>18</v>
      </c>
      <c r="B33" s="2">
        <v>1</v>
      </c>
      <c r="C33" s="2">
        <v>3</v>
      </c>
      <c r="D33" s="2" t="str">
        <f t="shared" si="5"/>
        <v>13</v>
      </c>
      <c r="E33" s="2">
        <f t="shared" si="6"/>
        <v>1</v>
      </c>
      <c r="H33" t="s">
        <v>3</v>
      </c>
      <c r="I33" t="str">
        <f>CONCATENATE(J33,K33)</f>
        <v>22</v>
      </c>
      <c r="J33">
        <f>I5</f>
        <v>2</v>
      </c>
      <c r="K33">
        <f>J5</f>
        <v>2</v>
      </c>
      <c r="L33">
        <f>VALUE(MATCH(I33,D$16:D$75,))</f>
        <v>7</v>
      </c>
      <c r="M33">
        <f>IF(L$35&lt;L33,1,0)</f>
        <v>0</v>
      </c>
    </row>
    <row r="34" spans="1:13" x14ac:dyDescent="0.25">
      <c r="A34">
        <v>19</v>
      </c>
      <c r="B34" s="2">
        <v>2</v>
      </c>
      <c r="C34" s="2">
        <v>4</v>
      </c>
      <c r="D34" s="2" t="str">
        <f t="shared" si="5"/>
        <v>24</v>
      </c>
      <c r="E34" s="2">
        <f t="shared" si="6"/>
        <v>1</v>
      </c>
    </row>
    <row r="35" spans="1:13" x14ac:dyDescent="0.25">
      <c r="A35">
        <v>20</v>
      </c>
      <c r="B35" s="2">
        <v>3</v>
      </c>
      <c r="C35" s="2">
        <v>4</v>
      </c>
      <c r="D35" s="2" t="str">
        <f t="shared" si="5"/>
        <v>34</v>
      </c>
      <c r="E35" s="2">
        <f t="shared" si="6"/>
        <v>1</v>
      </c>
      <c r="H35" t="s">
        <v>49</v>
      </c>
      <c r="I35" t="str">
        <f>CONCATENATE(J35,K35)</f>
        <v>62</v>
      </c>
      <c r="J35">
        <f>I8</f>
        <v>6</v>
      </c>
      <c r="K35">
        <f>INDEX(C$8:C$13,I8)</f>
        <v>2</v>
      </c>
      <c r="L35">
        <f>IF(K35&gt;0,VALUE(MATCH(I35,D$16:D$75,)),1)</f>
        <v>11</v>
      </c>
    </row>
    <row r="36" spans="1:13" x14ac:dyDescent="0.25">
      <c r="A36">
        <v>21</v>
      </c>
      <c r="B36" s="2">
        <v>4</v>
      </c>
      <c r="C36" s="2">
        <v>4</v>
      </c>
      <c r="D36" s="2" t="str">
        <f t="shared" si="5"/>
        <v>44</v>
      </c>
      <c r="E36" s="2">
        <f t="shared" si="6"/>
        <v>1</v>
      </c>
    </row>
    <row r="37" spans="1:13" x14ac:dyDescent="0.25">
      <c r="A37">
        <v>22</v>
      </c>
      <c r="B37" s="2">
        <v>5</v>
      </c>
      <c r="C37" s="2">
        <v>4</v>
      </c>
      <c r="D37" s="2" t="str">
        <f t="shared" si="5"/>
        <v>54</v>
      </c>
      <c r="E37" s="2">
        <f t="shared" si="6"/>
        <v>1</v>
      </c>
    </row>
    <row r="38" spans="1:13" x14ac:dyDescent="0.25">
      <c r="A38">
        <v>23</v>
      </c>
      <c r="B38" s="2">
        <v>6</v>
      </c>
      <c r="C38" s="2">
        <v>4</v>
      </c>
      <c r="D38" s="2" t="str">
        <f t="shared" si="5"/>
        <v>64</v>
      </c>
      <c r="E38" s="2">
        <f t="shared" si="6"/>
        <v>1</v>
      </c>
      <c r="G38" s="2" t="s">
        <v>53</v>
      </c>
      <c r="H38">
        <v>4</v>
      </c>
    </row>
    <row r="39" spans="1:13" x14ac:dyDescent="0.25">
      <c r="A39">
        <v>24</v>
      </c>
      <c r="B39" s="2">
        <v>1</v>
      </c>
      <c r="C39" s="2">
        <v>4</v>
      </c>
      <c r="D39" s="2" t="str">
        <f t="shared" si="5"/>
        <v>14</v>
      </c>
      <c r="E39" s="2">
        <f t="shared" si="6"/>
        <v>1</v>
      </c>
    </row>
    <row r="40" spans="1:13" x14ac:dyDescent="0.25">
      <c r="A40">
        <v>25</v>
      </c>
      <c r="B40" s="2">
        <v>2</v>
      </c>
      <c r="C40" s="2">
        <v>5</v>
      </c>
      <c r="D40" s="2" t="str">
        <f t="shared" si="5"/>
        <v>25</v>
      </c>
      <c r="E40" s="2">
        <f t="shared" si="6"/>
        <v>1</v>
      </c>
    </row>
    <row r="41" spans="1:13" x14ac:dyDescent="0.25">
      <c r="A41">
        <v>26</v>
      </c>
      <c r="B41" s="2">
        <v>3</v>
      </c>
      <c r="C41" s="2">
        <v>5</v>
      </c>
      <c r="D41" s="2" t="str">
        <f t="shared" si="5"/>
        <v>35</v>
      </c>
      <c r="E41" s="2">
        <f t="shared" si="6"/>
        <v>1</v>
      </c>
    </row>
    <row r="42" spans="1:13" x14ac:dyDescent="0.25">
      <c r="A42">
        <v>27</v>
      </c>
      <c r="B42" s="2">
        <v>4</v>
      </c>
      <c r="C42" s="2">
        <v>5</v>
      </c>
      <c r="D42" s="2" t="str">
        <f t="shared" si="5"/>
        <v>45</v>
      </c>
      <c r="E42" s="2">
        <f t="shared" si="6"/>
        <v>1</v>
      </c>
    </row>
    <row r="43" spans="1:13" x14ac:dyDescent="0.25">
      <c r="A43">
        <v>28</v>
      </c>
      <c r="B43" s="2">
        <v>5</v>
      </c>
      <c r="C43" s="2">
        <v>5</v>
      </c>
      <c r="D43" s="2" t="str">
        <f t="shared" si="5"/>
        <v>55</v>
      </c>
      <c r="E43" s="2">
        <f t="shared" si="6"/>
        <v>1</v>
      </c>
    </row>
    <row r="44" spans="1:13" x14ac:dyDescent="0.25">
      <c r="A44">
        <v>29</v>
      </c>
      <c r="B44" s="2">
        <v>6</v>
      </c>
      <c r="C44" s="2">
        <v>5</v>
      </c>
      <c r="D44" s="2" t="str">
        <f t="shared" si="5"/>
        <v>65</v>
      </c>
      <c r="E44" s="2">
        <f t="shared" si="6"/>
        <v>1</v>
      </c>
    </row>
    <row r="45" spans="1:13" x14ac:dyDescent="0.25">
      <c r="A45">
        <v>30</v>
      </c>
      <c r="B45" s="2">
        <v>1</v>
      </c>
      <c r="C45" s="2">
        <v>5</v>
      </c>
      <c r="D45" s="2" t="str">
        <f t="shared" si="5"/>
        <v>15</v>
      </c>
      <c r="E45" s="2">
        <f t="shared" si="6"/>
        <v>1</v>
      </c>
    </row>
    <row r="46" spans="1:13" x14ac:dyDescent="0.25">
      <c r="A46">
        <v>31</v>
      </c>
      <c r="B46" s="2">
        <v>2</v>
      </c>
      <c r="C46" s="2">
        <v>6</v>
      </c>
      <c r="D46" s="2" t="str">
        <f t="shared" si="5"/>
        <v>26</v>
      </c>
      <c r="E46" s="2">
        <f t="shared" si="6"/>
        <v>1</v>
      </c>
    </row>
    <row r="47" spans="1:13" x14ac:dyDescent="0.25">
      <c r="A47">
        <v>32</v>
      </c>
      <c r="B47" s="2">
        <v>3</v>
      </c>
      <c r="C47" s="2">
        <v>6</v>
      </c>
      <c r="D47" s="2" t="str">
        <f t="shared" si="5"/>
        <v>36</v>
      </c>
      <c r="E47" s="2">
        <f t="shared" si="6"/>
        <v>1</v>
      </c>
    </row>
    <row r="48" spans="1:13" x14ac:dyDescent="0.25">
      <c r="A48">
        <v>33</v>
      </c>
      <c r="B48" s="2">
        <v>4</v>
      </c>
      <c r="C48" s="2">
        <v>6</v>
      </c>
      <c r="D48" s="2" t="str">
        <f t="shared" si="5"/>
        <v>46</v>
      </c>
      <c r="E48" s="2">
        <f t="shared" si="6"/>
        <v>1</v>
      </c>
    </row>
    <row r="49" spans="1:5" x14ac:dyDescent="0.25">
      <c r="A49">
        <v>34</v>
      </c>
      <c r="B49" s="2">
        <v>5</v>
      </c>
      <c r="C49" s="2">
        <v>6</v>
      </c>
      <c r="D49" s="2" t="str">
        <f t="shared" si="5"/>
        <v>56</v>
      </c>
      <c r="E49" s="2">
        <f t="shared" si="6"/>
        <v>1</v>
      </c>
    </row>
    <row r="50" spans="1:5" x14ac:dyDescent="0.25">
      <c r="A50">
        <v>35</v>
      </c>
      <c r="B50" s="2">
        <v>6</v>
      </c>
      <c r="C50" s="2">
        <v>6</v>
      </c>
      <c r="D50" s="2" t="str">
        <f t="shared" si="5"/>
        <v>66</v>
      </c>
      <c r="E50" s="2">
        <f t="shared" si="6"/>
        <v>1</v>
      </c>
    </row>
    <row r="51" spans="1:5" x14ac:dyDescent="0.25">
      <c r="A51">
        <v>36</v>
      </c>
      <c r="B51" s="2">
        <v>1</v>
      </c>
      <c r="C51" s="2">
        <v>6</v>
      </c>
      <c r="D51" s="2" t="str">
        <f t="shared" si="5"/>
        <v>16</v>
      </c>
      <c r="E51" s="2">
        <f t="shared" si="6"/>
        <v>1</v>
      </c>
    </row>
    <row r="52" spans="1:5" x14ac:dyDescent="0.25">
      <c r="A52">
        <v>37</v>
      </c>
      <c r="B52" s="2">
        <v>2</v>
      </c>
      <c r="C52" s="2">
        <v>7</v>
      </c>
      <c r="D52" s="2" t="str">
        <f t="shared" si="5"/>
        <v>27</v>
      </c>
      <c r="E52" s="2">
        <f t="shared" si="6"/>
        <v>1</v>
      </c>
    </row>
    <row r="53" spans="1:5" x14ac:dyDescent="0.25">
      <c r="A53">
        <v>38</v>
      </c>
      <c r="B53" s="2">
        <v>3</v>
      </c>
      <c r="C53" s="2">
        <v>7</v>
      </c>
      <c r="D53" s="2" t="str">
        <f t="shared" si="5"/>
        <v>37</v>
      </c>
      <c r="E53" s="2">
        <f t="shared" si="6"/>
        <v>1</v>
      </c>
    </row>
    <row r="54" spans="1:5" x14ac:dyDescent="0.25">
      <c r="A54">
        <v>39</v>
      </c>
      <c r="B54" s="2">
        <v>4</v>
      </c>
      <c r="C54" s="2">
        <v>7</v>
      </c>
      <c r="D54" s="2" t="str">
        <f t="shared" si="5"/>
        <v>47</v>
      </c>
      <c r="E54" s="2">
        <f t="shared" si="6"/>
        <v>1</v>
      </c>
    </row>
    <row r="55" spans="1:5" x14ac:dyDescent="0.25">
      <c r="A55">
        <v>40</v>
      </c>
      <c r="B55" s="2">
        <v>5</v>
      </c>
      <c r="C55" s="2">
        <v>7</v>
      </c>
      <c r="D55" s="2" t="str">
        <f t="shared" si="5"/>
        <v>57</v>
      </c>
      <c r="E55" s="2">
        <f t="shared" si="6"/>
        <v>1</v>
      </c>
    </row>
    <row r="56" spans="1:5" x14ac:dyDescent="0.25">
      <c r="A56">
        <v>41</v>
      </c>
      <c r="B56" s="2">
        <v>6</v>
      </c>
      <c r="C56" s="2">
        <v>7</v>
      </c>
      <c r="D56" s="2" t="str">
        <f t="shared" si="5"/>
        <v>67</v>
      </c>
      <c r="E56" s="2">
        <f t="shared" si="6"/>
        <v>1</v>
      </c>
    </row>
    <row r="57" spans="1:5" x14ac:dyDescent="0.25">
      <c r="A57">
        <v>42</v>
      </c>
      <c r="B57" s="2">
        <v>1</v>
      </c>
      <c r="C57" s="2">
        <v>7</v>
      </c>
      <c r="D57" s="2" t="str">
        <f t="shared" si="5"/>
        <v>17</v>
      </c>
      <c r="E57" s="2">
        <f t="shared" si="6"/>
        <v>1</v>
      </c>
    </row>
    <row r="58" spans="1:5" x14ac:dyDescent="0.25">
      <c r="A58">
        <v>43</v>
      </c>
      <c r="B58" s="2">
        <v>2</v>
      </c>
      <c r="C58" s="2">
        <v>8</v>
      </c>
      <c r="D58" s="2" t="str">
        <f t="shared" si="5"/>
        <v>28</v>
      </c>
      <c r="E58" s="2">
        <f t="shared" si="6"/>
        <v>1</v>
      </c>
    </row>
    <row r="59" spans="1:5" x14ac:dyDescent="0.25">
      <c r="A59">
        <v>44</v>
      </c>
      <c r="B59" s="2">
        <v>3</v>
      </c>
      <c r="C59" s="2">
        <v>8</v>
      </c>
      <c r="D59" s="2" t="str">
        <f t="shared" si="5"/>
        <v>38</v>
      </c>
      <c r="E59" s="2">
        <f t="shared" si="6"/>
        <v>1</v>
      </c>
    </row>
    <row r="60" spans="1:5" x14ac:dyDescent="0.25">
      <c r="A60">
        <v>45</v>
      </c>
      <c r="B60" s="2">
        <v>4</v>
      </c>
      <c r="C60" s="2">
        <v>8</v>
      </c>
      <c r="D60" s="2" t="str">
        <f t="shared" si="5"/>
        <v>48</v>
      </c>
      <c r="E60" s="2">
        <f t="shared" si="6"/>
        <v>1</v>
      </c>
    </row>
    <row r="61" spans="1:5" x14ac:dyDescent="0.25">
      <c r="A61">
        <v>46</v>
      </c>
      <c r="B61" s="2">
        <v>5</v>
      </c>
      <c r="C61" s="2">
        <v>8</v>
      </c>
      <c r="D61" s="2" t="str">
        <f t="shared" si="5"/>
        <v>58</v>
      </c>
      <c r="E61" s="2">
        <f t="shared" si="6"/>
        <v>1</v>
      </c>
    </row>
    <row r="62" spans="1:5" x14ac:dyDescent="0.25">
      <c r="A62">
        <v>47</v>
      </c>
      <c r="B62" s="2">
        <v>6</v>
      </c>
      <c r="C62" s="2">
        <v>8</v>
      </c>
      <c r="D62" s="2" t="str">
        <f t="shared" si="5"/>
        <v>68</v>
      </c>
      <c r="E62" s="2">
        <f t="shared" si="6"/>
        <v>1</v>
      </c>
    </row>
    <row r="63" spans="1:5" x14ac:dyDescent="0.25">
      <c r="A63">
        <v>48</v>
      </c>
      <c r="B63" s="2">
        <v>1</v>
      </c>
      <c r="C63" s="2">
        <v>8</v>
      </c>
      <c r="D63" s="2" t="str">
        <f t="shared" si="5"/>
        <v>18</v>
      </c>
      <c r="E63" s="2">
        <f t="shared" si="6"/>
        <v>1</v>
      </c>
    </row>
    <row r="64" spans="1:5" x14ac:dyDescent="0.25">
      <c r="A64">
        <v>49</v>
      </c>
      <c r="B64" s="2">
        <v>2</v>
      </c>
      <c r="C64" s="2">
        <v>9</v>
      </c>
      <c r="D64" s="2" t="str">
        <f t="shared" si="5"/>
        <v>29</v>
      </c>
      <c r="E64" s="2">
        <f t="shared" si="6"/>
        <v>1</v>
      </c>
    </row>
    <row r="65" spans="1:5" x14ac:dyDescent="0.25">
      <c r="A65">
        <v>50</v>
      </c>
      <c r="B65" s="2">
        <v>3</v>
      </c>
      <c r="C65" s="2">
        <v>9</v>
      </c>
      <c r="D65" s="2" t="str">
        <f t="shared" si="5"/>
        <v>39</v>
      </c>
      <c r="E65" s="2">
        <f t="shared" si="6"/>
        <v>1</v>
      </c>
    </row>
    <row r="66" spans="1:5" x14ac:dyDescent="0.25">
      <c r="A66">
        <v>51</v>
      </c>
      <c r="B66" s="2">
        <v>4</v>
      </c>
      <c r="C66" s="2">
        <v>9</v>
      </c>
      <c r="D66" s="2" t="str">
        <f t="shared" si="5"/>
        <v>49</v>
      </c>
      <c r="E66" s="2">
        <f t="shared" si="6"/>
        <v>1</v>
      </c>
    </row>
    <row r="67" spans="1:5" x14ac:dyDescent="0.25">
      <c r="A67">
        <v>52</v>
      </c>
      <c r="B67" s="2">
        <v>5</v>
      </c>
      <c r="C67" s="2">
        <v>9</v>
      </c>
      <c r="D67" s="2" t="str">
        <f t="shared" si="5"/>
        <v>59</v>
      </c>
      <c r="E67" s="2">
        <f t="shared" si="6"/>
        <v>1</v>
      </c>
    </row>
    <row r="68" spans="1:5" x14ac:dyDescent="0.25">
      <c r="A68">
        <v>53</v>
      </c>
      <c r="B68" s="2">
        <v>6</v>
      </c>
      <c r="C68" s="2">
        <v>9</v>
      </c>
      <c r="D68" s="2" t="str">
        <f t="shared" si="5"/>
        <v>69</v>
      </c>
      <c r="E68" s="2">
        <f t="shared" si="6"/>
        <v>1</v>
      </c>
    </row>
    <row r="69" spans="1:5" x14ac:dyDescent="0.25">
      <c r="A69">
        <v>54</v>
      </c>
      <c r="B69" s="2">
        <v>1</v>
      </c>
      <c r="C69" s="2">
        <v>9</v>
      </c>
      <c r="D69" s="2" t="str">
        <f t="shared" si="5"/>
        <v>19</v>
      </c>
      <c r="E69" s="2">
        <f t="shared" si="6"/>
        <v>1</v>
      </c>
    </row>
    <row r="70" spans="1:5" x14ac:dyDescent="0.25">
      <c r="A70">
        <v>55</v>
      </c>
      <c r="B70" s="2">
        <v>2</v>
      </c>
      <c r="C70" s="2">
        <v>10</v>
      </c>
      <c r="D70" s="2" t="str">
        <f t="shared" si="5"/>
        <v>210</v>
      </c>
      <c r="E70" s="2">
        <f t="shared" si="6"/>
        <v>1</v>
      </c>
    </row>
    <row r="71" spans="1:5" x14ac:dyDescent="0.25">
      <c r="A71">
        <v>56</v>
      </c>
      <c r="B71" s="2">
        <v>3</v>
      </c>
      <c r="C71" s="2">
        <v>10</v>
      </c>
      <c r="D71" s="2" t="str">
        <f t="shared" si="5"/>
        <v>310</v>
      </c>
      <c r="E71" s="2">
        <f t="shared" si="6"/>
        <v>1</v>
      </c>
    </row>
    <row r="72" spans="1:5" x14ac:dyDescent="0.25">
      <c r="A72">
        <v>57</v>
      </c>
      <c r="B72" s="2">
        <v>4</v>
      </c>
      <c r="C72" s="2">
        <v>10</v>
      </c>
      <c r="D72" s="2" t="str">
        <f t="shared" si="5"/>
        <v>410</v>
      </c>
      <c r="E72" s="2">
        <f t="shared" si="6"/>
        <v>1</v>
      </c>
    </row>
    <row r="73" spans="1:5" x14ac:dyDescent="0.25">
      <c r="A73">
        <v>58</v>
      </c>
      <c r="B73" s="2">
        <v>5</v>
      </c>
      <c r="C73" s="2">
        <v>10</v>
      </c>
      <c r="D73" s="2" t="str">
        <f t="shared" si="5"/>
        <v>510</v>
      </c>
      <c r="E73" s="2">
        <f t="shared" si="6"/>
        <v>1</v>
      </c>
    </row>
    <row r="74" spans="1:5" x14ac:dyDescent="0.25">
      <c r="A74">
        <v>59</v>
      </c>
      <c r="B74" s="2">
        <v>6</v>
      </c>
      <c r="C74" s="2">
        <v>10</v>
      </c>
      <c r="D74" s="2" t="str">
        <f t="shared" si="5"/>
        <v>610</v>
      </c>
      <c r="E74" s="2">
        <f t="shared" si="6"/>
        <v>1</v>
      </c>
    </row>
    <row r="75" spans="1:5" x14ac:dyDescent="0.25">
      <c r="A75">
        <v>60</v>
      </c>
      <c r="B75" s="2">
        <v>1</v>
      </c>
      <c r="C75" s="2">
        <v>10</v>
      </c>
      <c r="D75" s="2" t="str">
        <f t="shared" si="5"/>
        <v>110</v>
      </c>
      <c r="E75" s="2">
        <f t="shared" si="6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H20"/>
  <sheetViews>
    <sheetView topLeftCell="A18" zoomScale="71" zoomScaleNormal="71" workbookViewId="0">
      <selection activeCell="G19" sqref="G19"/>
    </sheetView>
  </sheetViews>
  <sheetFormatPr defaultRowHeight="15" x14ac:dyDescent="0.25"/>
  <cols>
    <col min="2" max="2" width="14.7109375" customWidth="1"/>
    <col min="4" max="4" width="35.42578125" customWidth="1"/>
  </cols>
  <sheetData>
    <row r="2" spans="1:8" ht="72.75" customHeight="1" x14ac:dyDescent="0.25">
      <c r="A2" s="1">
        <v>1</v>
      </c>
      <c r="H2">
        <v>13</v>
      </c>
    </row>
    <row r="3" spans="1:8" ht="72.75" customHeight="1" x14ac:dyDescent="0.25">
      <c r="A3" s="1">
        <v>2</v>
      </c>
    </row>
    <row r="4" spans="1:8" ht="72.75" customHeight="1" x14ac:dyDescent="0.25">
      <c r="A4" s="1">
        <v>3</v>
      </c>
    </row>
    <row r="5" spans="1:8" ht="72.75" customHeight="1" x14ac:dyDescent="0.25">
      <c r="A5" s="1">
        <v>4</v>
      </c>
    </row>
    <row r="6" spans="1:8" ht="72.75" customHeight="1" x14ac:dyDescent="0.25">
      <c r="A6" s="1">
        <v>5</v>
      </c>
    </row>
    <row r="7" spans="1:8" ht="72.75" customHeight="1" x14ac:dyDescent="0.25">
      <c r="A7" s="1">
        <v>6</v>
      </c>
    </row>
    <row r="8" spans="1:8" ht="72.75" customHeight="1" x14ac:dyDescent="0.25">
      <c r="A8" s="1">
        <v>7</v>
      </c>
    </row>
    <row r="9" spans="1:8" ht="72.75" customHeight="1" x14ac:dyDescent="0.25">
      <c r="A9" s="1">
        <v>8</v>
      </c>
    </row>
    <row r="10" spans="1:8" ht="72.75" customHeight="1" x14ac:dyDescent="0.25">
      <c r="A10" s="1">
        <v>9</v>
      </c>
    </row>
    <row r="11" spans="1:8" ht="72.75" customHeight="1" x14ac:dyDescent="0.25">
      <c r="A11" s="1">
        <v>10</v>
      </c>
    </row>
    <row r="12" spans="1:8" ht="72.75" customHeight="1" x14ac:dyDescent="0.25">
      <c r="A12" s="1">
        <v>11</v>
      </c>
    </row>
    <row r="13" spans="1:8" ht="72.75" customHeight="1" x14ac:dyDescent="0.25">
      <c r="A13" s="1">
        <v>1</v>
      </c>
    </row>
    <row r="14" spans="1:8" ht="72.75" customHeight="1" x14ac:dyDescent="0.25">
      <c r="A14" s="1">
        <v>2</v>
      </c>
    </row>
    <row r="17" spans="3:3" ht="190.5" customHeight="1" x14ac:dyDescent="0.25">
      <c r="C17">
        <v>1</v>
      </c>
    </row>
    <row r="18" spans="3:3" ht="199.5" customHeight="1" x14ac:dyDescent="0.25">
      <c r="C18">
        <v>2</v>
      </c>
    </row>
    <row r="19" spans="3:3" ht="195" customHeight="1" x14ac:dyDescent="0.25">
      <c r="C19">
        <v>3</v>
      </c>
    </row>
    <row r="20" spans="3:3" ht="177.75" customHeight="1" x14ac:dyDescent="0.25">
      <c r="C20">
        <v>4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Game</vt:lpstr>
      <vt:lpstr>Pic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2017-04-05T12:33:30Z</dcterms:created>
  <dcterms:modified xsi:type="dcterms:W3CDTF">2017-04-07T14:53:20Z</dcterms:modified>
</cp:coreProperties>
</file>