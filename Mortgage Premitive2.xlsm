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330" windowWidth="14955" windowHeight="6660"/>
  </bookViews>
  <sheets>
    <sheet name="Loan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G7" i="1"/>
  <c r="G5"/>
  <c r="G6" s="1"/>
  <c r="G4"/>
  <c r="C4"/>
  <c r="C3"/>
  <c r="B6" l="1"/>
  <c r="B8" l="1"/>
  <c r="B7"/>
  <c r="I2" l="1"/>
  <c r="K2"/>
</calcChain>
</file>

<file path=xl/sharedStrings.xml><?xml version="1.0" encoding="utf-8"?>
<sst xmlns="http://schemas.openxmlformats.org/spreadsheetml/2006/main" count="13" uniqueCount="12">
  <si>
    <t>Loan Amount</t>
  </si>
  <si>
    <t>Redemption</t>
  </si>
  <si>
    <t>Loan Interest</t>
  </si>
  <si>
    <t xml:space="preserve">Interval </t>
  </si>
  <si>
    <t>Loan Tenure</t>
  </si>
  <si>
    <t>Monthly Payment</t>
  </si>
  <si>
    <t>Total Loan with Interest</t>
  </si>
  <si>
    <t>Fixed</t>
  </si>
  <si>
    <t>Payment</t>
  </si>
  <si>
    <t>Annual Payment</t>
  </si>
  <si>
    <t>Interest Reduced</t>
  </si>
  <si>
    <t>Amount Paid</t>
  </si>
</sst>
</file>

<file path=xl/styles.xml><?xml version="1.0" encoding="utf-8"?>
<styleSheet xmlns="http://schemas.openxmlformats.org/spreadsheetml/2006/main">
  <numFmts count="3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44" fontId="0" fillId="0" borderId="0" xfId="1" applyFont="1"/>
    <xf numFmtId="10" fontId="0" fillId="0" borderId="0" xfId="2" applyNumberFormat="1" applyFont="1"/>
    <xf numFmtId="44" fontId="0" fillId="0" borderId="0" xfId="0" applyNumberFormat="1"/>
    <xf numFmtId="8" fontId="0" fillId="0" borderId="0" xfId="0" applyNumberFormat="1"/>
    <xf numFmtId="44" fontId="0" fillId="2" borderId="1" xfId="1" applyFont="1" applyFill="1" applyBorder="1"/>
    <xf numFmtId="10" fontId="0" fillId="2" borderId="1" xfId="0" applyNumberFormat="1" applyFill="1" applyBorder="1"/>
    <xf numFmtId="0" fontId="0" fillId="2" borderId="1" xfId="0" applyFill="1" applyBorder="1"/>
    <xf numFmtId="7" fontId="0" fillId="0" borderId="0" xfId="0" applyNumberFormat="1"/>
    <xf numFmtId="0" fontId="2" fillId="0" borderId="0" xfId="0" applyFont="1"/>
    <xf numFmtId="44" fontId="2" fillId="0" borderId="0" xfId="0" applyNumberFormat="1" applyFont="1"/>
    <xf numFmtId="7" fontId="0" fillId="0" borderId="0" xfId="1" applyNumberFormat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Loan!$I$1</c:f>
              <c:strCache>
                <c:ptCount val="1"/>
                <c:pt idx="0">
                  <c:v>Fixed</c:v>
                </c:pt>
              </c:strCache>
            </c:strRef>
          </c:tx>
          <c:marker>
            <c:symbol val="none"/>
          </c:marker>
          <c:val>
            <c:numRef>
              <c:f>Loan!$I$2:$I$33</c:f>
              <c:numCache>
                <c:formatCode>"$"#,##0.00_);\("$"#,##0.00\)</c:formatCode>
                <c:ptCount val="32"/>
                <c:pt idx="0" formatCode="_(&quot;$&quot;* #,##0.00_);_(&quot;$&quot;* \(#,##0.00\);_(&quot;$&quot;* &quot;-&quot;??_);_(@_)">
                  <c:v>408302.5564769684</c:v>
                </c:pt>
                <c:pt idx="1">
                  <c:v>391970.45</c:v>
                </c:pt>
                <c:pt idx="2">
                  <c:v>375638.35</c:v>
                </c:pt>
                <c:pt idx="3">
                  <c:v>359306.25</c:v>
                </c:pt>
                <c:pt idx="4">
                  <c:v>342974.15</c:v>
                </c:pt>
                <c:pt idx="5">
                  <c:v>326642.05</c:v>
                </c:pt>
                <c:pt idx="6">
                  <c:v>310309.94</c:v>
                </c:pt>
                <c:pt idx="7">
                  <c:v>293977.84000000003</c:v>
                </c:pt>
                <c:pt idx="8">
                  <c:v>277645.74</c:v>
                </c:pt>
                <c:pt idx="9">
                  <c:v>261313.64</c:v>
                </c:pt>
                <c:pt idx="10">
                  <c:v>244981.53</c:v>
                </c:pt>
                <c:pt idx="11">
                  <c:v>228649.43</c:v>
                </c:pt>
                <c:pt idx="12">
                  <c:v>212317.33</c:v>
                </c:pt>
                <c:pt idx="13">
                  <c:v>195985.23</c:v>
                </c:pt>
                <c:pt idx="14">
                  <c:v>179653.12</c:v>
                </c:pt>
                <c:pt idx="15">
                  <c:v>163321.01999999999</c:v>
                </c:pt>
                <c:pt idx="16">
                  <c:v>146988.92000000001</c:v>
                </c:pt>
                <c:pt idx="17">
                  <c:v>130656.82</c:v>
                </c:pt>
                <c:pt idx="18">
                  <c:v>114324.72</c:v>
                </c:pt>
                <c:pt idx="19">
                  <c:v>97992.61</c:v>
                </c:pt>
                <c:pt idx="20">
                  <c:v>81660.509999999995</c:v>
                </c:pt>
                <c:pt idx="21">
                  <c:v>65328.41</c:v>
                </c:pt>
                <c:pt idx="22">
                  <c:v>48996.31</c:v>
                </c:pt>
                <c:pt idx="23">
                  <c:v>32664.2</c:v>
                </c:pt>
                <c:pt idx="24">
                  <c:v>16332.1</c:v>
                </c:pt>
                <c:pt idx="25">
                  <c:v>0</c:v>
                </c:pt>
              </c:numCache>
            </c:numRef>
          </c:val>
        </c:ser>
        <c:ser>
          <c:idx val="1"/>
          <c:order val="1"/>
          <c:tx>
            <c:strRef>
              <c:f>Loan!$K$1</c:f>
              <c:strCache>
                <c:ptCount val="1"/>
                <c:pt idx="0">
                  <c:v>Redemption</c:v>
                </c:pt>
              </c:strCache>
            </c:strRef>
          </c:tx>
          <c:marker>
            <c:symbol val="none"/>
          </c:marker>
          <c:val>
            <c:numRef>
              <c:f>Loan!$K$2:$K$33</c:f>
              <c:numCache>
                <c:formatCode>"$"#,##0.00_);\("$"#,##0.00\)</c:formatCode>
                <c:ptCount val="32"/>
                <c:pt idx="0" formatCode="_(&quot;$&quot;* #,##0.00_);_(&quot;$&quot;* \(#,##0.00\);_(&quot;$&quot;* &quot;-&quot;??_);_(@_)">
                  <c:v>408302.5564769684</c:v>
                </c:pt>
                <c:pt idx="1">
                  <c:v>391970.45</c:v>
                </c:pt>
                <c:pt idx="2">
                  <c:v>343993.86</c:v>
                </c:pt>
                <c:pt idx="3">
                  <c:v>326017.27</c:v>
                </c:pt>
                <c:pt idx="4">
                  <c:v>276539.18</c:v>
                </c:pt>
                <c:pt idx="5">
                  <c:v>257061.1</c:v>
                </c:pt>
                <c:pt idx="6">
                  <c:v>206224.52</c:v>
                </c:pt>
                <c:pt idx="7">
                  <c:v>185387.94</c:v>
                </c:pt>
                <c:pt idx="8">
                  <c:v>133335.87</c:v>
                </c:pt>
                <c:pt idx="9">
                  <c:v>111283.8</c:v>
                </c:pt>
                <c:pt idx="10">
                  <c:v>58159.24</c:v>
                </c:pt>
                <c:pt idx="11">
                  <c:v>35034.68</c:v>
                </c:pt>
                <c:pt idx="12">
                  <c:v>-19019.38</c:v>
                </c:pt>
                <c:pt idx="13">
                  <c:v>-19019.38</c:v>
                </c:pt>
                <c:pt idx="14">
                  <c:v>-19019.38</c:v>
                </c:pt>
                <c:pt idx="15">
                  <c:v>-19019.38</c:v>
                </c:pt>
                <c:pt idx="16">
                  <c:v>-19019.38</c:v>
                </c:pt>
                <c:pt idx="17">
                  <c:v>-19019.38</c:v>
                </c:pt>
                <c:pt idx="18">
                  <c:v>-19019.38</c:v>
                </c:pt>
                <c:pt idx="19">
                  <c:v>-19019.38</c:v>
                </c:pt>
                <c:pt idx="20">
                  <c:v>-19019.38</c:v>
                </c:pt>
                <c:pt idx="21">
                  <c:v>-19019.38</c:v>
                </c:pt>
                <c:pt idx="22">
                  <c:v>-19019.38</c:v>
                </c:pt>
                <c:pt idx="23">
                  <c:v>-19019.38</c:v>
                </c:pt>
                <c:pt idx="24">
                  <c:v>-19019.38</c:v>
                </c:pt>
                <c:pt idx="25">
                  <c:v>-19019.38</c:v>
                </c:pt>
              </c:numCache>
            </c:numRef>
          </c:val>
        </c:ser>
        <c:marker val="1"/>
        <c:axId val="120883840"/>
        <c:axId val="122173696"/>
      </c:lineChart>
      <c:catAx>
        <c:axId val="120883840"/>
        <c:scaling>
          <c:orientation val="minMax"/>
        </c:scaling>
        <c:axPos val="b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22173696"/>
        <c:crosses val="autoZero"/>
        <c:auto val="1"/>
        <c:lblAlgn val="ctr"/>
        <c:lblOffset val="100"/>
      </c:catAx>
      <c:valAx>
        <c:axId val="122173696"/>
        <c:scaling>
          <c:orientation val="minMax"/>
        </c:scaling>
        <c:axPos val="l"/>
        <c:majorGridlines/>
        <c:numFmt formatCode="_(&quot;$&quot;* #,##0.00_);_(&quot;$&quot;* \(#,##0.00\);_(&quot;$&quot;* &quot;-&quot;??_);_(@_)" sourceLinked="1"/>
        <c:tickLblPos val="nextTo"/>
        <c:crossAx val="1208838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10</xdr:row>
      <xdr:rowOff>9525</xdr:rowOff>
    </xdr:from>
    <xdr:to>
      <xdr:col>6</xdr:col>
      <xdr:colOff>0</xdr:colOff>
      <xdr:row>20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35"/>
  <sheetViews>
    <sheetView tabSelected="1" workbookViewId="0">
      <selection activeCell="K13" sqref="K13"/>
    </sheetView>
  </sheetViews>
  <sheetFormatPr defaultRowHeight="15"/>
  <cols>
    <col min="1" max="1" width="22.140625" bestFit="1" customWidth="1"/>
    <col min="2" max="2" width="12.5703125" bestFit="1" customWidth="1"/>
    <col min="3" max="3" width="6.140625" hidden="1" customWidth="1"/>
    <col min="4" max="4" width="8.85546875" bestFit="1" customWidth="1"/>
    <col min="5" max="5" width="16.28515625" bestFit="1" customWidth="1"/>
    <col min="6" max="6" width="12.5703125" bestFit="1" customWidth="1"/>
    <col min="7" max="7" width="10.85546875" bestFit="1" customWidth="1"/>
    <col min="9" max="9" width="12.5703125" bestFit="1" customWidth="1"/>
    <col min="10" max="10" width="6" customWidth="1"/>
    <col min="11" max="12" width="12.5703125" bestFit="1" customWidth="1"/>
    <col min="13" max="13" width="11.5703125" bestFit="1" customWidth="1"/>
  </cols>
  <sheetData>
    <row r="1" spans="1:13">
      <c r="H1" s="9" t="s">
        <v>8</v>
      </c>
      <c r="I1" s="10" t="s">
        <v>7</v>
      </c>
      <c r="J1" s="9"/>
      <c r="K1" s="9" t="s">
        <v>1</v>
      </c>
      <c r="L1" s="9" t="s">
        <v>11</v>
      </c>
    </row>
    <row r="2" spans="1:13">
      <c r="A2" t="s">
        <v>0</v>
      </c>
      <c r="B2" s="5">
        <v>300000</v>
      </c>
      <c r="E2" t="s">
        <v>1</v>
      </c>
      <c r="F2" s="5">
        <v>30000</v>
      </c>
      <c r="H2">
        <v>0</v>
      </c>
      <c r="I2" s="3">
        <f>B8</f>
        <v>408302.5564769684</v>
      </c>
      <c r="K2" s="3">
        <f>B8</f>
        <v>408302.5564769684</v>
      </c>
      <c r="L2" s="1">
        <v>0</v>
      </c>
    </row>
    <row r="3" spans="1:13">
      <c r="A3" t="s">
        <v>2</v>
      </c>
      <c r="B3" s="6">
        <v>2.5999999999999999E-2</v>
      </c>
      <c r="C3" s="2">
        <f>B3/12</f>
        <v>2.1666666666666666E-3</v>
      </c>
      <c r="D3" s="2"/>
      <c r="H3">
        <v>1</v>
      </c>
      <c r="I3" s="8">
        <v>391970.45</v>
      </c>
      <c r="K3" s="8">
        <v>391970.45</v>
      </c>
      <c r="L3" s="8">
        <v>16332.1</v>
      </c>
      <c r="M3" s="3"/>
    </row>
    <row r="4" spans="1:13">
      <c r="A4" t="s">
        <v>4</v>
      </c>
      <c r="B4" s="7">
        <v>25</v>
      </c>
      <c r="C4">
        <f>B4*12</f>
        <v>300</v>
      </c>
      <c r="E4" t="s">
        <v>3</v>
      </c>
      <c r="F4" s="7">
        <v>2</v>
      </c>
      <c r="G4">
        <f>F4*12</f>
        <v>24</v>
      </c>
      <c r="H4">
        <v>2</v>
      </c>
      <c r="I4" s="8">
        <v>375638.35</v>
      </c>
      <c r="K4" s="8">
        <v>343993.86</v>
      </c>
      <c r="L4" s="8">
        <v>62664.2</v>
      </c>
      <c r="M4" s="3"/>
    </row>
    <row r="5" spans="1:13">
      <c r="G5">
        <f>INT(B4/F4)-1</f>
        <v>11</v>
      </c>
      <c r="H5">
        <v>3</v>
      </c>
      <c r="I5" s="8">
        <v>359306.25</v>
      </c>
      <c r="K5" s="8">
        <v>326017.27</v>
      </c>
      <c r="L5" s="8">
        <v>78996.31</v>
      </c>
      <c r="M5" s="3"/>
    </row>
    <row r="6" spans="1:13">
      <c r="A6" t="s">
        <v>5</v>
      </c>
      <c r="B6" s="4">
        <f>-PMT(C3,C4,B2)</f>
        <v>1361.0085215898946</v>
      </c>
      <c r="G6">
        <f>G5*(1+G5)/2</f>
        <v>66</v>
      </c>
      <c r="H6">
        <v>4</v>
      </c>
      <c r="I6" s="8">
        <v>342974.15</v>
      </c>
      <c r="K6" s="8">
        <v>276539.18</v>
      </c>
      <c r="L6" s="8">
        <v>125328.41</v>
      </c>
      <c r="M6" s="3"/>
    </row>
    <row r="7" spans="1:13">
      <c r="A7" t="s">
        <v>9</v>
      </c>
      <c r="B7" s="4">
        <f>B6*12</f>
        <v>16332.102259078736</v>
      </c>
      <c r="E7" t="s">
        <v>10</v>
      </c>
      <c r="F7" s="8">
        <v>32317.33</v>
      </c>
      <c r="G7" s="11">
        <f>F2*(B3/12)*11/120</f>
        <v>5.958333333333333</v>
      </c>
      <c r="H7">
        <v>5</v>
      </c>
      <c r="I7" s="8">
        <v>326642.05</v>
      </c>
      <c r="K7" s="8">
        <v>257061.1</v>
      </c>
      <c r="L7" s="8">
        <v>141660.51</v>
      </c>
      <c r="M7" s="3"/>
    </row>
    <row r="8" spans="1:13">
      <c r="A8" t="s">
        <v>6</v>
      </c>
      <c r="B8" s="3">
        <f>B6*C4</f>
        <v>408302.5564769684</v>
      </c>
      <c r="F8" s="3"/>
      <c r="G8" s="3"/>
      <c r="H8">
        <v>6</v>
      </c>
      <c r="I8" s="8">
        <v>310309.94</v>
      </c>
      <c r="K8" s="8">
        <v>206224.52</v>
      </c>
      <c r="L8" s="8">
        <v>187992.61</v>
      </c>
      <c r="M8" s="3"/>
    </row>
    <row r="9" spans="1:13">
      <c r="H9">
        <v>7</v>
      </c>
      <c r="I9" s="8">
        <v>293977.84000000003</v>
      </c>
      <c r="K9" s="8">
        <v>185387.94</v>
      </c>
      <c r="L9" s="8">
        <v>204324.72</v>
      </c>
      <c r="M9" s="3"/>
    </row>
    <row r="10" spans="1:13">
      <c r="H10">
        <v>8</v>
      </c>
      <c r="I10" s="8">
        <v>277645.74</v>
      </c>
      <c r="K10" s="8">
        <v>133335.87</v>
      </c>
      <c r="L10" s="8">
        <v>250656.82</v>
      </c>
      <c r="M10" s="3"/>
    </row>
    <row r="11" spans="1:13">
      <c r="B11" s="8"/>
      <c r="E11" s="8"/>
      <c r="H11">
        <v>9</v>
      </c>
      <c r="I11" s="8">
        <v>261313.64</v>
      </c>
      <c r="K11" s="8">
        <v>111283.8</v>
      </c>
      <c r="L11" s="8">
        <v>266988.92</v>
      </c>
      <c r="M11" s="3"/>
    </row>
    <row r="12" spans="1:13">
      <c r="B12" s="8"/>
      <c r="E12" s="8"/>
      <c r="H12">
        <v>10</v>
      </c>
      <c r="I12" s="8">
        <v>244981.53</v>
      </c>
      <c r="K12" s="8">
        <v>58159.24</v>
      </c>
      <c r="L12" s="8">
        <v>313321.02</v>
      </c>
      <c r="M12" s="3"/>
    </row>
    <row r="13" spans="1:13">
      <c r="B13" s="8"/>
      <c r="E13" s="8"/>
      <c r="H13">
        <v>11</v>
      </c>
      <c r="I13" s="8">
        <v>228649.43</v>
      </c>
      <c r="K13" s="8">
        <v>35034.68</v>
      </c>
      <c r="L13" s="8">
        <v>329653.13</v>
      </c>
      <c r="M13" s="3"/>
    </row>
    <row r="14" spans="1:13">
      <c r="B14" s="8"/>
      <c r="E14" s="8"/>
      <c r="H14">
        <v>12</v>
      </c>
      <c r="I14" s="8">
        <v>212317.33</v>
      </c>
      <c r="K14" s="8">
        <v>-19019.38</v>
      </c>
      <c r="L14" s="8">
        <v>375985.23</v>
      </c>
      <c r="M14" s="3"/>
    </row>
    <row r="15" spans="1:13">
      <c r="B15" s="8"/>
      <c r="E15" s="8"/>
      <c r="H15">
        <v>13</v>
      </c>
      <c r="I15" s="8">
        <v>195985.23</v>
      </c>
      <c r="K15" s="8">
        <v>-19019.38</v>
      </c>
      <c r="L15" s="8">
        <v>0</v>
      </c>
      <c r="M15" s="3"/>
    </row>
    <row r="16" spans="1:13">
      <c r="B16" s="8"/>
      <c r="E16" s="8"/>
      <c r="H16">
        <v>14</v>
      </c>
      <c r="I16" s="8">
        <v>179653.12</v>
      </c>
      <c r="K16" s="8">
        <v>-19019.38</v>
      </c>
      <c r="L16" s="8">
        <v>0</v>
      </c>
      <c r="M16" s="3"/>
    </row>
    <row r="17" spans="2:13">
      <c r="B17" s="8"/>
      <c r="E17" s="8"/>
      <c r="H17">
        <v>15</v>
      </c>
      <c r="I17" s="8">
        <v>163321.01999999999</v>
      </c>
      <c r="K17" s="8">
        <v>-19019.38</v>
      </c>
      <c r="L17" s="8">
        <v>0</v>
      </c>
      <c r="M17" s="3"/>
    </row>
    <row r="18" spans="2:13">
      <c r="B18" s="8"/>
      <c r="E18" s="8"/>
      <c r="H18">
        <v>16</v>
      </c>
      <c r="I18" s="8">
        <v>146988.92000000001</v>
      </c>
      <c r="K18" s="8">
        <v>-19019.38</v>
      </c>
      <c r="L18" s="8">
        <v>0</v>
      </c>
      <c r="M18" s="3"/>
    </row>
    <row r="19" spans="2:13">
      <c r="B19" s="8"/>
      <c r="E19" s="8"/>
      <c r="H19">
        <v>17</v>
      </c>
      <c r="I19" s="8">
        <v>130656.82</v>
      </c>
      <c r="K19" s="8">
        <v>-19019.38</v>
      </c>
      <c r="L19" s="8">
        <v>0</v>
      </c>
      <c r="M19" s="3"/>
    </row>
    <row r="20" spans="2:13">
      <c r="B20" s="8"/>
      <c r="E20" s="8"/>
      <c r="H20">
        <v>18</v>
      </c>
      <c r="I20" s="8">
        <v>114324.72</v>
      </c>
      <c r="K20" s="8">
        <v>-19019.38</v>
      </c>
      <c r="L20" s="8">
        <v>0</v>
      </c>
      <c r="M20" s="3"/>
    </row>
    <row r="21" spans="2:13">
      <c r="B21" s="8"/>
      <c r="E21" s="8"/>
      <c r="H21">
        <v>19</v>
      </c>
      <c r="I21" s="8">
        <v>97992.61</v>
      </c>
      <c r="K21" s="8">
        <v>-19019.38</v>
      </c>
      <c r="L21" s="8">
        <v>0</v>
      </c>
    </row>
    <row r="22" spans="2:13">
      <c r="B22" s="8"/>
      <c r="E22" s="8"/>
      <c r="H22">
        <v>20</v>
      </c>
      <c r="I22" s="8">
        <v>81660.509999999995</v>
      </c>
      <c r="K22" s="8">
        <v>-19019.38</v>
      </c>
      <c r="L22" s="8">
        <v>0</v>
      </c>
    </row>
    <row r="23" spans="2:13">
      <c r="B23" s="8"/>
      <c r="E23" s="8"/>
      <c r="H23">
        <v>21</v>
      </c>
      <c r="I23" s="8">
        <v>65328.41</v>
      </c>
      <c r="K23" s="8">
        <v>-19019.38</v>
      </c>
      <c r="L23" s="8">
        <v>0</v>
      </c>
    </row>
    <row r="24" spans="2:13">
      <c r="B24" s="8"/>
      <c r="E24" s="8"/>
      <c r="H24">
        <v>22</v>
      </c>
      <c r="I24" s="8">
        <v>48996.31</v>
      </c>
      <c r="K24" s="8">
        <v>-19019.38</v>
      </c>
      <c r="L24" s="8">
        <v>0</v>
      </c>
    </row>
    <row r="25" spans="2:13">
      <c r="B25" s="8"/>
      <c r="E25" s="8"/>
      <c r="H25">
        <v>23</v>
      </c>
      <c r="I25" s="8">
        <v>32664.2</v>
      </c>
      <c r="K25" s="8">
        <v>-19019.38</v>
      </c>
      <c r="L25" s="8">
        <v>0</v>
      </c>
    </row>
    <row r="26" spans="2:13">
      <c r="B26" s="8"/>
      <c r="E26" s="8"/>
      <c r="H26">
        <v>24</v>
      </c>
      <c r="I26" s="8">
        <v>16332.1</v>
      </c>
      <c r="K26" s="8">
        <v>-19019.38</v>
      </c>
      <c r="L26" s="8">
        <v>0</v>
      </c>
    </row>
    <row r="27" spans="2:13">
      <c r="B27" s="8"/>
      <c r="E27" s="8"/>
      <c r="H27">
        <v>25</v>
      </c>
      <c r="I27" s="8">
        <v>0</v>
      </c>
      <c r="K27" s="8">
        <v>-19019.38</v>
      </c>
      <c r="L27" s="8">
        <v>0</v>
      </c>
    </row>
    <row r="28" spans="2:13">
      <c r="B28" s="8"/>
      <c r="E28" s="8"/>
    </row>
    <row r="29" spans="2:13">
      <c r="B29" s="8"/>
      <c r="E29" s="8"/>
    </row>
    <row r="30" spans="2:13">
      <c r="B30" s="8"/>
      <c r="E30" s="8"/>
    </row>
    <row r="31" spans="2:13">
      <c r="B31" s="8"/>
      <c r="E31" s="8"/>
    </row>
    <row r="32" spans="2:13">
      <c r="B32" s="8"/>
      <c r="E32" s="8"/>
    </row>
    <row r="33" spans="2:5">
      <c r="B33" s="8"/>
      <c r="E33" s="8"/>
    </row>
    <row r="34" spans="2:5">
      <c r="B34" s="8"/>
      <c r="E34" s="8"/>
    </row>
    <row r="35" spans="2:5">
      <c r="B35" s="8"/>
      <c r="E35" s="8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E2" sqref="E2:F3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Loan</vt:lpstr>
      <vt:lpstr>Sheet2</vt:lpstr>
      <vt:lpstr>Sheet3</vt:lpstr>
    </vt:vector>
  </TitlesOfParts>
  <Company>Lenovo (Beijing) Limited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Lenovo User</cp:lastModifiedBy>
  <dcterms:created xsi:type="dcterms:W3CDTF">2014-09-28T05:47:27Z</dcterms:created>
  <dcterms:modified xsi:type="dcterms:W3CDTF">2014-09-28T09:09:29Z</dcterms:modified>
</cp:coreProperties>
</file>