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d.docs.live.net/67006b469a4455b3/Documents/"/>
    </mc:Choice>
  </mc:AlternateContent>
  <bookViews>
    <workbookView xWindow="0" yWindow="0" windowWidth="20490" windowHeight="8910"/>
  </bookViews>
  <sheets>
    <sheet name="Card_DataBase" sheetId="1" r:id="rId1"/>
  </sheets>
  <definedNames>
    <definedName name="CardPic">INDEX(Card_DataBase!$R$23:$R$26,MATCH(Card_DataBase!$O$23,Card_DataBase!$Q$23:$Q$26,0))</definedName>
    <definedName name="ColorCardPic">INDEX(Card_DataBase!$AU$1:$AU$371,MATCH(Card_DataBase!$AJ$14,Card_DataBase!$AS$1:$AS$371,0))</definedName>
    <definedName name="D1HPic">INDEX(Card_DataBase!$AU$1:$AU$371,MATCH(#REF!,Card_DataBase!$AS$1:$AS$371,0))</definedName>
    <definedName name="D1Pic">INDEX(Card_DataBase!$AU$1:$AU$371,MATCH(#REF!,Card_DataBase!$AS$1:$AS$371,0))</definedName>
    <definedName name="D2HPic">INDEX(Card_DataBase!$AU$1:$AU$371,MATCH(#REF!,Card_DataBase!$AS$1:$AS$371,0))</definedName>
    <definedName name="D2Pic">INDEX(Card_DataBase!$AU$1:$AU$371,MATCH(#REF!,Card_DataBase!$AS$1:$AS$371,0))</definedName>
    <definedName name="D3Pic">INDEX(Card_DataBase!$AU$1:$AU$371,MATCH(#REF!,Card_DataBase!$AS$1:$AS$371,0))</definedName>
    <definedName name="DeckCardPic">INDEX(Card_DataBase!$C$1:$C$53,MATCH(Card_DataBase!$AK$2,Card_DataBase!$A$1:$A$53,0))</definedName>
    <definedName name="P1Pic">INDEX(Card_DataBase!$AU$1:$AU$371,MATCH(#REF!,Card_DataBase!$AS$1:$AS$371,0))</definedName>
    <definedName name="P2Pic">INDEX(Card_DataBase!$AU$1:$AU$371,MATCH(#REF!,Card_DataBase!$AS$1:$AS$371,0))</definedName>
    <definedName name="P3Pic">INDEX(Card_DataBase!$AU$1:$AU$371,MATCH(#REF!,Card_DataBase!$AS$1:$AS$371,0))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14" i="1" l="1"/>
  <c r="AL2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1" i="1"/>
  <c r="P23" i="1"/>
  <c r="P18" i="1"/>
  <c r="R3" i="1" l="1"/>
  <c r="R2" i="1"/>
  <c r="O2" i="1"/>
  <c r="O11" i="1" s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1" i="1"/>
</calcChain>
</file>

<file path=xl/sharedStrings.xml><?xml version="1.0" encoding="utf-8"?>
<sst xmlns="http://schemas.openxmlformats.org/spreadsheetml/2006/main" count="360" uniqueCount="63">
  <si>
    <t>A</t>
  </si>
  <si>
    <t>a</t>
  </si>
  <si>
    <t>K</t>
  </si>
  <si>
    <t>m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</si>
  <si>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</si>
  <si>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</si>
  <si>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</si>
  <si>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</si>
  <si>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</si>
  <si>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</si>
  <si>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</si>
  <si>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</si>
  <si>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</si>
  <si>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</si>
  <si>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Q</t>
  </si>
  <si>
    <t>l</t>
  </si>
  <si>
    <t>J</t>
  </si>
  <si>
    <t>k</t>
  </si>
  <si>
    <t>s</t>
  </si>
  <si>
    <t>d</t>
  </si>
  <si>
    <t>f</t>
  </si>
  <si>
    <t>g</t>
  </si>
  <si>
    <t>h</t>
  </si>
  <si>
    <t>j</t>
  </si>
  <si>
    <t>z</t>
  </si>
  <si>
    <t>x</t>
  </si>
  <si>
    <t>c</t>
  </si>
  <si>
    <t>v</t>
  </si>
  <si>
    <t>b</t>
  </si>
  <si>
    <t>n</t>
  </si>
  <si>
    <t>W</t>
  </si>
  <si>
    <t>E</t>
  </si>
  <si>
    <t>R</t>
  </si>
  <si>
    <t>T</t>
  </si>
  <si>
    <t>Y</t>
  </si>
  <si>
    <t>U</t>
  </si>
  <si>
    <t>I</t>
  </si>
  <si>
    <t>O</t>
  </si>
  <si>
    <t>P</t>
  </si>
  <si>
    <t>S</t>
  </si>
  <si>
    <t>D</t>
  </si>
  <si>
    <t>F</t>
  </si>
  <si>
    <t>G</t>
  </si>
  <si>
    <t>H</t>
  </si>
  <si>
    <t>L</t>
  </si>
  <si>
    <t>Z</t>
  </si>
  <si>
    <t>X</t>
  </si>
  <si>
    <t>C</t>
  </si>
  <si>
    <t>V</t>
  </si>
  <si>
    <t>B</t>
  </si>
  <si>
    <t>N</t>
  </si>
  <si>
    <t>M</t>
  </si>
  <si>
    <t>?</t>
  </si>
  <si>
    <t>Spade</t>
  </si>
  <si>
    <t>Heart</t>
  </si>
  <si>
    <t>Club</t>
  </si>
  <si>
    <t>Diamond</t>
  </si>
  <si>
    <t>Vlookup</t>
  </si>
  <si>
    <t>Index</t>
  </si>
  <si>
    <t>(No Need to Sort)</t>
  </si>
  <si>
    <t>(Need to sort)</t>
  </si>
  <si>
    <t>Card Pic Size 1.5" x 1.1"</t>
  </si>
  <si>
    <t>Playing Cards Font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</si>
</sst>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Playing Cards"/>
    </font>
    <font>
      <sz val="36"/>
      <color theme="1"/>
      <name val="Calibri"/>
      <family val="2"/>
      <scheme val="minor"/>
    </font>
    <font>
      <sz val="72"/>
      <name val="Playing Cards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Border="1"/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Alignment="1"/>
    <xf numFmtId="0" fontId="0" fillId="0" borderId="13" xfId="0" applyBorder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0" borderId="2" xfId="0" applyFont="1" applyBorder="1" applyAlignment="1">
      <alignment horizontal="center" vertical="top"/>
    </xf>
    <xf numFmtId="0" fontId="2" fillId="0" borderId="14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15" xfId="0" applyFont="1" applyBorder="1" applyAlignment="1">
      <alignment horizontal="center" vertical="top"/>
    </xf>
    <xf numFmtId="0" fontId="0" fillId="0" borderId="7" xfId="0" applyBorder="1" applyAlignment="1">
      <alignment horizontal="center"/>
    </xf>
  </cellXfs>
  <cellStyles count="1"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C6A0E"/>
      <color rgb="FF3CA616"/>
      <color rgb="FF0E7811"/>
      <color rgb="FF338F13"/>
      <color rgb="FF1B780E"/>
      <color rgb="FF1F8A10"/>
      <color rgb="FF108A2D"/>
      <color rgb="FF3EAD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croll" dx="22" fmlaLink="$S$14" horiz="1" max="10" min="1" page="10" val="5"/>
</file>

<file path=xl/ctrlProps/ctrlProp2.xml><?xml version="1.0" encoding="utf-8"?>
<formControlPr xmlns="http://schemas.microsoft.com/office/spreadsheetml/2009/9/main" objectType="Scroll" dx="22" fmlaLink="$R$13" inc="2" max="11" min="1" page="10" val="3"/>
</file>

<file path=xl/ctrlProps/ctrlProp3.xml><?xml version="1.0" encoding="utf-8"?>
<formControlPr xmlns="http://schemas.microsoft.com/office/spreadsheetml/2009/9/main" objectType="Scroll" dx="22" fmlaLink="$AK$2" max="53" min="1" page="10" val="32"/>
</file>

<file path=xl/ctrlProps/ctrlProp4.xml><?xml version="1.0" encoding="utf-8"?>
<formControlPr xmlns="http://schemas.microsoft.com/office/spreadsheetml/2009/9/main" objectType="Scroll" dx="22" fmlaLink="$AJ$14" max="53" min="1" page="10" val="53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5" Type="http://schemas.openxmlformats.org/officeDocument/2006/relationships/image" Target="../media/image5.emf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emf"/><Relationship Id="rId1" Type="http://schemas.openxmlformats.org/officeDocument/2006/relationships/image" Target="../media/image1.png"/><Relationship Id="rId6" Type="http://schemas.openxmlformats.org/officeDocument/2006/relationships/image" Target="../media/image6.emf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13</xdr:row>
          <xdr:rowOff>9525</xdr:rowOff>
        </xdr:from>
        <xdr:to>
          <xdr:col>27</xdr:col>
          <xdr:colOff>276225</xdr:colOff>
          <xdr:row>13</xdr:row>
          <xdr:rowOff>219075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</xdr:row>
          <xdr:rowOff>9525</xdr:rowOff>
        </xdr:from>
        <xdr:to>
          <xdr:col>17</xdr:col>
          <xdr:colOff>304800</xdr:colOff>
          <xdr:row>12</xdr:row>
          <xdr:rowOff>190500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17</xdr:col>
      <xdr:colOff>103984</xdr:colOff>
      <xdr:row>17</xdr:row>
      <xdr:rowOff>49604</xdr:rowOff>
    </xdr:from>
    <xdr:to>
      <xdr:col>17</xdr:col>
      <xdr:colOff>207090</xdr:colOff>
      <xdr:row>17</xdr:row>
      <xdr:rowOff>183642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4466" y="4449061"/>
          <a:ext cx="103106" cy="134038"/>
        </a:xfrm>
        <a:prstGeom prst="rect">
          <a:avLst/>
        </a:prstGeom>
      </xdr:spPr>
    </xdr:pic>
    <xdr:clientData/>
  </xdr:twoCellAnchor>
  <xdr:twoCellAnchor editAs="oneCell">
    <xdr:from>
      <xdr:col>17</xdr:col>
      <xdr:colOff>79326</xdr:colOff>
      <xdr:row>20</xdr:row>
      <xdr:rowOff>31230</xdr:rowOff>
    </xdr:from>
    <xdr:to>
      <xdr:col>17</xdr:col>
      <xdr:colOff>221080</xdr:colOff>
      <xdr:row>20</xdr:row>
      <xdr:rowOff>198757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79808" y="3970052"/>
          <a:ext cx="141754" cy="167527"/>
        </a:xfrm>
        <a:prstGeom prst="rect">
          <a:avLst/>
        </a:prstGeom>
      </xdr:spPr>
    </xdr:pic>
    <xdr:clientData/>
  </xdr:twoCellAnchor>
  <xdr:twoCellAnchor editAs="oneCell">
    <xdr:from>
      <xdr:col>17</xdr:col>
      <xdr:colOff>106571</xdr:colOff>
      <xdr:row>18</xdr:row>
      <xdr:rowOff>35915</xdr:rowOff>
    </xdr:from>
    <xdr:to>
      <xdr:col>17</xdr:col>
      <xdr:colOff>216108</xdr:colOff>
      <xdr:row>18</xdr:row>
      <xdr:rowOff>190555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707053" y="4665690"/>
          <a:ext cx="109537" cy="154640"/>
        </a:xfrm>
        <a:prstGeom prst="rect">
          <a:avLst/>
        </a:prstGeom>
      </xdr:spPr>
    </xdr:pic>
    <xdr:clientData/>
  </xdr:twoCellAnchor>
  <xdr:twoCellAnchor editAs="oneCell">
    <xdr:from>
      <xdr:col>17</xdr:col>
      <xdr:colOff>82371</xdr:colOff>
      <xdr:row>19</xdr:row>
      <xdr:rowOff>30657</xdr:rowOff>
    </xdr:from>
    <xdr:to>
      <xdr:col>17</xdr:col>
      <xdr:colOff>230568</xdr:colOff>
      <xdr:row>19</xdr:row>
      <xdr:rowOff>198184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82853" y="4199796"/>
          <a:ext cx="148197" cy="167527"/>
        </a:xfrm>
        <a:prstGeom prst="rect">
          <a:avLst/>
        </a:prstGeom>
      </xdr:spPr>
    </xdr:pic>
    <xdr:clientData/>
  </xdr:twoCellAnchor>
  <xdr:twoCellAnchor editAs="oneCell">
    <xdr:from>
      <xdr:col>17</xdr:col>
      <xdr:colOff>102732</xdr:colOff>
      <xdr:row>24</xdr:row>
      <xdr:rowOff>42941</xdr:rowOff>
    </xdr:from>
    <xdr:to>
      <xdr:col>17</xdr:col>
      <xdr:colOff>205838</xdr:colOff>
      <xdr:row>24</xdr:row>
      <xdr:rowOff>176979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3214" y="5133351"/>
          <a:ext cx="103106" cy="134038"/>
        </a:xfrm>
        <a:prstGeom prst="rect">
          <a:avLst/>
        </a:prstGeom>
      </xdr:spPr>
    </xdr:pic>
    <xdr:clientData/>
  </xdr:twoCellAnchor>
  <xdr:twoCellAnchor editAs="oneCell">
    <xdr:from>
      <xdr:col>17</xdr:col>
      <xdr:colOff>78075</xdr:colOff>
      <xdr:row>22</xdr:row>
      <xdr:rowOff>47246</xdr:rowOff>
    </xdr:from>
    <xdr:to>
      <xdr:col>17</xdr:col>
      <xdr:colOff>219829</xdr:colOff>
      <xdr:row>22</xdr:row>
      <xdr:rowOff>214773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20754" y="5070550"/>
          <a:ext cx="141754" cy="167527"/>
        </a:xfrm>
        <a:prstGeom prst="rect">
          <a:avLst/>
        </a:prstGeom>
      </xdr:spPr>
    </xdr:pic>
    <xdr:clientData/>
  </xdr:twoCellAnchor>
  <xdr:twoCellAnchor editAs="oneCell">
    <xdr:from>
      <xdr:col>17</xdr:col>
      <xdr:colOff>105319</xdr:colOff>
      <xdr:row>25</xdr:row>
      <xdr:rowOff>29252</xdr:rowOff>
    </xdr:from>
    <xdr:to>
      <xdr:col>17</xdr:col>
      <xdr:colOff>214856</xdr:colOff>
      <xdr:row>25</xdr:row>
      <xdr:rowOff>183892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705801" y="5349979"/>
          <a:ext cx="109537" cy="154640"/>
        </a:xfrm>
        <a:prstGeom prst="rect">
          <a:avLst/>
        </a:prstGeom>
      </xdr:spPr>
    </xdr:pic>
    <xdr:clientData/>
  </xdr:twoCellAnchor>
  <xdr:twoCellAnchor editAs="oneCell">
    <xdr:from>
      <xdr:col>17</xdr:col>
      <xdr:colOff>81119</xdr:colOff>
      <xdr:row>23</xdr:row>
      <xdr:rowOff>23994</xdr:rowOff>
    </xdr:from>
    <xdr:to>
      <xdr:col>17</xdr:col>
      <xdr:colOff>229316</xdr:colOff>
      <xdr:row>23</xdr:row>
      <xdr:rowOff>191521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81601" y="5575039"/>
          <a:ext cx="148197" cy="1675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136068</xdr:colOff>
          <xdr:row>23</xdr:row>
          <xdr:rowOff>11339</xdr:rowOff>
        </xdr:from>
        <xdr:to>
          <xdr:col>15</xdr:col>
          <xdr:colOff>478968</xdr:colOff>
          <xdr:row>24</xdr:row>
          <xdr:rowOff>20864</xdr:rowOff>
        </xdr:to>
        <xdr:pic>
          <xdr:nvPicPr>
            <xdr:cNvPr id="33" name="Picture 32"/>
            <xdr:cNvPicPr>
              <a:picLocks noChangeAspect="1" noChangeArrowheads="1"/>
              <a:extLst>
                <a:ext uri="{84589F7E-364E-4C9E-8A38-B11213B215E9}">
                  <a14:cameraTool cellRange="CardPic" spid="_x0000_s1175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6554104" y="5261428"/>
              <a:ext cx="342900" cy="23631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19050</xdr:colOff>
          <xdr:row>0</xdr:row>
          <xdr:rowOff>228600</xdr:rowOff>
        </xdr:from>
        <xdr:to>
          <xdr:col>37</xdr:col>
          <xdr:colOff>0</xdr:colOff>
          <xdr:row>9</xdr:row>
          <xdr:rowOff>228600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0</xdr:colOff>
          <xdr:row>1</xdr:row>
          <xdr:rowOff>0</xdr:rowOff>
        </xdr:from>
        <xdr:to>
          <xdr:col>35</xdr:col>
          <xdr:colOff>573155</xdr:colOff>
          <xdr:row>9</xdr:row>
          <xdr:rowOff>215446</xdr:rowOff>
        </xdr:to>
        <xdr:pic>
          <xdr:nvPicPr>
            <xdr:cNvPr id="40" name="Picture 39"/>
            <xdr:cNvPicPr>
              <a:picLocks noChangeAspect="1" noChangeArrowheads="1"/>
              <a:extLst>
                <a:ext uri="{84589F7E-364E-4C9E-8A38-B11213B215E9}">
                  <a14:cameraTool cellRange="DeckCardPic" spid="_x0000_s1176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037411" y="238125"/>
              <a:ext cx="1797798" cy="202973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0</xdr:col>
      <xdr:colOff>0</xdr:colOff>
      <xdr:row>56</xdr:row>
      <xdr:rowOff>10708</xdr:rowOff>
    </xdr:from>
    <xdr:to>
      <xdr:col>42</xdr:col>
      <xdr:colOff>440057</xdr:colOff>
      <xdr:row>83</xdr:row>
      <xdr:rowOff>56066</xdr:rowOff>
    </xdr:to>
    <xdr:pic>
      <xdr:nvPicPr>
        <xdr:cNvPr id="42" name="Picture 41" descr="Image result for playing cards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094104"/>
          <a:ext cx="14961189" cy="6353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46</xdr:col>
      <xdr:colOff>113434</xdr:colOff>
      <xdr:row>84</xdr:row>
      <xdr:rowOff>77740</xdr:rowOff>
    </xdr:from>
    <xdr:to>
      <xdr:col>47</xdr:col>
      <xdr:colOff>508236</xdr:colOff>
      <xdr:row>90</xdr:row>
      <xdr:rowOff>67363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7078717" y="19702834"/>
          <a:ext cx="1005840" cy="1391416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77</xdr:row>
      <xdr:rowOff>91746</xdr:rowOff>
    </xdr:from>
    <xdr:to>
      <xdr:col>47</xdr:col>
      <xdr:colOff>508236</xdr:colOff>
      <xdr:row>83</xdr:row>
      <xdr:rowOff>55627</xdr:rowOff>
    </xdr:to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78717" y="18081416"/>
          <a:ext cx="1005840" cy="1365673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70</xdr:row>
      <xdr:rowOff>98946</xdr:rowOff>
    </xdr:from>
    <xdr:to>
      <xdr:col>47</xdr:col>
      <xdr:colOff>508236</xdr:colOff>
      <xdr:row>76</xdr:row>
      <xdr:rowOff>69633</xdr:rowOff>
    </xdr:to>
    <xdr:pic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078717" y="16453191"/>
          <a:ext cx="1005840" cy="1372480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63</xdr:row>
      <xdr:rowOff>81566</xdr:rowOff>
    </xdr:from>
    <xdr:to>
      <xdr:col>47</xdr:col>
      <xdr:colOff>508236</xdr:colOff>
      <xdr:row>69</xdr:row>
      <xdr:rowOff>76833</xdr:rowOff>
    </xdr:to>
    <xdr:pic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078717" y="14800387"/>
          <a:ext cx="1005840" cy="1397059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56</xdr:row>
      <xdr:rowOff>70713</xdr:rowOff>
    </xdr:from>
    <xdr:to>
      <xdr:col>47</xdr:col>
      <xdr:colOff>508236</xdr:colOff>
      <xdr:row>62</xdr:row>
      <xdr:rowOff>59453</xdr:rowOff>
    </xdr:to>
    <xdr:pic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078717" y="13154109"/>
          <a:ext cx="1005840" cy="1390533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49</xdr:row>
      <xdr:rowOff>80549</xdr:rowOff>
    </xdr:from>
    <xdr:to>
      <xdr:col>47</xdr:col>
      <xdr:colOff>508236</xdr:colOff>
      <xdr:row>55</xdr:row>
      <xdr:rowOff>48600</xdr:rowOff>
    </xdr:to>
    <xdr:pic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078717" y="11528521"/>
          <a:ext cx="1005840" cy="1369843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42</xdr:row>
      <xdr:rowOff>97086</xdr:rowOff>
    </xdr:from>
    <xdr:to>
      <xdr:col>47</xdr:col>
      <xdr:colOff>508236</xdr:colOff>
      <xdr:row>48</xdr:row>
      <xdr:rowOff>58436</xdr:rowOff>
    </xdr:to>
    <xdr:pic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078717" y="9909633"/>
          <a:ext cx="1005840" cy="1363143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35</xdr:row>
      <xdr:rowOff>91009</xdr:rowOff>
    </xdr:from>
    <xdr:to>
      <xdr:col>47</xdr:col>
      <xdr:colOff>508236</xdr:colOff>
      <xdr:row>41</xdr:row>
      <xdr:rowOff>74973</xdr:rowOff>
    </xdr:to>
    <xdr:pic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078717" y="8268132"/>
          <a:ext cx="1005840" cy="1385756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28</xdr:row>
      <xdr:rowOff>94554</xdr:rowOff>
    </xdr:from>
    <xdr:to>
      <xdr:col>47</xdr:col>
      <xdr:colOff>508236</xdr:colOff>
      <xdr:row>34</xdr:row>
      <xdr:rowOff>68896</xdr:rowOff>
    </xdr:to>
    <xdr:pic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078717" y="6636252"/>
          <a:ext cx="1005840" cy="1376135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21</xdr:row>
      <xdr:rowOff>79759</xdr:rowOff>
    </xdr:from>
    <xdr:to>
      <xdr:col>47</xdr:col>
      <xdr:colOff>508236</xdr:colOff>
      <xdr:row>27</xdr:row>
      <xdr:rowOff>72441</xdr:rowOff>
    </xdr:to>
    <xdr:pic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078717" y="4986033"/>
          <a:ext cx="1005840" cy="1394474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14</xdr:row>
      <xdr:rowOff>81778</xdr:rowOff>
    </xdr:from>
    <xdr:to>
      <xdr:col>47</xdr:col>
      <xdr:colOff>508236</xdr:colOff>
      <xdr:row>20</xdr:row>
      <xdr:rowOff>57646</xdr:rowOff>
    </xdr:to>
    <xdr:pic>
      <xdr:nvPicPr>
        <xdr:cNvPr id="50" name="Picture 49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7078717" y="3352627"/>
          <a:ext cx="1005840" cy="1377661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7</xdr:row>
      <xdr:rowOff>72939</xdr:rowOff>
    </xdr:from>
    <xdr:to>
      <xdr:col>47</xdr:col>
      <xdr:colOff>508236</xdr:colOff>
      <xdr:row>13</xdr:row>
      <xdr:rowOff>59665</xdr:rowOff>
    </xdr:to>
    <xdr:pic>
      <xdr:nvPicPr>
        <xdr:cNvPr id="51" name="Picture 50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7078717" y="1708364"/>
          <a:ext cx="1005840" cy="1388518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0</xdr:row>
      <xdr:rowOff>113393</xdr:rowOff>
    </xdr:from>
    <xdr:to>
      <xdr:col>47</xdr:col>
      <xdr:colOff>508236</xdr:colOff>
      <xdr:row>6</xdr:row>
      <xdr:rowOff>50827</xdr:rowOff>
    </xdr:to>
    <xdr:pic>
      <xdr:nvPicPr>
        <xdr:cNvPr id="52" name="Picture 51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078717" y="113393"/>
          <a:ext cx="1005840" cy="1339226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91</xdr:row>
      <xdr:rowOff>89476</xdr:rowOff>
    </xdr:from>
    <xdr:to>
      <xdr:col>47</xdr:col>
      <xdr:colOff>508236</xdr:colOff>
      <xdr:row>97</xdr:row>
      <xdr:rowOff>38833</xdr:rowOff>
    </xdr:to>
    <xdr:pic>
      <xdr:nvPicPr>
        <xdr:cNvPr id="53" name="Picture 52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7078717" y="21349995"/>
          <a:ext cx="1005840" cy="1351149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98</xdr:row>
      <xdr:rowOff>60946</xdr:rowOff>
    </xdr:from>
    <xdr:to>
      <xdr:col>47</xdr:col>
      <xdr:colOff>508236</xdr:colOff>
      <xdr:row>104</xdr:row>
      <xdr:rowOff>40103</xdr:rowOff>
    </xdr:to>
    <xdr:pic>
      <xdr:nvPicPr>
        <xdr:cNvPr id="54" name="Picture 53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078717" y="22956889"/>
          <a:ext cx="1005840" cy="1380950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105</xdr:row>
      <xdr:rowOff>62216</xdr:rowOff>
    </xdr:from>
    <xdr:to>
      <xdr:col>47</xdr:col>
      <xdr:colOff>508236</xdr:colOff>
      <xdr:row>111</xdr:row>
      <xdr:rowOff>34852</xdr:rowOff>
    </xdr:to>
    <xdr:pic>
      <xdr:nvPicPr>
        <xdr:cNvPr id="55" name="Picture 54"/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7078717" y="24593584"/>
          <a:ext cx="1005840" cy="1374428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112</xdr:row>
      <xdr:rowOff>56965</xdr:rowOff>
    </xdr:from>
    <xdr:to>
      <xdr:col>47</xdr:col>
      <xdr:colOff>508236</xdr:colOff>
      <xdr:row>118</xdr:row>
      <xdr:rowOff>42810</xdr:rowOff>
    </xdr:to>
    <xdr:pic>
      <xdr:nvPicPr>
        <xdr:cNvPr id="56" name="Picture 55"/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7078717" y="26223757"/>
          <a:ext cx="1005840" cy="1387638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119</xdr:row>
      <xdr:rowOff>64923</xdr:rowOff>
    </xdr:from>
    <xdr:to>
      <xdr:col>47</xdr:col>
      <xdr:colOff>508236</xdr:colOff>
      <xdr:row>125</xdr:row>
      <xdr:rowOff>54653</xdr:rowOff>
    </xdr:to>
    <xdr:pic>
      <xdr:nvPicPr>
        <xdr:cNvPr id="57" name="Picture 56"/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7078717" y="27867140"/>
          <a:ext cx="1005840" cy="1391522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126</xdr:row>
      <xdr:rowOff>76765</xdr:rowOff>
    </xdr:from>
    <xdr:to>
      <xdr:col>47</xdr:col>
      <xdr:colOff>508236</xdr:colOff>
      <xdr:row>132</xdr:row>
      <xdr:rowOff>80122</xdr:rowOff>
    </xdr:to>
    <xdr:pic>
      <xdr:nvPicPr>
        <xdr:cNvPr id="58" name="Picture 57"/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7078717" y="29514407"/>
          <a:ext cx="1005840" cy="1405149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133</xdr:row>
      <xdr:rowOff>102235</xdr:rowOff>
    </xdr:from>
    <xdr:to>
      <xdr:col>47</xdr:col>
      <xdr:colOff>508236</xdr:colOff>
      <xdr:row>139</xdr:row>
      <xdr:rowOff>81890</xdr:rowOff>
    </xdr:to>
    <xdr:pic>
      <xdr:nvPicPr>
        <xdr:cNvPr id="60" name="Picture 59"/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7078717" y="31175301"/>
          <a:ext cx="1005840" cy="1381447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140</xdr:row>
      <xdr:rowOff>104002</xdr:rowOff>
    </xdr:from>
    <xdr:to>
      <xdr:col>47</xdr:col>
      <xdr:colOff>508236</xdr:colOff>
      <xdr:row>146</xdr:row>
      <xdr:rowOff>45523</xdr:rowOff>
    </xdr:to>
    <xdr:pic>
      <xdr:nvPicPr>
        <xdr:cNvPr id="61" name="Picture 60"/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7078717" y="32812493"/>
          <a:ext cx="1005840" cy="1343313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147</xdr:row>
      <xdr:rowOff>67636</xdr:rowOff>
    </xdr:from>
    <xdr:to>
      <xdr:col>47</xdr:col>
      <xdr:colOff>508236</xdr:colOff>
      <xdr:row>153</xdr:row>
      <xdr:rowOff>42426</xdr:rowOff>
    </xdr:to>
    <xdr:pic>
      <xdr:nvPicPr>
        <xdr:cNvPr id="62" name="Picture 61"/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7078717" y="34411551"/>
          <a:ext cx="1005840" cy="1376583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154</xdr:row>
      <xdr:rowOff>64539</xdr:rowOff>
    </xdr:from>
    <xdr:to>
      <xdr:col>47</xdr:col>
      <xdr:colOff>508236</xdr:colOff>
      <xdr:row>160</xdr:row>
      <xdr:rowOff>49882</xdr:rowOff>
    </xdr:to>
    <xdr:pic>
      <xdr:nvPicPr>
        <xdr:cNvPr id="63" name="Picture 62"/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78717" y="36043879"/>
          <a:ext cx="1005840" cy="1387135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161</xdr:row>
      <xdr:rowOff>71995</xdr:rowOff>
    </xdr:from>
    <xdr:to>
      <xdr:col>47</xdr:col>
      <xdr:colOff>508236</xdr:colOff>
      <xdr:row>167</xdr:row>
      <xdr:rowOff>54020</xdr:rowOff>
    </xdr:to>
    <xdr:pic>
      <xdr:nvPicPr>
        <xdr:cNvPr id="1024" name="Picture 1023"/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78717" y="37686759"/>
          <a:ext cx="1005840" cy="1383818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168</xdr:row>
      <xdr:rowOff>76133</xdr:rowOff>
    </xdr:from>
    <xdr:to>
      <xdr:col>47</xdr:col>
      <xdr:colOff>508236</xdr:colOff>
      <xdr:row>174</xdr:row>
      <xdr:rowOff>61979</xdr:rowOff>
    </xdr:to>
    <xdr:pic>
      <xdr:nvPicPr>
        <xdr:cNvPr id="1027" name="Picture 1026"/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78717" y="39326322"/>
          <a:ext cx="1005840" cy="1387638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175</xdr:row>
      <xdr:rowOff>84092</xdr:rowOff>
    </xdr:from>
    <xdr:to>
      <xdr:col>47</xdr:col>
      <xdr:colOff>508236</xdr:colOff>
      <xdr:row>181</xdr:row>
      <xdr:rowOff>50491</xdr:rowOff>
    </xdr:to>
    <xdr:pic>
      <xdr:nvPicPr>
        <xdr:cNvPr id="1028" name="Picture 1027"/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7078717" y="40969705"/>
          <a:ext cx="1005840" cy="1368192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182</xdr:row>
      <xdr:rowOff>72604</xdr:rowOff>
    </xdr:from>
    <xdr:to>
      <xdr:col>47</xdr:col>
      <xdr:colOff>508236</xdr:colOff>
      <xdr:row>188</xdr:row>
      <xdr:rowOff>41595</xdr:rowOff>
    </xdr:to>
    <xdr:pic>
      <xdr:nvPicPr>
        <xdr:cNvPr id="1029" name="Picture 1028"/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7078717" y="42593642"/>
          <a:ext cx="1005840" cy="1370783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189</xdr:row>
      <xdr:rowOff>63708</xdr:rowOff>
    </xdr:from>
    <xdr:to>
      <xdr:col>47</xdr:col>
      <xdr:colOff>508236</xdr:colOff>
      <xdr:row>195</xdr:row>
      <xdr:rowOff>52448</xdr:rowOff>
    </xdr:to>
    <xdr:pic>
      <xdr:nvPicPr>
        <xdr:cNvPr id="1030" name="Picture 1029"/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7078717" y="44220170"/>
          <a:ext cx="1005840" cy="1390533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196</xdr:row>
      <xdr:rowOff>74561</xdr:rowOff>
    </xdr:from>
    <xdr:to>
      <xdr:col>47</xdr:col>
      <xdr:colOff>508236</xdr:colOff>
      <xdr:row>202</xdr:row>
      <xdr:rowOff>46274</xdr:rowOff>
    </xdr:to>
    <xdr:pic>
      <xdr:nvPicPr>
        <xdr:cNvPr id="1031" name="Picture 1030"/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17078717" y="45866448"/>
          <a:ext cx="1005840" cy="1373505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203</xdr:row>
      <xdr:rowOff>68387</xdr:rowOff>
    </xdr:from>
    <xdr:to>
      <xdr:col>47</xdr:col>
      <xdr:colOff>508236</xdr:colOff>
      <xdr:row>209</xdr:row>
      <xdr:rowOff>54839</xdr:rowOff>
    </xdr:to>
    <xdr:pic>
      <xdr:nvPicPr>
        <xdr:cNvPr id="1032" name="Picture 1031"/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7078717" y="47495698"/>
          <a:ext cx="1005840" cy="1388245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210</xdr:row>
      <xdr:rowOff>76952</xdr:rowOff>
    </xdr:from>
    <xdr:to>
      <xdr:col>47</xdr:col>
      <xdr:colOff>508236</xdr:colOff>
      <xdr:row>216</xdr:row>
      <xdr:rowOff>95916</xdr:rowOff>
    </xdr:to>
    <xdr:pic>
      <xdr:nvPicPr>
        <xdr:cNvPr id="1033" name="Picture 1032"/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17078717" y="49139688"/>
          <a:ext cx="1005840" cy="1420756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217</xdr:row>
      <xdr:rowOff>118029</xdr:rowOff>
    </xdr:from>
    <xdr:to>
      <xdr:col>47</xdr:col>
      <xdr:colOff>508236</xdr:colOff>
      <xdr:row>223</xdr:row>
      <xdr:rowOff>114336</xdr:rowOff>
    </xdr:to>
    <xdr:pic>
      <xdr:nvPicPr>
        <xdr:cNvPr id="1034" name="Picture 1033"/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17078717" y="50816189"/>
          <a:ext cx="1005840" cy="1398100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224</xdr:row>
      <xdr:rowOff>136449</xdr:rowOff>
    </xdr:from>
    <xdr:to>
      <xdr:col>47</xdr:col>
      <xdr:colOff>508236</xdr:colOff>
      <xdr:row>230</xdr:row>
      <xdr:rowOff>146319</xdr:rowOff>
    </xdr:to>
    <xdr:pic>
      <xdr:nvPicPr>
        <xdr:cNvPr id="1035" name="Picture 1034"/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17078717" y="52470034"/>
          <a:ext cx="1005840" cy="1411662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231</xdr:row>
      <xdr:rowOff>168432</xdr:rowOff>
    </xdr:from>
    <xdr:to>
      <xdr:col>47</xdr:col>
      <xdr:colOff>508236</xdr:colOff>
      <xdr:row>237</xdr:row>
      <xdr:rowOff>141253</xdr:rowOff>
    </xdr:to>
    <xdr:pic>
      <xdr:nvPicPr>
        <xdr:cNvPr id="1036" name="Picture 1035"/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17078717" y="54137441"/>
          <a:ext cx="1005840" cy="1374614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238</xdr:row>
      <xdr:rowOff>163366</xdr:rowOff>
    </xdr:from>
    <xdr:to>
      <xdr:col>47</xdr:col>
      <xdr:colOff>508236</xdr:colOff>
      <xdr:row>244</xdr:row>
      <xdr:rowOff>145891</xdr:rowOff>
    </xdr:to>
    <xdr:pic>
      <xdr:nvPicPr>
        <xdr:cNvPr id="1037" name="Picture 1036"/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7078717" y="55767800"/>
          <a:ext cx="1005840" cy="1384317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245</xdr:row>
      <xdr:rowOff>168004</xdr:rowOff>
    </xdr:from>
    <xdr:to>
      <xdr:col>47</xdr:col>
      <xdr:colOff>508236</xdr:colOff>
      <xdr:row>251</xdr:row>
      <xdr:rowOff>152885</xdr:rowOff>
    </xdr:to>
    <xdr:pic>
      <xdr:nvPicPr>
        <xdr:cNvPr id="1039" name="Picture 1038"/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17078717" y="57407862"/>
          <a:ext cx="1005840" cy="1386674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252</xdr:row>
      <xdr:rowOff>174998</xdr:rowOff>
    </xdr:from>
    <xdr:to>
      <xdr:col>47</xdr:col>
      <xdr:colOff>508236</xdr:colOff>
      <xdr:row>258</xdr:row>
      <xdr:rowOff>174309</xdr:rowOff>
    </xdr:to>
    <xdr:pic>
      <xdr:nvPicPr>
        <xdr:cNvPr id="1040" name="Picture 1039"/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17078717" y="59050281"/>
          <a:ext cx="1005840" cy="1401103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259</xdr:row>
      <xdr:rowOff>196421</xdr:rowOff>
    </xdr:from>
    <xdr:to>
      <xdr:col>47</xdr:col>
      <xdr:colOff>508236</xdr:colOff>
      <xdr:row>265</xdr:row>
      <xdr:rowOff>205685</xdr:rowOff>
    </xdr:to>
    <xdr:pic>
      <xdr:nvPicPr>
        <xdr:cNvPr id="1041" name="Picture 1040"/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7078717" y="60707129"/>
          <a:ext cx="1005840" cy="1411056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266</xdr:row>
      <xdr:rowOff>227798</xdr:rowOff>
    </xdr:from>
    <xdr:to>
      <xdr:col>47</xdr:col>
      <xdr:colOff>508236</xdr:colOff>
      <xdr:row>272</xdr:row>
      <xdr:rowOff>190079</xdr:rowOff>
    </xdr:to>
    <xdr:pic>
      <xdr:nvPicPr>
        <xdr:cNvPr id="1042" name="Picture 1041"/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17078717" y="62373930"/>
          <a:ext cx="1005840" cy="1364074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273</xdr:row>
      <xdr:rowOff>212192</xdr:rowOff>
    </xdr:from>
    <xdr:to>
      <xdr:col>47</xdr:col>
      <xdr:colOff>508236</xdr:colOff>
      <xdr:row>279</xdr:row>
      <xdr:rowOff>157472</xdr:rowOff>
    </xdr:to>
    <xdr:pic>
      <xdr:nvPicPr>
        <xdr:cNvPr id="1043" name="Picture 1042"/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17078717" y="63993749"/>
          <a:ext cx="1005840" cy="1347072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280</xdr:row>
      <xdr:rowOff>179585</xdr:rowOff>
    </xdr:from>
    <xdr:to>
      <xdr:col>47</xdr:col>
      <xdr:colOff>508236</xdr:colOff>
      <xdr:row>286</xdr:row>
      <xdr:rowOff>175404</xdr:rowOff>
    </xdr:to>
    <xdr:pic>
      <xdr:nvPicPr>
        <xdr:cNvPr id="1044" name="Picture 1043"/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17078717" y="65596566"/>
          <a:ext cx="1005840" cy="1397612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287</xdr:row>
      <xdr:rowOff>197517</xdr:rowOff>
    </xdr:from>
    <xdr:to>
      <xdr:col>47</xdr:col>
      <xdr:colOff>508236</xdr:colOff>
      <xdr:row>293</xdr:row>
      <xdr:rowOff>147251</xdr:rowOff>
    </xdr:to>
    <xdr:pic>
      <xdr:nvPicPr>
        <xdr:cNvPr id="1045" name="Picture 1044"/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17078717" y="67249923"/>
          <a:ext cx="1005840" cy="1351526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294</xdr:row>
      <xdr:rowOff>169364</xdr:rowOff>
    </xdr:from>
    <xdr:to>
      <xdr:col>47</xdr:col>
      <xdr:colOff>508236</xdr:colOff>
      <xdr:row>300</xdr:row>
      <xdr:rowOff>109023</xdr:rowOff>
    </xdr:to>
    <xdr:pic>
      <xdr:nvPicPr>
        <xdr:cNvPr id="1046" name="Picture 1045"/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17078717" y="68857194"/>
          <a:ext cx="1005840" cy="1341452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301</xdr:row>
      <xdr:rowOff>131136</xdr:rowOff>
    </xdr:from>
    <xdr:to>
      <xdr:col>47</xdr:col>
      <xdr:colOff>508236</xdr:colOff>
      <xdr:row>307</xdr:row>
      <xdr:rowOff>73365</xdr:rowOff>
    </xdr:to>
    <xdr:pic>
      <xdr:nvPicPr>
        <xdr:cNvPr id="1047" name="Picture 1046"/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7078717" y="70454391"/>
          <a:ext cx="1005840" cy="1344021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308</xdr:row>
      <xdr:rowOff>95478</xdr:rowOff>
    </xdr:from>
    <xdr:to>
      <xdr:col>47</xdr:col>
      <xdr:colOff>508236</xdr:colOff>
      <xdr:row>314</xdr:row>
      <xdr:rowOff>47897</xdr:rowOff>
    </xdr:to>
    <xdr:pic>
      <xdr:nvPicPr>
        <xdr:cNvPr id="1048" name="Picture 1047"/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7078717" y="72054157"/>
          <a:ext cx="1005840" cy="1354212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315</xdr:row>
      <xdr:rowOff>70010</xdr:rowOff>
    </xdr:from>
    <xdr:to>
      <xdr:col>47</xdr:col>
      <xdr:colOff>508236</xdr:colOff>
      <xdr:row>321</xdr:row>
      <xdr:rowOff>74399</xdr:rowOff>
    </xdr:to>
    <xdr:pic>
      <xdr:nvPicPr>
        <xdr:cNvPr id="1049" name="Picture 1048"/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7078717" y="73664114"/>
          <a:ext cx="1005840" cy="1406181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322</xdr:row>
      <xdr:rowOff>96512</xdr:rowOff>
    </xdr:from>
    <xdr:to>
      <xdr:col>47</xdr:col>
      <xdr:colOff>508236</xdr:colOff>
      <xdr:row>328</xdr:row>
      <xdr:rowOff>59785</xdr:rowOff>
    </xdr:to>
    <xdr:pic>
      <xdr:nvPicPr>
        <xdr:cNvPr id="1050" name="Picture 1049"/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7078717" y="75326040"/>
          <a:ext cx="1005840" cy="1365066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329</xdr:row>
      <xdr:rowOff>81898</xdr:rowOff>
    </xdr:from>
    <xdr:to>
      <xdr:col>47</xdr:col>
      <xdr:colOff>508236</xdr:colOff>
      <xdr:row>335</xdr:row>
      <xdr:rowOff>54062</xdr:rowOff>
    </xdr:to>
    <xdr:pic>
      <xdr:nvPicPr>
        <xdr:cNvPr id="1051" name="Picture 1050"/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7078717" y="76946851"/>
          <a:ext cx="1005840" cy="1373956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336</xdr:row>
      <xdr:rowOff>76175</xdr:rowOff>
    </xdr:from>
    <xdr:to>
      <xdr:col>47</xdr:col>
      <xdr:colOff>508236</xdr:colOff>
      <xdr:row>342</xdr:row>
      <xdr:rowOff>81637</xdr:rowOff>
    </xdr:to>
    <xdr:pic>
      <xdr:nvPicPr>
        <xdr:cNvPr id="1052" name="Picture 1051"/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7078717" y="78576552"/>
          <a:ext cx="1005840" cy="1407255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343</xdr:row>
      <xdr:rowOff>103750</xdr:rowOff>
    </xdr:from>
    <xdr:to>
      <xdr:col>47</xdr:col>
      <xdr:colOff>508236</xdr:colOff>
      <xdr:row>349</xdr:row>
      <xdr:rowOff>87151</xdr:rowOff>
    </xdr:to>
    <xdr:pic>
      <xdr:nvPicPr>
        <xdr:cNvPr id="1053" name="Picture 1052"/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7078717" y="80239552"/>
          <a:ext cx="1005840" cy="1385193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350</xdr:row>
      <xdr:rowOff>109264</xdr:rowOff>
    </xdr:from>
    <xdr:to>
      <xdr:col>47</xdr:col>
      <xdr:colOff>508236</xdr:colOff>
      <xdr:row>356</xdr:row>
      <xdr:rowOff>91289</xdr:rowOff>
    </xdr:to>
    <xdr:pic>
      <xdr:nvPicPr>
        <xdr:cNvPr id="1054" name="Picture 1053"/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7078717" y="81880490"/>
          <a:ext cx="1005840" cy="1383818"/>
        </a:xfrm>
        <a:prstGeom prst="rect">
          <a:avLst/>
        </a:prstGeom>
      </xdr:spPr>
    </xdr:pic>
    <xdr:clientData/>
  </xdr:twoCellAnchor>
  <xdr:twoCellAnchor editAs="oneCell">
    <xdr:from>
      <xdr:col>46</xdr:col>
      <xdr:colOff>113434</xdr:colOff>
      <xdr:row>357</xdr:row>
      <xdr:rowOff>113391</xdr:rowOff>
    </xdr:from>
    <xdr:to>
      <xdr:col>47</xdr:col>
      <xdr:colOff>508236</xdr:colOff>
      <xdr:row>363</xdr:row>
      <xdr:rowOff>120709</xdr:rowOff>
    </xdr:to>
    <xdr:pic>
      <xdr:nvPicPr>
        <xdr:cNvPr id="1055" name="Picture 1054"/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78717" y="83520042"/>
          <a:ext cx="1005840" cy="1409110"/>
        </a:xfrm>
        <a:prstGeom prst="rect">
          <a:avLst/>
        </a:prstGeom>
      </xdr:spPr>
    </xdr:pic>
    <xdr:clientData/>
  </xdr:twoCellAnchor>
  <xdr:twoCellAnchor editAs="oneCell">
    <xdr:from>
      <xdr:col>37</xdr:col>
      <xdr:colOff>17970</xdr:colOff>
      <xdr:row>41</xdr:row>
      <xdr:rowOff>211946</xdr:rowOff>
    </xdr:from>
    <xdr:to>
      <xdr:col>41</xdr:col>
      <xdr:colOff>377404</xdr:colOff>
      <xdr:row>54</xdr:row>
      <xdr:rowOff>31810</xdr:rowOff>
    </xdr:to>
    <xdr:pic>
      <xdr:nvPicPr>
        <xdr:cNvPr id="97" name="Picture 96" descr="Image result for playing cards"/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3913" y="9790861"/>
          <a:ext cx="2803585" cy="28570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46</xdr:col>
      <xdr:colOff>125804</xdr:colOff>
      <xdr:row>364</xdr:row>
      <xdr:rowOff>197696</xdr:rowOff>
    </xdr:from>
    <xdr:to>
      <xdr:col>47</xdr:col>
      <xdr:colOff>467264</xdr:colOff>
      <xdr:row>370</xdr:row>
      <xdr:rowOff>133293</xdr:rowOff>
    </xdr:to>
    <xdr:pic>
      <xdr:nvPicPr>
        <xdr:cNvPr id="1056" name="Picture 1055"/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91087" y="85239771"/>
          <a:ext cx="952498" cy="133739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13</xdr:row>
          <xdr:rowOff>19050</xdr:rowOff>
        </xdr:from>
        <xdr:to>
          <xdr:col>35</xdr:col>
          <xdr:colOff>600075</xdr:colOff>
          <xdr:row>19</xdr:row>
          <xdr:rowOff>219075</xdr:rowOff>
        </xdr:to>
        <xdr:sp macro="" textlink="">
          <xdr:nvSpPr>
            <xdr:cNvPr id="1076" name="Scroll Bar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0</xdr:colOff>
          <xdr:row>13</xdr:row>
          <xdr:rowOff>0</xdr:rowOff>
        </xdr:from>
        <xdr:to>
          <xdr:col>35</xdr:col>
          <xdr:colOff>9525</xdr:colOff>
          <xdr:row>20</xdr:row>
          <xdr:rowOff>19050</xdr:rowOff>
        </xdr:to>
        <xdr:pic>
          <xdr:nvPicPr>
            <xdr:cNvPr id="101" name="Picture 100"/>
            <xdr:cNvPicPr>
              <a:picLocks noChangeAspect="1" noChangeArrowheads="1"/>
              <a:extLst>
                <a:ext uri="{84589F7E-364E-4C9E-8A38-B11213B215E9}">
                  <a14:cameraTool cellRange="ColorCardPic" spid="_x0000_s1177"/>
                </a:ext>
              </a:extLst>
            </xdr:cNvPicPr>
          </xdr:nvPicPr>
          <xdr:blipFill>
            <a:blip xmlns:r="http://schemas.openxmlformats.org/officeDocument/2006/relationships" r:embed="rId62"/>
            <a:srcRect/>
            <a:stretch>
              <a:fillRect/>
            </a:stretch>
          </xdr:blipFill>
          <xdr:spPr bwMode="auto">
            <a:xfrm>
              <a:off x="9067800" y="3000375"/>
              <a:ext cx="1228725" cy="1619250"/>
            </a:xfrm>
            <a:prstGeom prst="rect">
              <a:avLst/>
            </a:prstGeom>
            <a:solidFill>
              <a:srgbClr val="0C6A0E"/>
            </a:solidFill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X385"/>
  <sheetViews>
    <sheetView tabSelected="1" zoomScale="84" zoomScaleNormal="84" workbookViewId="0">
      <selection activeCell="W20" sqref="W20"/>
    </sheetView>
  </sheetViews>
  <sheetFormatPr defaultRowHeight="18" x14ac:dyDescent="0.25"/>
  <cols>
    <col min="1" max="2" width="3" bestFit="1" customWidth="1"/>
    <col min="3" max="3" width="4.28515625" style="20" bestFit="1" customWidth="1"/>
    <col min="4" max="4" width="2.85546875" bestFit="1" customWidth="1"/>
    <col min="5" max="5" width="3" bestFit="1" customWidth="1"/>
    <col min="6" max="6" width="2.28515625" bestFit="1" customWidth="1"/>
    <col min="7" max="7" width="4.28515625" bestFit="1" customWidth="1"/>
    <col min="9" max="12" width="2.28515625" customWidth="1"/>
    <col min="13" max="13" width="2" customWidth="1"/>
    <col min="18" max="18" width="5" customWidth="1"/>
    <col min="19" max="28" width="4.28515625" bestFit="1" customWidth="1"/>
    <col min="29" max="33" width="1.7109375" customWidth="1"/>
  </cols>
  <sheetData>
    <row r="1" spans="1:50" ht="18.75" thickBot="1" x14ac:dyDescent="0.3">
      <c r="A1">
        <v>1</v>
      </c>
      <c r="B1" t="s">
        <v>0</v>
      </c>
      <c r="C1" s="20" t="s">
        <v>1</v>
      </c>
      <c r="D1" t="s">
        <v>1</v>
      </c>
      <c r="E1">
        <v>1</v>
      </c>
      <c r="F1" t="s">
        <v>0</v>
      </c>
      <c r="G1" t="str">
        <f>CONCATENATE(F1,E1)</f>
        <v>A1</v>
      </c>
      <c r="H1" t="str">
        <f>IF(F1="A","Spade",IF(F1="B","Heart",IF(F1="C","Club",IF(F1="D","Diamond",""))))</f>
        <v>Spade</v>
      </c>
      <c r="S1" s="35" t="s">
        <v>62</v>
      </c>
      <c r="T1" s="35"/>
      <c r="U1" s="35"/>
      <c r="V1" s="35"/>
      <c r="W1" s="35"/>
      <c r="X1" s="35"/>
      <c r="Y1" s="35"/>
      <c r="Z1" s="35"/>
      <c r="AA1" s="35"/>
      <c r="AB1" s="35"/>
      <c r="AS1" s="21">
        <v>1</v>
      </c>
      <c r="AT1" s="21" t="s">
        <v>2</v>
      </c>
      <c r="AU1" s="21"/>
      <c r="AV1" s="21"/>
      <c r="AW1" s="21" t="s">
        <v>39</v>
      </c>
      <c r="AX1" s="21">
        <v>13</v>
      </c>
    </row>
    <row r="2" spans="1:50" x14ac:dyDescent="0.25">
      <c r="A2">
        <v>2</v>
      </c>
      <c r="B2" t="s">
        <v>2</v>
      </c>
      <c r="C2" s="20" t="s">
        <v>3</v>
      </c>
      <c r="D2" t="s">
        <v>3</v>
      </c>
      <c r="E2">
        <v>13</v>
      </c>
      <c r="F2" t="s">
        <v>0</v>
      </c>
      <c r="G2" t="str">
        <f t="shared" ref="G2:G52" si="0">CONCATENATE(F2,E2)</f>
        <v>A13</v>
      </c>
      <c r="H2" t="str">
        <f t="shared" ref="H2:H52" si="1">IF(F2="A","Spade",IF(F2="B","Heart",IF(F2="C","Club",IF(F2="D","Diamond",""))))</f>
        <v>Spade</v>
      </c>
      <c r="O2" s="22" t="str">
        <f>INDEX(S2:AB13,R13,S14)</f>
        <v>g</v>
      </c>
      <c r="P2" s="23"/>
      <c r="Q2" s="24"/>
      <c r="R2" s="19" t="str">
        <f>IF(R13&lt;7,INDEX(S2:AB13,R13,S14),"?")</f>
        <v>g</v>
      </c>
      <c r="S2" s="2" t="s">
        <v>4</v>
      </c>
      <c r="T2" s="3" t="s">
        <v>5</v>
      </c>
      <c r="U2" s="3" t="s">
        <v>6</v>
      </c>
      <c r="V2" s="3" t="s">
        <v>7</v>
      </c>
      <c r="W2" s="3" t="s">
        <v>8</v>
      </c>
      <c r="X2" s="3" t="s">
        <v>9</v>
      </c>
      <c r="Y2" s="3" t="s">
        <v>10</v>
      </c>
      <c r="Z2" s="3" t="s">
        <v>11</v>
      </c>
      <c r="AA2" s="3" t="s">
        <v>12</v>
      </c>
      <c r="AB2" s="4" t="s">
        <v>13</v>
      </c>
      <c r="AH2" s="21"/>
      <c r="AI2" s="21"/>
      <c r="AJ2" s="21"/>
      <c r="AK2">
        <v>32</v>
      </c>
      <c r="AL2">
        <f>AK2</f>
        <v>32</v>
      </c>
      <c r="AS2" s="21"/>
      <c r="AT2" s="21"/>
      <c r="AU2" s="21"/>
      <c r="AV2" s="21"/>
      <c r="AW2" s="21"/>
      <c r="AX2" s="21"/>
    </row>
    <row r="3" spans="1:50" x14ac:dyDescent="0.25">
      <c r="A3">
        <v>3</v>
      </c>
      <c r="B3" t="s">
        <v>14</v>
      </c>
      <c r="C3" s="20" t="s">
        <v>15</v>
      </c>
      <c r="D3" t="s">
        <v>15</v>
      </c>
      <c r="E3">
        <v>12</v>
      </c>
      <c r="F3" t="s">
        <v>0</v>
      </c>
      <c r="G3" t="str">
        <f t="shared" si="0"/>
        <v>A12</v>
      </c>
      <c r="H3" t="str">
        <f t="shared" si="1"/>
        <v>Spade</v>
      </c>
      <c r="O3" s="25"/>
      <c r="P3" s="26"/>
      <c r="Q3" s="27"/>
      <c r="R3" s="1" t="str">
        <f>IF(R13&gt;5,INDEX(S2:AB13,R13,S14),"?")</f>
        <v>?</v>
      </c>
      <c r="S3" s="8" t="s">
        <v>4</v>
      </c>
      <c r="T3" s="9" t="s">
        <v>5</v>
      </c>
      <c r="U3" s="9" t="s">
        <v>6</v>
      </c>
      <c r="V3" s="9" t="s">
        <v>7</v>
      </c>
      <c r="W3" s="9" t="s">
        <v>8</v>
      </c>
      <c r="X3" s="9" t="s">
        <v>9</v>
      </c>
      <c r="Y3" s="9" t="s">
        <v>10</v>
      </c>
      <c r="Z3" s="9" t="s">
        <v>11</v>
      </c>
      <c r="AA3" s="9" t="s">
        <v>12</v>
      </c>
      <c r="AB3" s="10" t="s">
        <v>13</v>
      </c>
      <c r="AH3" s="21"/>
      <c r="AI3" s="21"/>
      <c r="AJ3" s="21"/>
      <c r="AS3" s="21"/>
      <c r="AT3" s="21"/>
      <c r="AU3" s="21"/>
      <c r="AV3" s="21"/>
      <c r="AW3" s="21"/>
      <c r="AX3" s="21"/>
    </row>
    <row r="4" spans="1:50" x14ac:dyDescent="0.25">
      <c r="A4">
        <v>4</v>
      </c>
      <c r="B4" t="s">
        <v>16</v>
      </c>
      <c r="C4" s="20" t="s">
        <v>17</v>
      </c>
      <c r="D4" t="s">
        <v>17</v>
      </c>
      <c r="E4">
        <v>11</v>
      </c>
      <c r="F4" t="s">
        <v>0</v>
      </c>
      <c r="G4" t="str">
        <f t="shared" si="0"/>
        <v>A11</v>
      </c>
      <c r="H4" t="str">
        <f t="shared" si="1"/>
        <v>Spade</v>
      </c>
      <c r="O4" s="25"/>
      <c r="P4" s="26"/>
      <c r="Q4" s="27"/>
      <c r="R4" s="1"/>
      <c r="S4" s="5" t="s">
        <v>1</v>
      </c>
      <c r="T4" s="6" t="s">
        <v>18</v>
      </c>
      <c r="U4" s="6" t="s">
        <v>19</v>
      </c>
      <c r="V4" s="6" t="s">
        <v>20</v>
      </c>
      <c r="W4" s="6" t="s">
        <v>21</v>
      </c>
      <c r="X4" s="6" t="s">
        <v>22</v>
      </c>
      <c r="Y4" s="6" t="s">
        <v>23</v>
      </c>
      <c r="Z4" s="6" t="s">
        <v>17</v>
      </c>
      <c r="AA4" s="6" t="s">
        <v>15</v>
      </c>
      <c r="AB4" s="7"/>
      <c r="AH4" s="21"/>
      <c r="AI4" s="21"/>
      <c r="AJ4" s="21"/>
      <c r="AS4" s="21"/>
      <c r="AT4" s="21"/>
      <c r="AU4" s="21"/>
      <c r="AV4" s="21"/>
      <c r="AW4" s="21"/>
      <c r="AX4" s="21"/>
    </row>
    <row r="5" spans="1:50" x14ac:dyDescent="0.25">
      <c r="A5">
        <v>5</v>
      </c>
      <c r="B5">
        <v>10</v>
      </c>
      <c r="C5" s="20" t="s">
        <v>23</v>
      </c>
      <c r="D5" t="s">
        <v>23</v>
      </c>
      <c r="E5">
        <v>10</v>
      </c>
      <c r="F5" t="s">
        <v>0</v>
      </c>
      <c r="G5" t="str">
        <f t="shared" si="0"/>
        <v>A10</v>
      </c>
      <c r="H5" t="str">
        <f t="shared" si="1"/>
        <v>Spade</v>
      </c>
      <c r="O5" s="25"/>
      <c r="P5" s="26"/>
      <c r="Q5" s="27"/>
      <c r="R5" s="1"/>
      <c r="S5" s="8" t="s">
        <v>1</v>
      </c>
      <c r="T5" s="9" t="s">
        <v>18</v>
      </c>
      <c r="U5" s="9" t="s">
        <v>19</v>
      </c>
      <c r="V5" s="9" t="s">
        <v>20</v>
      </c>
      <c r="W5" s="9" t="s">
        <v>21</v>
      </c>
      <c r="X5" s="9" t="s">
        <v>22</v>
      </c>
      <c r="Y5" s="9" t="s">
        <v>23</v>
      </c>
      <c r="Z5" s="9" t="s">
        <v>17</v>
      </c>
      <c r="AA5" s="9" t="s">
        <v>15</v>
      </c>
      <c r="AB5" s="10"/>
      <c r="AH5" s="21"/>
      <c r="AI5" s="21"/>
      <c r="AJ5" s="21"/>
      <c r="AS5" s="21"/>
      <c r="AT5" s="21"/>
      <c r="AU5" s="21"/>
      <c r="AV5" s="21"/>
      <c r="AW5" s="21"/>
      <c r="AX5" s="21"/>
    </row>
    <row r="6" spans="1:50" x14ac:dyDescent="0.25">
      <c r="A6">
        <v>6</v>
      </c>
      <c r="B6">
        <v>9</v>
      </c>
      <c r="C6" s="20" t="s">
        <v>11</v>
      </c>
      <c r="D6" t="s">
        <v>11</v>
      </c>
      <c r="E6">
        <v>9</v>
      </c>
      <c r="F6" t="s">
        <v>0</v>
      </c>
      <c r="G6" t="str">
        <f t="shared" si="0"/>
        <v>A9</v>
      </c>
      <c r="H6" t="str">
        <f t="shared" si="1"/>
        <v>Spade</v>
      </c>
      <c r="O6" s="25"/>
      <c r="P6" s="26"/>
      <c r="Q6" s="27"/>
      <c r="R6" s="1"/>
      <c r="S6" s="5" t="s">
        <v>24</v>
      </c>
      <c r="T6" s="6" t="s">
        <v>25</v>
      </c>
      <c r="U6" s="6" t="s">
        <v>26</v>
      </c>
      <c r="V6" s="6" t="s">
        <v>27</v>
      </c>
      <c r="W6" s="6" t="s">
        <v>28</v>
      </c>
      <c r="X6" s="6" t="s">
        <v>29</v>
      </c>
      <c r="Y6" s="6" t="s">
        <v>3</v>
      </c>
      <c r="Z6" s="6"/>
      <c r="AA6" s="6"/>
      <c r="AB6" s="7"/>
      <c r="AH6" s="21"/>
      <c r="AI6" s="21"/>
      <c r="AJ6" s="21"/>
      <c r="AS6" s="21"/>
      <c r="AT6" s="21"/>
      <c r="AU6" s="21"/>
      <c r="AV6" s="21"/>
      <c r="AW6" s="21"/>
      <c r="AX6" s="21"/>
    </row>
    <row r="7" spans="1:50" x14ac:dyDescent="0.25">
      <c r="A7">
        <v>7</v>
      </c>
      <c r="B7">
        <v>8</v>
      </c>
      <c r="C7" s="20" t="s">
        <v>22</v>
      </c>
      <c r="D7" t="s">
        <v>22</v>
      </c>
      <c r="E7">
        <v>8</v>
      </c>
      <c r="F7" t="s">
        <v>0</v>
      </c>
      <c r="G7" t="str">
        <f t="shared" si="0"/>
        <v>A8</v>
      </c>
      <c r="H7" t="str">
        <f t="shared" si="1"/>
        <v>Spade</v>
      </c>
      <c r="O7" s="25"/>
      <c r="P7" s="26"/>
      <c r="Q7" s="27"/>
      <c r="R7" s="1"/>
      <c r="S7" s="8" t="s">
        <v>24</v>
      </c>
      <c r="T7" s="9" t="s">
        <v>25</v>
      </c>
      <c r="U7" s="9" t="s">
        <v>26</v>
      </c>
      <c r="V7" s="9" t="s">
        <v>27</v>
      </c>
      <c r="W7" s="9" t="s">
        <v>28</v>
      </c>
      <c r="X7" s="9" t="s">
        <v>29</v>
      </c>
      <c r="Y7" s="9" t="s">
        <v>3</v>
      </c>
      <c r="Z7" s="9"/>
      <c r="AA7" s="9"/>
      <c r="AB7" s="10"/>
      <c r="AH7" s="21"/>
      <c r="AI7" s="21"/>
      <c r="AJ7" s="21"/>
      <c r="AS7" s="21"/>
      <c r="AT7" s="21"/>
      <c r="AU7" s="21"/>
      <c r="AV7" s="21"/>
      <c r="AW7" s="21"/>
      <c r="AX7" s="21"/>
    </row>
    <row r="8" spans="1:50" x14ac:dyDescent="0.25">
      <c r="A8">
        <v>8</v>
      </c>
      <c r="B8">
        <v>7</v>
      </c>
      <c r="C8" s="20" t="s">
        <v>21</v>
      </c>
      <c r="D8" t="s">
        <v>21</v>
      </c>
      <c r="E8">
        <v>7</v>
      </c>
      <c r="F8" t="s">
        <v>0</v>
      </c>
      <c r="G8" t="str">
        <f t="shared" si="0"/>
        <v>A7</v>
      </c>
      <c r="H8" t="str">
        <f t="shared" si="1"/>
        <v>Spade</v>
      </c>
      <c r="O8" s="25"/>
      <c r="P8" s="26"/>
      <c r="Q8" s="27"/>
      <c r="R8" s="1"/>
      <c r="S8" s="5" t="s">
        <v>14</v>
      </c>
      <c r="T8" s="6" t="s">
        <v>30</v>
      </c>
      <c r="U8" s="6" t="s">
        <v>31</v>
      </c>
      <c r="V8" s="6" t="s">
        <v>32</v>
      </c>
      <c r="W8" s="6" t="s">
        <v>33</v>
      </c>
      <c r="X8" s="6" t="s">
        <v>34</v>
      </c>
      <c r="Y8" s="6" t="s">
        <v>35</v>
      </c>
      <c r="Z8" s="6" t="s">
        <v>36</v>
      </c>
      <c r="AA8" s="6" t="s">
        <v>37</v>
      </c>
      <c r="AB8" s="7" t="s">
        <v>38</v>
      </c>
      <c r="AH8" s="21"/>
      <c r="AI8" s="21"/>
      <c r="AJ8" s="21"/>
      <c r="AS8" s="21">
        <v>2</v>
      </c>
      <c r="AT8" s="21" t="s">
        <v>14</v>
      </c>
      <c r="AU8" s="21"/>
      <c r="AV8" s="21"/>
      <c r="AW8" s="21" t="s">
        <v>39</v>
      </c>
      <c r="AX8" s="21">
        <v>12</v>
      </c>
    </row>
    <row r="9" spans="1:50" x14ac:dyDescent="0.25">
      <c r="A9">
        <v>9</v>
      </c>
      <c r="B9">
        <v>6</v>
      </c>
      <c r="C9" s="20" t="s">
        <v>20</v>
      </c>
      <c r="D9" t="s">
        <v>20</v>
      </c>
      <c r="E9">
        <v>6</v>
      </c>
      <c r="F9" t="s">
        <v>0</v>
      </c>
      <c r="G9" t="str">
        <f t="shared" si="0"/>
        <v>A6</v>
      </c>
      <c r="H9" t="str">
        <f t="shared" si="1"/>
        <v>Spade</v>
      </c>
      <c r="O9" s="25"/>
      <c r="P9" s="26"/>
      <c r="Q9" s="27"/>
      <c r="R9" s="1"/>
      <c r="S9" s="8" t="s">
        <v>14</v>
      </c>
      <c r="T9" s="9" t="s">
        <v>30</v>
      </c>
      <c r="U9" s="9" t="s">
        <v>31</v>
      </c>
      <c r="V9" s="9" t="s">
        <v>32</v>
      </c>
      <c r="W9" s="9" t="s">
        <v>33</v>
      </c>
      <c r="X9" s="9" t="s">
        <v>34</v>
      </c>
      <c r="Y9" s="9" t="s">
        <v>35</v>
      </c>
      <c r="Z9" s="9" t="s">
        <v>36</v>
      </c>
      <c r="AA9" s="9" t="s">
        <v>37</v>
      </c>
      <c r="AB9" s="10" t="s">
        <v>38</v>
      </c>
      <c r="AH9" s="21"/>
      <c r="AI9" s="21"/>
      <c r="AJ9" s="21"/>
      <c r="AS9" s="21"/>
      <c r="AT9" s="21"/>
      <c r="AU9" s="21"/>
      <c r="AV9" s="21"/>
      <c r="AW9" s="21"/>
      <c r="AX9" s="21"/>
    </row>
    <row r="10" spans="1:50" ht="18.75" thickBot="1" x14ac:dyDescent="0.3">
      <c r="A10">
        <v>10</v>
      </c>
      <c r="B10">
        <v>5</v>
      </c>
      <c r="C10" s="20" t="s">
        <v>6</v>
      </c>
      <c r="D10" t="s">
        <v>6</v>
      </c>
      <c r="E10">
        <v>5</v>
      </c>
      <c r="F10" t="s">
        <v>0</v>
      </c>
      <c r="G10" t="str">
        <f t="shared" si="0"/>
        <v>A5</v>
      </c>
      <c r="H10" t="str">
        <f t="shared" si="1"/>
        <v>Spade</v>
      </c>
      <c r="O10" s="28"/>
      <c r="P10" s="29"/>
      <c r="Q10" s="30"/>
      <c r="R10" s="1"/>
      <c r="S10" s="5" t="s">
        <v>0</v>
      </c>
      <c r="T10" s="6" t="s">
        <v>39</v>
      </c>
      <c r="U10" s="6" t="s">
        <v>40</v>
      </c>
      <c r="V10" s="6" t="s">
        <v>41</v>
      </c>
      <c r="W10" s="6" t="s">
        <v>42</v>
      </c>
      <c r="X10" s="6" t="s">
        <v>43</v>
      </c>
      <c r="Y10" s="6" t="s">
        <v>16</v>
      </c>
      <c r="Z10" s="6" t="s">
        <v>2</v>
      </c>
      <c r="AA10" s="6" t="s">
        <v>44</v>
      </c>
      <c r="AB10" s="7"/>
      <c r="AH10" s="21"/>
      <c r="AI10" s="21"/>
      <c r="AJ10" s="21"/>
      <c r="AS10" s="21"/>
      <c r="AT10" s="21"/>
      <c r="AU10" s="21"/>
      <c r="AV10" s="21"/>
      <c r="AW10" s="21"/>
      <c r="AX10" s="21"/>
    </row>
    <row r="11" spans="1:50" x14ac:dyDescent="0.25">
      <c r="A11">
        <v>11</v>
      </c>
      <c r="B11">
        <v>4</v>
      </c>
      <c r="C11" s="20" t="s">
        <v>19</v>
      </c>
      <c r="D11" t="s">
        <v>19</v>
      </c>
      <c r="E11">
        <v>4</v>
      </c>
      <c r="F11" t="s">
        <v>0</v>
      </c>
      <c r="G11" t="str">
        <f t="shared" si="0"/>
        <v>A4</v>
      </c>
      <c r="H11" t="str">
        <f t="shared" si="1"/>
        <v>Spade</v>
      </c>
      <c r="O11" s="31" t="str">
        <f>O2</f>
        <v>g</v>
      </c>
      <c r="P11" s="31"/>
      <c r="Q11" s="32"/>
      <c r="R11" s="14"/>
      <c r="S11" s="8" t="s">
        <v>0</v>
      </c>
      <c r="T11" s="9" t="s">
        <v>39</v>
      </c>
      <c r="U11" s="9" t="s">
        <v>40</v>
      </c>
      <c r="V11" s="9" t="s">
        <v>41</v>
      </c>
      <c r="W11" s="9" t="s">
        <v>42</v>
      </c>
      <c r="X11" s="9" t="s">
        <v>43</v>
      </c>
      <c r="Y11" s="9" t="s">
        <v>16</v>
      </c>
      <c r="Z11" s="9" t="s">
        <v>2</v>
      </c>
      <c r="AA11" s="9" t="s">
        <v>44</v>
      </c>
      <c r="AB11" s="10"/>
      <c r="AS11" s="21"/>
      <c r="AT11" s="21"/>
      <c r="AU11" s="21"/>
      <c r="AV11" s="21"/>
      <c r="AW11" s="21"/>
      <c r="AX11" s="21"/>
    </row>
    <row r="12" spans="1:50" x14ac:dyDescent="0.25">
      <c r="A12">
        <v>12</v>
      </c>
      <c r="B12">
        <v>3</v>
      </c>
      <c r="C12" s="20" t="s">
        <v>26</v>
      </c>
      <c r="D12" t="s">
        <v>26</v>
      </c>
      <c r="E12">
        <v>3</v>
      </c>
      <c r="F12" t="s">
        <v>0</v>
      </c>
      <c r="G12" t="str">
        <f t="shared" si="0"/>
        <v>A3</v>
      </c>
      <c r="H12" t="str">
        <f t="shared" si="1"/>
        <v>Spade</v>
      </c>
      <c r="O12" s="33"/>
      <c r="P12" s="33"/>
      <c r="Q12" s="34"/>
      <c r="R12" s="14"/>
      <c r="S12" s="5" t="s">
        <v>45</v>
      </c>
      <c r="T12" s="6" t="s">
        <v>46</v>
      </c>
      <c r="U12" s="6" t="s">
        <v>47</v>
      </c>
      <c r="V12" s="6" t="s">
        <v>48</v>
      </c>
      <c r="W12" s="6" t="s">
        <v>49</v>
      </c>
      <c r="X12" s="6" t="s">
        <v>50</v>
      </c>
      <c r="Y12" s="6" t="s">
        <v>51</v>
      </c>
      <c r="Z12" s="6"/>
      <c r="AA12" s="6"/>
      <c r="AB12" s="7"/>
      <c r="AS12" s="21"/>
      <c r="AT12" s="21"/>
      <c r="AU12" s="21"/>
      <c r="AV12" s="21"/>
      <c r="AW12" s="21"/>
      <c r="AX12" s="21"/>
    </row>
    <row r="13" spans="1:50" ht="18.75" thickBot="1" x14ac:dyDescent="0.3">
      <c r="A13">
        <v>13</v>
      </c>
      <c r="B13">
        <v>2</v>
      </c>
      <c r="C13" s="20" t="s">
        <v>28</v>
      </c>
      <c r="D13" t="s">
        <v>28</v>
      </c>
      <c r="E13">
        <v>2</v>
      </c>
      <c r="F13" t="s">
        <v>0</v>
      </c>
      <c r="G13" t="str">
        <f t="shared" si="0"/>
        <v>A2</v>
      </c>
      <c r="H13" t="str">
        <f t="shared" si="1"/>
        <v>Spade</v>
      </c>
      <c r="O13" s="33"/>
      <c r="P13" s="33"/>
      <c r="Q13" s="34"/>
      <c r="R13" s="15">
        <v>3</v>
      </c>
      <c r="S13" s="11" t="s">
        <v>45</v>
      </c>
      <c r="T13" s="12" t="s">
        <v>46</v>
      </c>
      <c r="U13" s="12" t="s">
        <v>47</v>
      </c>
      <c r="V13" s="12" t="s">
        <v>48</v>
      </c>
      <c r="W13" s="12" t="s">
        <v>49</v>
      </c>
      <c r="X13" s="12" t="s">
        <v>50</v>
      </c>
      <c r="Y13" s="12" t="s">
        <v>51</v>
      </c>
      <c r="Z13" s="12"/>
      <c r="AA13" s="12"/>
      <c r="AB13" s="13"/>
      <c r="AS13" s="21"/>
      <c r="AT13" s="21"/>
      <c r="AU13" s="21"/>
      <c r="AV13" s="21"/>
      <c r="AW13" s="21"/>
      <c r="AX13" s="21"/>
    </row>
    <row r="14" spans="1:50" x14ac:dyDescent="0.25">
      <c r="A14">
        <v>14</v>
      </c>
      <c r="B14" t="s">
        <v>0</v>
      </c>
      <c r="C14" s="20" t="s">
        <v>50</v>
      </c>
      <c r="D14" t="s">
        <v>50</v>
      </c>
      <c r="E14">
        <v>1</v>
      </c>
      <c r="F14" t="s">
        <v>49</v>
      </c>
      <c r="G14" t="str">
        <f t="shared" si="0"/>
        <v>B1</v>
      </c>
      <c r="H14" t="str">
        <f t="shared" si="1"/>
        <v>Heart</v>
      </c>
      <c r="S14" s="15">
        <v>5</v>
      </c>
      <c r="T14" s="16"/>
      <c r="U14" s="16"/>
      <c r="V14" s="16"/>
      <c r="W14" s="16"/>
      <c r="X14" s="16"/>
      <c r="Y14" s="16"/>
      <c r="Z14" s="16"/>
      <c r="AA14" s="16"/>
      <c r="AB14" s="17"/>
      <c r="AH14" s="21"/>
      <c r="AI14" s="21"/>
      <c r="AJ14">
        <v>53</v>
      </c>
      <c r="AK14">
        <f>AJ14</f>
        <v>53</v>
      </c>
      <c r="AS14" s="21"/>
      <c r="AT14" s="21"/>
      <c r="AU14" s="21"/>
      <c r="AV14" s="21"/>
      <c r="AW14" s="21"/>
      <c r="AX14" s="21"/>
    </row>
    <row r="15" spans="1:50" x14ac:dyDescent="0.25">
      <c r="A15">
        <v>15</v>
      </c>
      <c r="B15" t="s">
        <v>2</v>
      </c>
      <c r="C15" s="20" t="s">
        <v>45</v>
      </c>
      <c r="D15" t="s">
        <v>45</v>
      </c>
      <c r="E15">
        <v>13</v>
      </c>
      <c r="F15" t="s">
        <v>49</v>
      </c>
      <c r="G15" t="str">
        <f t="shared" si="0"/>
        <v>B13</v>
      </c>
      <c r="H15" t="str">
        <f t="shared" si="1"/>
        <v>Heart</v>
      </c>
      <c r="AH15" s="21"/>
      <c r="AI15" s="21"/>
      <c r="AS15" s="21">
        <v>3</v>
      </c>
      <c r="AT15" s="21" t="s">
        <v>16</v>
      </c>
      <c r="AU15" s="21"/>
      <c r="AV15" s="21"/>
      <c r="AW15" s="21" t="s">
        <v>39</v>
      </c>
      <c r="AX15" s="21">
        <v>11</v>
      </c>
    </row>
    <row r="16" spans="1:50" x14ac:dyDescent="0.25">
      <c r="A16">
        <v>16</v>
      </c>
      <c r="B16" t="s">
        <v>14</v>
      </c>
      <c r="C16" s="20" t="s">
        <v>34</v>
      </c>
      <c r="D16" t="s">
        <v>34</v>
      </c>
      <c r="E16">
        <v>12</v>
      </c>
      <c r="F16" t="s">
        <v>49</v>
      </c>
      <c r="G16" t="str">
        <f t="shared" si="0"/>
        <v>B12</v>
      </c>
      <c r="H16" t="str">
        <f t="shared" si="1"/>
        <v>Heart</v>
      </c>
      <c r="R16" s="18"/>
      <c r="S16" s="18"/>
      <c r="T16" s="18"/>
      <c r="AH16" s="21"/>
      <c r="AI16" s="21"/>
      <c r="AS16" s="21"/>
      <c r="AT16" s="21"/>
      <c r="AU16" s="21"/>
      <c r="AV16" s="21"/>
      <c r="AW16" s="21"/>
      <c r="AX16" s="21"/>
    </row>
    <row r="17" spans="1:50" x14ac:dyDescent="0.25">
      <c r="A17">
        <v>17</v>
      </c>
      <c r="B17" t="s">
        <v>16</v>
      </c>
      <c r="C17" s="20" t="s">
        <v>46</v>
      </c>
      <c r="D17" t="s">
        <v>46</v>
      </c>
      <c r="E17">
        <v>11</v>
      </c>
      <c r="F17" t="s">
        <v>49</v>
      </c>
      <c r="G17" t="str">
        <f t="shared" si="0"/>
        <v>B11</v>
      </c>
      <c r="H17" t="str">
        <f t="shared" si="1"/>
        <v>Heart</v>
      </c>
      <c r="AH17" s="21"/>
      <c r="AI17" s="21"/>
      <c r="AS17" s="21"/>
      <c r="AT17" s="21"/>
      <c r="AU17" s="21"/>
      <c r="AV17" s="21"/>
      <c r="AW17" s="21"/>
      <c r="AX17" s="21"/>
    </row>
    <row r="18" spans="1:50" x14ac:dyDescent="0.25">
      <c r="A18">
        <v>18</v>
      </c>
      <c r="B18">
        <v>10</v>
      </c>
      <c r="C18" s="20" t="s">
        <v>30</v>
      </c>
      <c r="D18" t="s">
        <v>30</v>
      </c>
      <c r="E18">
        <v>10</v>
      </c>
      <c r="F18" t="s">
        <v>49</v>
      </c>
      <c r="G18" t="str">
        <f t="shared" si="0"/>
        <v>B10</v>
      </c>
      <c r="H18" t="str">
        <f t="shared" si="1"/>
        <v>Heart</v>
      </c>
      <c r="N18" t="s">
        <v>57</v>
      </c>
      <c r="O18" t="s">
        <v>56</v>
      </c>
      <c r="P18" t="str">
        <f>VLOOKUP(O18,Q18:Q21,1)</f>
        <v>Diamond</v>
      </c>
      <c r="Q18" t="s">
        <v>55</v>
      </c>
      <c r="AH18" s="21"/>
      <c r="AI18" s="21"/>
      <c r="AS18" s="21"/>
      <c r="AT18" s="21"/>
      <c r="AU18" s="21"/>
      <c r="AV18" s="21"/>
      <c r="AW18" s="21"/>
      <c r="AX18" s="21"/>
    </row>
    <row r="19" spans="1:50" x14ac:dyDescent="0.25">
      <c r="A19">
        <v>19</v>
      </c>
      <c r="B19">
        <v>9</v>
      </c>
      <c r="C19" s="20" t="s">
        <v>48</v>
      </c>
      <c r="D19" t="s">
        <v>48</v>
      </c>
      <c r="E19">
        <v>9</v>
      </c>
      <c r="F19" t="s">
        <v>49</v>
      </c>
      <c r="G19" t="str">
        <f t="shared" si="0"/>
        <v>B9</v>
      </c>
      <c r="H19" t="str">
        <f t="shared" si="1"/>
        <v>Heart</v>
      </c>
      <c r="N19" t="s">
        <v>60</v>
      </c>
      <c r="Q19" t="s">
        <v>56</v>
      </c>
      <c r="AH19" s="21"/>
      <c r="AI19" s="21"/>
      <c r="AS19" s="21"/>
      <c r="AT19" s="21"/>
      <c r="AU19" s="21"/>
      <c r="AV19" s="21"/>
      <c r="AW19" s="21"/>
      <c r="AX19" s="21"/>
    </row>
    <row r="20" spans="1:50" x14ac:dyDescent="0.25">
      <c r="A20">
        <v>20</v>
      </c>
      <c r="B20">
        <v>8</v>
      </c>
      <c r="C20" s="20" t="s">
        <v>35</v>
      </c>
      <c r="D20" t="s">
        <v>35</v>
      </c>
      <c r="E20">
        <v>8</v>
      </c>
      <c r="F20" t="s">
        <v>49</v>
      </c>
      <c r="G20" t="str">
        <f t="shared" si="0"/>
        <v>B8</v>
      </c>
      <c r="H20" t="str">
        <f t="shared" si="1"/>
        <v>Heart</v>
      </c>
      <c r="Q20" t="s">
        <v>54</v>
      </c>
      <c r="AH20" s="21"/>
      <c r="AI20" s="21"/>
      <c r="AS20" s="21"/>
      <c r="AT20" s="21"/>
      <c r="AU20" s="21"/>
      <c r="AV20" s="21"/>
      <c r="AW20" s="21"/>
      <c r="AX20" s="21"/>
    </row>
    <row r="21" spans="1:50" x14ac:dyDescent="0.25">
      <c r="A21">
        <v>21</v>
      </c>
      <c r="B21">
        <v>7</v>
      </c>
      <c r="C21" s="20" t="s">
        <v>33</v>
      </c>
      <c r="D21" t="s">
        <v>33</v>
      </c>
      <c r="E21">
        <v>7</v>
      </c>
      <c r="F21" t="s">
        <v>49</v>
      </c>
      <c r="G21" t="str">
        <f t="shared" si="0"/>
        <v>B7</v>
      </c>
      <c r="H21" t="str">
        <f t="shared" si="1"/>
        <v>Heart</v>
      </c>
      <c r="Q21" t="s">
        <v>53</v>
      </c>
      <c r="AS21" s="21"/>
      <c r="AT21" s="21"/>
      <c r="AU21" s="21"/>
      <c r="AV21" s="21"/>
      <c r="AW21" s="21"/>
      <c r="AX21" s="21"/>
    </row>
    <row r="22" spans="1:50" x14ac:dyDescent="0.25">
      <c r="A22">
        <v>22</v>
      </c>
      <c r="B22">
        <v>6</v>
      </c>
      <c r="C22" s="20" t="s">
        <v>39</v>
      </c>
      <c r="D22" t="s">
        <v>39</v>
      </c>
      <c r="E22">
        <v>6</v>
      </c>
      <c r="F22" t="s">
        <v>49</v>
      </c>
      <c r="G22" t="str">
        <f t="shared" si="0"/>
        <v>B6</v>
      </c>
      <c r="H22" t="str">
        <f t="shared" si="1"/>
        <v>Heart</v>
      </c>
      <c r="AS22" s="21">
        <v>4</v>
      </c>
      <c r="AT22" s="21">
        <v>10</v>
      </c>
      <c r="AU22" s="21"/>
      <c r="AV22" s="21"/>
      <c r="AW22" s="21" t="s">
        <v>39</v>
      </c>
      <c r="AX22" s="21">
        <v>10</v>
      </c>
    </row>
    <row r="23" spans="1:50" x14ac:dyDescent="0.25">
      <c r="A23">
        <v>23</v>
      </c>
      <c r="B23">
        <v>5</v>
      </c>
      <c r="C23" s="20" t="s">
        <v>32</v>
      </c>
      <c r="D23" t="s">
        <v>32</v>
      </c>
      <c r="E23">
        <v>5</v>
      </c>
      <c r="F23" t="s">
        <v>49</v>
      </c>
      <c r="G23" t="str">
        <f t="shared" si="0"/>
        <v>B5</v>
      </c>
      <c r="H23" t="str">
        <f t="shared" si="1"/>
        <v>Heart</v>
      </c>
      <c r="N23" t="s">
        <v>58</v>
      </c>
      <c r="O23" t="s">
        <v>53</v>
      </c>
      <c r="P23" t="str">
        <f>INDEX(Q23:Q26,MATCH(O23,Q23:Q26,0))</f>
        <v>Spade</v>
      </c>
      <c r="Q23" t="s">
        <v>53</v>
      </c>
      <c r="AS23" s="21"/>
      <c r="AT23" s="21"/>
      <c r="AU23" s="21"/>
      <c r="AV23" s="21"/>
      <c r="AW23" s="21"/>
      <c r="AX23" s="21"/>
    </row>
    <row r="24" spans="1:50" x14ac:dyDescent="0.25">
      <c r="A24">
        <v>24</v>
      </c>
      <c r="B24">
        <v>4</v>
      </c>
      <c r="C24" s="20" t="s">
        <v>14</v>
      </c>
      <c r="D24" t="s">
        <v>14</v>
      </c>
      <c r="E24">
        <v>4</v>
      </c>
      <c r="F24" t="s">
        <v>49</v>
      </c>
      <c r="G24" t="str">
        <f t="shared" si="0"/>
        <v>B4</v>
      </c>
      <c r="H24" t="str">
        <f t="shared" si="1"/>
        <v>Heart</v>
      </c>
      <c r="N24" t="s">
        <v>59</v>
      </c>
      <c r="Q24" t="s">
        <v>54</v>
      </c>
      <c r="AS24" s="21"/>
      <c r="AT24" s="21"/>
      <c r="AU24" s="21"/>
      <c r="AV24" s="21"/>
      <c r="AW24" s="21"/>
      <c r="AX24" s="21"/>
    </row>
    <row r="25" spans="1:50" x14ac:dyDescent="0.25">
      <c r="A25">
        <v>25</v>
      </c>
      <c r="B25">
        <v>3</v>
      </c>
      <c r="C25" s="20" t="s">
        <v>38</v>
      </c>
      <c r="D25" t="s">
        <v>38</v>
      </c>
      <c r="E25">
        <v>3</v>
      </c>
      <c r="F25" t="s">
        <v>49</v>
      </c>
      <c r="G25" t="str">
        <f t="shared" si="0"/>
        <v>B3</v>
      </c>
      <c r="H25" t="str">
        <f t="shared" si="1"/>
        <v>Heart</v>
      </c>
      <c r="Q25" t="s">
        <v>55</v>
      </c>
      <c r="AS25" s="21"/>
      <c r="AT25" s="21"/>
      <c r="AU25" s="21"/>
      <c r="AV25" s="21"/>
      <c r="AW25" s="21"/>
      <c r="AX25" s="21"/>
    </row>
    <row r="26" spans="1:50" x14ac:dyDescent="0.25">
      <c r="A26">
        <v>26</v>
      </c>
      <c r="B26">
        <v>2</v>
      </c>
      <c r="C26" s="20" t="s">
        <v>37</v>
      </c>
      <c r="D26" t="s">
        <v>37</v>
      </c>
      <c r="E26">
        <v>2</v>
      </c>
      <c r="F26" t="s">
        <v>49</v>
      </c>
      <c r="G26" t="str">
        <f t="shared" si="0"/>
        <v>B2</v>
      </c>
      <c r="H26" t="str">
        <f t="shared" si="1"/>
        <v>Heart</v>
      </c>
      <c r="Q26" t="s">
        <v>56</v>
      </c>
      <c r="AS26" s="21"/>
      <c r="AT26" s="21"/>
      <c r="AU26" s="21"/>
      <c r="AV26" s="21"/>
      <c r="AW26" s="21"/>
      <c r="AX26" s="21"/>
    </row>
    <row r="27" spans="1:50" x14ac:dyDescent="0.25">
      <c r="A27">
        <v>27</v>
      </c>
      <c r="B27" t="s">
        <v>0</v>
      </c>
      <c r="C27" s="20" t="s">
        <v>29</v>
      </c>
      <c r="D27" t="s">
        <v>29</v>
      </c>
      <c r="E27">
        <v>1</v>
      </c>
      <c r="F27" t="s">
        <v>47</v>
      </c>
      <c r="G27" t="str">
        <f t="shared" si="0"/>
        <v>C1</v>
      </c>
      <c r="H27" t="str">
        <f t="shared" si="1"/>
        <v>Club</v>
      </c>
      <c r="AS27" s="21"/>
      <c r="AT27" s="21"/>
      <c r="AU27" s="21"/>
      <c r="AV27" s="21"/>
      <c r="AW27" s="21"/>
      <c r="AX27" s="21"/>
    </row>
    <row r="28" spans="1:50" x14ac:dyDescent="0.25">
      <c r="A28">
        <v>28</v>
      </c>
      <c r="B28" t="s">
        <v>2</v>
      </c>
      <c r="C28" s="20" t="s">
        <v>24</v>
      </c>
      <c r="D28" t="s">
        <v>24</v>
      </c>
      <c r="E28">
        <v>13</v>
      </c>
      <c r="F28" t="s">
        <v>47</v>
      </c>
      <c r="G28" t="str">
        <f t="shared" si="0"/>
        <v>C13</v>
      </c>
      <c r="H28" t="str">
        <f t="shared" si="1"/>
        <v>Club</v>
      </c>
      <c r="AS28" s="21"/>
      <c r="AT28" s="21"/>
      <c r="AU28" s="21"/>
      <c r="AV28" s="21"/>
      <c r="AW28" s="21"/>
      <c r="AX28" s="21"/>
    </row>
    <row r="29" spans="1:50" x14ac:dyDescent="0.25">
      <c r="A29">
        <v>29</v>
      </c>
      <c r="B29" t="s">
        <v>14</v>
      </c>
      <c r="C29" s="20" t="s">
        <v>9</v>
      </c>
      <c r="D29" t="s">
        <v>9</v>
      </c>
      <c r="E29">
        <v>12</v>
      </c>
      <c r="F29" t="s">
        <v>47</v>
      </c>
      <c r="G29" t="str">
        <f t="shared" si="0"/>
        <v>C12</v>
      </c>
      <c r="H29" t="str">
        <f t="shared" si="1"/>
        <v>Club</v>
      </c>
      <c r="AS29" s="21">
        <v>5</v>
      </c>
      <c r="AT29" s="21">
        <v>9</v>
      </c>
      <c r="AU29" s="21"/>
      <c r="AV29" s="21"/>
      <c r="AW29" s="21" t="s">
        <v>39</v>
      </c>
      <c r="AX29" s="21">
        <v>9</v>
      </c>
    </row>
    <row r="30" spans="1:50" x14ac:dyDescent="0.25">
      <c r="A30">
        <v>30</v>
      </c>
      <c r="B30" t="s">
        <v>16</v>
      </c>
      <c r="C30" s="20" t="s">
        <v>25</v>
      </c>
      <c r="D30" t="s">
        <v>25</v>
      </c>
      <c r="E30">
        <v>11</v>
      </c>
      <c r="F30" t="s">
        <v>47</v>
      </c>
      <c r="G30" t="str">
        <f t="shared" si="0"/>
        <v>C11</v>
      </c>
      <c r="H30" t="str">
        <f t="shared" si="1"/>
        <v>Club</v>
      </c>
      <c r="AS30" s="21"/>
      <c r="AT30" s="21"/>
      <c r="AU30" s="21"/>
      <c r="AV30" s="21"/>
      <c r="AW30" s="21"/>
      <c r="AX30" s="21"/>
    </row>
    <row r="31" spans="1:50" x14ac:dyDescent="0.25">
      <c r="A31">
        <v>31</v>
      </c>
      <c r="B31">
        <v>10</v>
      </c>
      <c r="C31" s="20" t="s">
        <v>5</v>
      </c>
      <c r="D31" t="s">
        <v>5</v>
      </c>
      <c r="E31">
        <v>10</v>
      </c>
      <c r="F31" t="s">
        <v>47</v>
      </c>
      <c r="G31" t="str">
        <f t="shared" si="0"/>
        <v>C10</v>
      </c>
      <c r="H31" t="str">
        <f t="shared" si="1"/>
        <v>Club</v>
      </c>
      <c r="AS31" s="21"/>
      <c r="AT31" s="21"/>
      <c r="AU31" s="21"/>
      <c r="AV31" s="21"/>
      <c r="AW31" s="21"/>
      <c r="AX31" s="21"/>
    </row>
    <row r="32" spans="1:50" x14ac:dyDescent="0.25">
      <c r="A32">
        <v>32</v>
      </c>
      <c r="B32">
        <v>9</v>
      </c>
      <c r="C32" s="20" t="s">
        <v>27</v>
      </c>
      <c r="D32" t="s">
        <v>27</v>
      </c>
      <c r="E32">
        <v>9</v>
      </c>
      <c r="F32" t="s">
        <v>47</v>
      </c>
      <c r="G32" t="str">
        <f t="shared" si="0"/>
        <v>C9</v>
      </c>
      <c r="H32" t="str">
        <f t="shared" si="1"/>
        <v>Club</v>
      </c>
      <c r="AS32" s="21"/>
      <c r="AT32" s="21"/>
      <c r="AU32" s="21"/>
      <c r="AV32" s="21"/>
      <c r="AW32" s="21"/>
      <c r="AX32" s="21"/>
    </row>
    <row r="33" spans="1:50" x14ac:dyDescent="0.25">
      <c r="A33">
        <v>33</v>
      </c>
      <c r="B33">
        <v>8</v>
      </c>
      <c r="C33" s="20" t="s">
        <v>10</v>
      </c>
      <c r="D33" t="s">
        <v>10</v>
      </c>
      <c r="E33">
        <v>8</v>
      </c>
      <c r="F33" t="s">
        <v>47</v>
      </c>
      <c r="G33" t="str">
        <f t="shared" si="0"/>
        <v>C8</v>
      </c>
      <c r="H33" t="str">
        <f t="shared" si="1"/>
        <v>Club</v>
      </c>
      <c r="AS33" s="21"/>
      <c r="AT33" s="21"/>
      <c r="AU33" s="21"/>
      <c r="AV33" s="21"/>
      <c r="AW33" s="21"/>
      <c r="AX33" s="21"/>
    </row>
    <row r="34" spans="1:50" x14ac:dyDescent="0.25">
      <c r="A34">
        <v>34</v>
      </c>
      <c r="B34">
        <v>7</v>
      </c>
      <c r="C34" s="20" t="s">
        <v>8</v>
      </c>
      <c r="D34" t="s">
        <v>8</v>
      </c>
      <c r="E34">
        <v>7</v>
      </c>
      <c r="F34" t="s">
        <v>47</v>
      </c>
      <c r="G34" t="str">
        <f t="shared" si="0"/>
        <v>C7</v>
      </c>
      <c r="H34" t="str">
        <f t="shared" si="1"/>
        <v>Club</v>
      </c>
      <c r="AS34" s="21"/>
      <c r="AT34" s="21"/>
      <c r="AU34" s="21"/>
      <c r="AV34" s="21"/>
      <c r="AW34" s="21"/>
      <c r="AX34" s="21"/>
    </row>
    <row r="35" spans="1:50" x14ac:dyDescent="0.25">
      <c r="A35">
        <v>35</v>
      </c>
      <c r="B35">
        <v>6</v>
      </c>
      <c r="C35" s="20" t="s">
        <v>18</v>
      </c>
      <c r="D35" t="s">
        <v>18</v>
      </c>
      <c r="E35">
        <v>6</v>
      </c>
      <c r="F35" t="s">
        <v>47</v>
      </c>
      <c r="G35" t="str">
        <f t="shared" si="0"/>
        <v>C6</v>
      </c>
      <c r="H35" t="str">
        <f t="shared" si="1"/>
        <v>Club</v>
      </c>
      <c r="AS35" s="21"/>
      <c r="AT35" s="21"/>
      <c r="AU35" s="21"/>
      <c r="AV35" s="21"/>
      <c r="AW35" s="21"/>
      <c r="AX35" s="21"/>
    </row>
    <row r="36" spans="1:50" x14ac:dyDescent="0.25">
      <c r="A36">
        <v>36</v>
      </c>
      <c r="B36">
        <v>5</v>
      </c>
      <c r="C36" s="20" t="s">
        <v>7</v>
      </c>
      <c r="D36" t="s">
        <v>7</v>
      </c>
      <c r="E36">
        <v>5</v>
      </c>
      <c r="F36" t="s">
        <v>47</v>
      </c>
      <c r="G36" t="str">
        <f t="shared" si="0"/>
        <v>C5</v>
      </c>
      <c r="H36" t="str">
        <f t="shared" si="1"/>
        <v>Club</v>
      </c>
      <c r="AS36" s="21">
        <v>6</v>
      </c>
      <c r="AT36" s="21">
        <v>8</v>
      </c>
      <c r="AU36" s="21"/>
      <c r="AV36" s="21"/>
      <c r="AW36" s="21" t="s">
        <v>39</v>
      </c>
      <c r="AX36" s="21">
        <v>8</v>
      </c>
    </row>
    <row r="37" spans="1:50" x14ac:dyDescent="0.25">
      <c r="A37">
        <v>37</v>
      </c>
      <c r="B37">
        <v>4</v>
      </c>
      <c r="C37" s="20" t="s">
        <v>4</v>
      </c>
      <c r="D37" t="s">
        <v>4</v>
      </c>
      <c r="E37">
        <v>4</v>
      </c>
      <c r="F37" t="s">
        <v>47</v>
      </c>
      <c r="G37" t="str">
        <f t="shared" si="0"/>
        <v>C4</v>
      </c>
      <c r="H37" t="str">
        <f t="shared" si="1"/>
        <v>Club</v>
      </c>
      <c r="AS37" s="21"/>
      <c r="AT37" s="21"/>
      <c r="AU37" s="21"/>
      <c r="AV37" s="21"/>
      <c r="AW37" s="21"/>
      <c r="AX37" s="21"/>
    </row>
    <row r="38" spans="1:50" x14ac:dyDescent="0.25">
      <c r="A38">
        <v>38</v>
      </c>
      <c r="B38">
        <v>3</v>
      </c>
      <c r="C38" s="20" t="s">
        <v>13</v>
      </c>
      <c r="D38" t="s">
        <v>13</v>
      </c>
      <c r="E38">
        <v>3</v>
      </c>
      <c r="F38" t="s">
        <v>47</v>
      </c>
      <c r="G38" t="str">
        <f t="shared" si="0"/>
        <v>C3</v>
      </c>
      <c r="H38" t="str">
        <f t="shared" si="1"/>
        <v>Club</v>
      </c>
      <c r="AS38" s="21"/>
      <c r="AT38" s="21"/>
      <c r="AU38" s="21"/>
      <c r="AV38" s="21"/>
      <c r="AW38" s="21"/>
      <c r="AX38" s="21"/>
    </row>
    <row r="39" spans="1:50" x14ac:dyDescent="0.25">
      <c r="A39">
        <v>39</v>
      </c>
      <c r="B39">
        <v>2</v>
      </c>
      <c r="C39" s="20" t="s">
        <v>12</v>
      </c>
      <c r="D39" t="s">
        <v>12</v>
      </c>
      <c r="E39">
        <v>2</v>
      </c>
      <c r="F39" t="s">
        <v>47</v>
      </c>
      <c r="G39" t="str">
        <f t="shared" si="0"/>
        <v>C2</v>
      </c>
      <c r="H39" t="str">
        <f t="shared" si="1"/>
        <v>Club</v>
      </c>
      <c r="AS39" s="21"/>
      <c r="AT39" s="21"/>
      <c r="AU39" s="21"/>
      <c r="AV39" s="21"/>
      <c r="AW39" s="21"/>
      <c r="AX39" s="21"/>
    </row>
    <row r="40" spans="1:50" x14ac:dyDescent="0.25">
      <c r="A40">
        <v>40</v>
      </c>
      <c r="B40" t="s">
        <v>0</v>
      </c>
      <c r="C40" s="20" t="s">
        <v>0</v>
      </c>
      <c r="D40" t="s">
        <v>0</v>
      </c>
      <c r="E40">
        <v>1</v>
      </c>
      <c r="F40" t="s">
        <v>40</v>
      </c>
      <c r="G40" t="str">
        <f t="shared" si="0"/>
        <v>D1</v>
      </c>
      <c r="H40" t="str">
        <f t="shared" si="1"/>
        <v>Diamond</v>
      </c>
      <c r="AS40" s="21"/>
      <c r="AT40" s="21"/>
      <c r="AU40" s="21"/>
      <c r="AV40" s="21"/>
      <c r="AW40" s="21"/>
      <c r="AX40" s="21"/>
    </row>
    <row r="41" spans="1:50" x14ac:dyDescent="0.25">
      <c r="A41">
        <v>41</v>
      </c>
      <c r="B41" t="s">
        <v>2</v>
      </c>
      <c r="C41" s="20" t="s">
        <v>51</v>
      </c>
      <c r="D41" t="s">
        <v>51</v>
      </c>
      <c r="E41">
        <v>13</v>
      </c>
      <c r="F41" t="s">
        <v>40</v>
      </c>
      <c r="G41" t="str">
        <f t="shared" si="0"/>
        <v>D13</v>
      </c>
      <c r="H41" t="str">
        <f t="shared" si="1"/>
        <v>Diamond</v>
      </c>
      <c r="AS41" s="21"/>
      <c r="AT41" s="21"/>
      <c r="AU41" s="21"/>
      <c r="AV41" s="21"/>
      <c r="AW41" s="21"/>
      <c r="AX41" s="21"/>
    </row>
    <row r="42" spans="1:50" x14ac:dyDescent="0.25">
      <c r="A42">
        <v>42</v>
      </c>
      <c r="B42" t="s">
        <v>14</v>
      </c>
      <c r="C42" s="20" t="s">
        <v>44</v>
      </c>
      <c r="D42" t="s">
        <v>44</v>
      </c>
      <c r="E42">
        <v>12</v>
      </c>
      <c r="F42" t="s">
        <v>40</v>
      </c>
      <c r="G42" t="str">
        <f t="shared" si="0"/>
        <v>D12</v>
      </c>
      <c r="H42" t="str">
        <f t="shared" si="1"/>
        <v>Diamond</v>
      </c>
      <c r="AS42" s="21"/>
      <c r="AT42" s="21"/>
      <c r="AU42" s="21"/>
      <c r="AV42" s="21"/>
      <c r="AW42" s="21"/>
      <c r="AX42" s="21"/>
    </row>
    <row r="43" spans="1:50" x14ac:dyDescent="0.25">
      <c r="A43">
        <v>43</v>
      </c>
      <c r="B43" t="s">
        <v>16</v>
      </c>
      <c r="C43" s="20" t="s">
        <v>2</v>
      </c>
      <c r="D43" t="s">
        <v>2</v>
      </c>
      <c r="E43">
        <v>11</v>
      </c>
      <c r="F43" t="s">
        <v>40</v>
      </c>
      <c r="G43" t="str">
        <f t="shared" si="0"/>
        <v>D11</v>
      </c>
      <c r="H43" t="str">
        <f t="shared" si="1"/>
        <v>Diamond</v>
      </c>
      <c r="AS43" s="21">
        <v>7</v>
      </c>
      <c r="AT43" s="21">
        <v>7</v>
      </c>
      <c r="AU43" s="21"/>
      <c r="AV43" s="21"/>
      <c r="AW43" s="21" t="s">
        <v>39</v>
      </c>
      <c r="AX43" s="21">
        <v>7</v>
      </c>
    </row>
    <row r="44" spans="1:50" x14ac:dyDescent="0.25">
      <c r="A44">
        <v>44</v>
      </c>
      <c r="B44">
        <v>10</v>
      </c>
      <c r="C44" s="20" t="s">
        <v>16</v>
      </c>
      <c r="D44" t="s">
        <v>16</v>
      </c>
      <c r="E44">
        <v>10</v>
      </c>
      <c r="F44" t="s">
        <v>40</v>
      </c>
      <c r="G44" t="str">
        <f t="shared" si="0"/>
        <v>D10</v>
      </c>
      <c r="H44" t="str">
        <f t="shared" si="1"/>
        <v>Diamond</v>
      </c>
      <c r="AS44" s="21"/>
      <c r="AT44" s="21"/>
      <c r="AU44" s="21"/>
      <c r="AV44" s="21"/>
      <c r="AW44" s="21"/>
      <c r="AX44" s="21"/>
    </row>
    <row r="45" spans="1:50" x14ac:dyDescent="0.25">
      <c r="A45">
        <v>45</v>
      </c>
      <c r="B45">
        <v>9</v>
      </c>
      <c r="C45" s="20" t="s">
        <v>36</v>
      </c>
      <c r="D45" t="s">
        <v>36</v>
      </c>
      <c r="E45">
        <v>9</v>
      </c>
      <c r="F45" t="s">
        <v>40</v>
      </c>
      <c r="G45" t="str">
        <f t="shared" si="0"/>
        <v>D9</v>
      </c>
      <c r="H45" t="str">
        <f t="shared" si="1"/>
        <v>Diamond</v>
      </c>
      <c r="AS45" s="21"/>
      <c r="AT45" s="21"/>
      <c r="AU45" s="21"/>
      <c r="AV45" s="21"/>
      <c r="AW45" s="21"/>
      <c r="AX45" s="21"/>
    </row>
    <row r="46" spans="1:50" x14ac:dyDescent="0.25">
      <c r="A46">
        <v>46</v>
      </c>
      <c r="B46">
        <v>8</v>
      </c>
      <c r="C46" s="20" t="s">
        <v>43</v>
      </c>
      <c r="D46" t="s">
        <v>43</v>
      </c>
      <c r="E46">
        <v>8</v>
      </c>
      <c r="F46" t="s">
        <v>40</v>
      </c>
      <c r="G46" t="str">
        <f t="shared" si="0"/>
        <v>D8</v>
      </c>
      <c r="H46" t="str">
        <f t="shared" si="1"/>
        <v>Diamond</v>
      </c>
      <c r="AS46" s="21"/>
      <c r="AT46" s="21"/>
      <c r="AU46" s="21"/>
      <c r="AV46" s="21"/>
      <c r="AW46" s="21"/>
      <c r="AX46" s="21"/>
    </row>
    <row r="47" spans="1:50" x14ac:dyDescent="0.25">
      <c r="A47">
        <v>47</v>
      </c>
      <c r="B47">
        <v>7</v>
      </c>
      <c r="C47" s="20" t="s">
        <v>42</v>
      </c>
      <c r="D47" t="s">
        <v>42</v>
      </c>
      <c r="E47">
        <v>7</v>
      </c>
      <c r="F47" t="s">
        <v>40</v>
      </c>
      <c r="G47" t="str">
        <f t="shared" si="0"/>
        <v>D7</v>
      </c>
      <c r="H47" t="str">
        <f t="shared" si="1"/>
        <v>Diamond</v>
      </c>
      <c r="AS47" s="21"/>
      <c r="AT47" s="21"/>
      <c r="AU47" s="21"/>
      <c r="AV47" s="21"/>
      <c r="AW47" s="21"/>
      <c r="AX47" s="21"/>
    </row>
    <row r="48" spans="1:50" x14ac:dyDescent="0.25">
      <c r="A48">
        <v>48</v>
      </c>
      <c r="B48">
        <v>6</v>
      </c>
      <c r="C48" s="20" t="s">
        <v>41</v>
      </c>
      <c r="D48" t="s">
        <v>41</v>
      </c>
      <c r="E48">
        <v>6</v>
      </c>
      <c r="F48" t="s">
        <v>40</v>
      </c>
      <c r="G48" t="str">
        <f t="shared" si="0"/>
        <v>D6</v>
      </c>
      <c r="H48" t="str">
        <f t="shared" si="1"/>
        <v>Diamond</v>
      </c>
      <c r="AS48" s="21"/>
      <c r="AT48" s="21"/>
      <c r="AU48" s="21"/>
      <c r="AV48" s="21"/>
      <c r="AW48" s="21"/>
      <c r="AX48" s="21"/>
    </row>
    <row r="49" spans="1:50" x14ac:dyDescent="0.25">
      <c r="A49">
        <v>49</v>
      </c>
      <c r="B49">
        <v>5</v>
      </c>
      <c r="C49" s="20" t="s">
        <v>31</v>
      </c>
      <c r="D49" t="s">
        <v>31</v>
      </c>
      <c r="E49">
        <v>5</v>
      </c>
      <c r="F49" t="s">
        <v>40</v>
      </c>
      <c r="G49" t="str">
        <f t="shared" si="0"/>
        <v>D5</v>
      </c>
      <c r="H49" t="str">
        <f t="shared" si="1"/>
        <v>Diamond</v>
      </c>
      <c r="AS49" s="21"/>
      <c r="AT49" s="21"/>
      <c r="AU49" s="21"/>
      <c r="AV49" s="21"/>
      <c r="AW49" s="21"/>
      <c r="AX49" s="21"/>
    </row>
    <row r="50" spans="1:50" x14ac:dyDescent="0.25">
      <c r="A50">
        <v>50</v>
      </c>
      <c r="B50">
        <v>4</v>
      </c>
      <c r="C50" s="20" t="s">
        <v>40</v>
      </c>
      <c r="D50" t="s">
        <v>40</v>
      </c>
      <c r="E50">
        <v>4</v>
      </c>
      <c r="F50" t="s">
        <v>40</v>
      </c>
      <c r="G50" t="str">
        <f t="shared" si="0"/>
        <v>D4</v>
      </c>
      <c r="H50" t="str">
        <f t="shared" si="1"/>
        <v>Diamond</v>
      </c>
      <c r="AS50" s="21">
        <v>8</v>
      </c>
      <c r="AT50" s="21">
        <v>6</v>
      </c>
      <c r="AU50" s="21"/>
      <c r="AV50" s="21"/>
      <c r="AW50" s="21" t="s">
        <v>39</v>
      </c>
      <c r="AX50" s="21">
        <v>6</v>
      </c>
    </row>
    <row r="51" spans="1:50" x14ac:dyDescent="0.25">
      <c r="A51">
        <v>51</v>
      </c>
      <c r="B51">
        <v>3</v>
      </c>
      <c r="C51" s="20" t="s">
        <v>47</v>
      </c>
      <c r="D51" t="s">
        <v>47</v>
      </c>
      <c r="E51">
        <v>3</v>
      </c>
      <c r="F51" t="s">
        <v>40</v>
      </c>
      <c r="G51" t="str">
        <f t="shared" si="0"/>
        <v>D3</v>
      </c>
      <c r="H51" t="str">
        <f t="shared" si="1"/>
        <v>Diamond</v>
      </c>
      <c r="AS51" s="21"/>
      <c r="AT51" s="21"/>
      <c r="AU51" s="21"/>
      <c r="AV51" s="21"/>
      <c r="AW51" s="21"/>
      <c r="AX51" s="21"/>
    </row>
    <row r="52" spans="1:50" x14ac:dyDescent="0.25">
      <c r="A52">
        <v>52</v>
      </c>
      <c r="B52">
        <v>2</v>
      </c>
      <c r="C52" s="20" t="s">
        <v>49</v>
      </c>
      <c r="D52" t="s">
        <v>49</v>
      </c>
      <c r="E52">
        <v>2</v>
      </c>
      <c r="F52" t="s">
        <v>40</v>
      </c>
      <c r="G52" t="str">
        <f t="shared" si="0"/>
        <v>D2</v>
      </c>
      <c r="H52" t="str">
        <f t="shared" si="1"/>
        <v>Diamond</v>
      </c>
      <c r="AS52" s="21"/>
      <c r="AT52" s="21"/>
      <c r="AU52" s="21"/>
      <c r="AV52" s="21"/>
      <c r="AW52" s="21"/>
      <c r="AX52" s="21"/>
    </row>
    <row r="53" spans="1:50" x14ac:dyDescent="0.25">
      <c r="A53">
        <v>53</v>
      </c>
      <c r="B53" t="s">
        <v>39</v>
      </c>
      <c r="C53" s="20" t="s">
        <v>52</v>
      </c>
      <c r="D53" t="s">
        <v>52</v>
      </c>
      <c r="AS53" s="21"/>
      <c r="AT53" s="21"/>
      <c r="AU53" s="21"/>
      <c r="AV53" s="21"/>
      <c r="AW53" s="21"/>
      <c r="AX53" s="21"/>
    </row>
    <row r="54" spans="1:50" x14ac:dyDescent="0.25">
      <c r="AS54" s="21"/>
      <c r="AT54" s="21"/>
      <c r="AU54" s="21"/>
      <c r="AV54" s="21"/>
      <c r="AW54" s="21"/>
      <c r="AX54" s="21"/>
    </row>
    <row r="55" spans="1:50" x14ac:dyDescent="0.25">
      <c r="AS55" s="21"/>
      <c r="AT55" s="21"/>
      <c r="AU55" s="21"/>
      <c r="AV55" s="21"/>
      <c r="AW55" s="21"/>
      <c r="AX55" s="21"/>
    </row>
    <row r="56" spans="1:50" x14ac:dyDescent="0.25">
      <c r="AP56" t="s">
        <v>61</v>
      </c>
      <c r="AS56" s="21"/>
      <c r="AT56" s="21"/>
      <c r="AU56" s="21"/>
      <c r="AV56" s="21"/>
      <c r="AW56" s="21"/>
      <c r="AX56" s="21"/>
    </row>
    <row r="57" spans="1:50" x14ac:dyDescent="0.25">
      <c r="AS57" s="21">
        <v>9</v>
      </c>
      <c r="AT57" s="21">
        <v>5</v>
      </c>
      <c r="AU57" s="21"/>
      <c r="AV57" s="21"/>
      <c r="AW57" s="21" t="s">
        <v>39</v>
      </c>
      <c r="AX57" s="21">
        <v>5</v>
      </c>
    </row>
    <row r="58" spans="1:50" x14ac:dyDescent="0.25">
      <c r="AS58" s="21"/>
      <c r="AT58" s="21"/>
      <c r="AU58" s="21"/>
      <c r="AV58" s="21"/>
      <c r="AW58" s="21"/>
      <c r="AX58" s="21"/>
    </row>
    <row r="59" spans="1:50" x14ac:dyDescent="0.25">
      <c r="AS59" s="21"/>
      <c r="AT59" s="21"/>
      <c r="AU59" s="21"/>
      <c r="AV59" s="21"/>
      <c r="AW59" s="21"/>
      <c r="AX59" s="21"/>
    </row>
    <row r="60" spans="1:50" x14ac:dyDescent="0.25">
      <c r="AS60" s="21"/>
      <c r="AT60" s="21"/>
      <c r="AU60" s="21"/>
      <c r="AV60" s="21"/>
      <c r="AW60" s="21"/>
      <c r="AX60" s="21"/>
    </row>
    <row r="61" spans="1:50" x14ac:dyDescent="0.25">
      <c r="AS61" s="21"/>
      <c r="AT61" s="21"/>
      <c r="AU61" s="21"/>
      <c r="AV61" s="21"/>
      <c r="AW61" s="21"/>
      <c r="AX61" s="21"/>
    </row>
    <row r="62" spans="1:50" x14ac:dyDescent="0.25">
      <c r="AS62" s="21"/>
      <c r="AT62" s="21"/>
      <c r="AU62" s="21"/>
      <c r="AV62" s="21"/>
      <c r="AW62" s="21"/>
      <c r="AX62" s="21"/>
    </row>
    <row r="63" spans="1:50" x14ac:dyDescent="0.25">
      <c r="AS63" s="21"/>
      <c r="AT63" s="21"/>
      <c r="AU63" s="21"/>
      <c r="AV63" s="21"/>
      <c r="AW63" s="21"/>
      <c r="AX63" s="21"/>
    </row>
    <row r="64" spans="1:50" x14ac:dyDescent="0.25">
      <c r="AS64" s="21">
        <v>10</v>
      </c>
      <c r="AT64" s="21">
        <v>4</v>
      </c>
      <c r="AU64" s="21"/>
      <c r="AV64" s="21"/>
      <c r="AW64" s="21" t="s">
        <v>39</v>
      </c>
      <c r="AX64" s="21">
        <v>4</v>
      </c>
    </row>
    <row r="65" spans="45:50" x14ac:dyDescent="0.25">
      <c r="AS65" s="21"/>
      <c r="AT65" s="21"/>
      <c r="AU65" s="21"/>
      <c r="AV65" s="21"/>
      <c r="AW65" s="21"/>
      <c r="AX65" s="21"/>
    </row>
    <row r="66" spans="45:50" x14ac:dyDescent="0.25">
      <c r="AS66" s="21"/>
      <c r="AT66" s="21"/>
      <c r="AU66" s="21"/>
      <c r="AV66" s="21"/>
      <c r="AW66" s="21"/>
      <c r="AX66" s="21"/>
    </row>
    <row r="67" spans="45:50" x14ac:dyDescent="0.25">
      <c r="AS67" s="21"/>
      <c r="AT67" s="21"/>
      <c r="AU67" s="21"/>
      <c r="AV67" s="21"/>
      <c r="AW67" s="21"/>
      <c r="AX67" s="21"/>
    </row>
    <row r="68" spans="45:50" x14ac:dyDescent="0.25">
      <c r="AS68" s="21"/>
      <c r="AT68" s="21"/>
      <c r="AU68" s="21"/>
      <c r="AV68" s="21"/>
      <c r="AW68" s="21"/>
      <c r="AX68" s="21"/>
    </row>
    <row r="69" spans="45:50" x14ac:dyDescent="0.25">
      <c r="AS69" s="21"/>
      <c r="AT69" s="21"/>
      <c r="AU69" s="21"/>
      <c r="AV69" s="21"/>
      <c r="AW69" s="21"/>
      <c r="AX69" s="21"/>
    </row>
    <row r="70" spans="45:50" x14ac:dyDescent="0.25">
      <c r="AS70" s="21"/>
      <c r="AT70" s="21"/>
      <c r="AU70" s="21"/>
      <c r="AV70" s="21"/>
      <c r="AW70" s="21"/>
      <c r="AX70" s="21"/>
    </row>
    <row r="71" spans="45:50" x14ac:dyDescent="0.25">
      <c r="AS71" s="21">
        <v>11</v>
      </c>
      <c r="AT71" s="21">
        <v>3</v>
      </c>
      <c r="AU71" s="21"/>
      <c r="AV71" s="21"/>
      <c r="AW71" s="21" t="s">
        <v>39</v>
      </c>
      <c r="AX71" s="21">
        <v>3</v>
      </c>
    </row>
    <row r="72" spans="45:50" x14ac:dyDescent="0.25">
      <c r="AS72" s="21"/>
      <c r="AT72" s="21"/>
      <c r="AU72" s="21"/>
      <c r="AV72" s="21"/>
      <c r="AW72" s="21"/>
      <c r="AX72" s="21"/>
    </row>
    <row r="73" spans="45:50" x14ac:dyDescent="0.25">
      <c r="AS73" s="21"/>
      <c r="AT73" s="21"/>
      <c r="AU73" s="21"/>
      <c r="AV73" s="21"/>
      <c r="AW73" s="21"/>
      <c r="AX73" s="21"/>
    </row>
    <row r="74" spans="45:50" x14ac:dyDescent="0.25">
      <c r="AS74" s="21"/>
      <c r="AT74" s="21"/>
      <c r="AU74" s="21"/>
      <c r="AV74" s="21"/>
      <c r="AW74" s="21"/>
      <c r="AX74" s="21"/>
    </row>
    <row r="75" spans="45:50" x14ac:dyDescent="0.25">
      <c r="AS75" s="21"/>
      <c r="AT75" s="21"/>
      <c r="AU75" s="21"/>
      <c r="AV75" s="21"/>
      <c r="AW75" s="21"/>
      <c r="AX75" s="21"/>
    </row>
    <row r="76" spans="45:50" x14ac:dyDescent="0.25">
      <c r="AS76" s="21"/>
      <c r="AT76" s="21"/>
      <c r="AU76" s="21"/>
      <c r="AV76" s="21"/>
      <c r="AW76" s="21"/>
      <c r="AX76" s="21"/>
    </row>
    <row r="77" spans="45:50" x14ac:dyDescent="0.25">
      <c r="AS77" s="21"/>
      <c r="AT77" s="21"/>
      <c r="AU77" s="21"/>
      <c r="AV77" s="21"/>
      <c r="AW77" s="21"/>
      <c r="AX77" s="21"/>
    </row>
    <row r="78" spans="45:50" x14ac:dyDescent="0.25">
      <c r="AS78" s="21">
        <v>12</v>
      </c>
      <c r="AT78" s="21">
        <v>2</v>
      </c>
      <c r="AU78" s="21"/>
      <c r="AV78" s="21"/>
      <c r="AW78" s="21" t="s">
        <v>39</v>
      </c>
      <c r="AX78" s="21">
        <v>2</v>
      </c>
    </row>
    <row r="79" spans="45:50" x14ac:dyDescent="0.25">
      <c r="AS79" s="21"/>
      <c r="AT79" s="21"/>
      <c r="AU79" s="21"/>
      <c r="AV79" s="21"/>
      <c r="AW79" s="21"/>
      <c r="AX79" s="21"/>
    </row>
    <row r="80" spans="45:50" x14ac:dyDescent="0.25">
      <c r="AS80" s="21"/>
      <c r="AT80" s="21"/>
      <c r="AU80" s="21"/>
      <c r="AV80" s="21"/>
      <c r="AW80" s="21"/>
      <c r="AX80" s="21"/>
    </row>
    <row r="81" spans="45:50" x14ac:dyDescent="0.25">
      <c r="AS81" s="21"/>
      <c r="AT81" s="21"/>
      <c r="AU81" s="21"/>
      <c r="AV81" s="21"/>
      <c r="AW81" s="21"/>
      <c r="AX81" s="21"/>
    </row>
    <row r="82" spans="45:50" x14ac:dyDescent="0.25">
      <c r="AS82" s="21"/>
      <c r="AT82" s="21"/>
      <c r="AU82" s="21"/>
      <c r="AV82" s="21"/>
      <c r="AW82" s="21"/>
      <c r="AX82" s="21"/>
    </row>
    <row r="83" spans="45:50" x14ac:dyDescent="0.25">
      <c r="AS83" s="21"/>
      <c r="AT83" s="21"/>
      <c r="AU83" s="21"/>
      <c r="AV83" s="21"/>
      <c r="AW83" s="21"/>
      <c r="AX83" s="21"/>
    </row>
    <row r="84" spans="45:50" x14ac:dyDescent="0.25">
      <c r="AS84" s="21"/>
      <c r="AT84" s="21"/>
      <c r="AU84" s="21"/>
      <c r="AV84" s="21"/>
      <c r="AW84" s="21"/>
      <c r="AX84" s="21"/>
    </row>
    <row r="85" spans="45:50" x14ac:dyDescent="0.25">
      <c r="AS85" s="21">
        <v>13</v>
      </c>
      <c r="AT85" s="21">
        <v>1</v>
      </c>
      <c r="AU85" s="21"/>
      <c r="AV85" s="21"/>
      <c r="AW85" s="21" t="s">
        <v>39</v>
      </c>
      <c r="AX85" s="21">
        <v>1</v>
      </c>
    </row>
    <row r="86" spans="45:50" x14ac:dyDescent="0.25">
      <c r="AS86" s="21"/>
      <c r="AT86" s="21"/>
      <c r="AU86" s="21"/>
      <c r="AV86" s="21"/>
      <c r="AW86" s="21"/>
      <c r="AX86" s="21"/>
    </row>
    <row r="87" spans="45:50" x14ac:dyDescent="0.25">
      <c r="AS87" s="21"/>
      <c r="AT87" s="21"/>
      <c r="AU87" s="21"/>
      <c r="AV87" s="21"/>
      <c r="AW87" s="21"/>
      <c r="AX87" s="21"/>
    </row>
    <row r="88" spans="45:50" x14ac:dyDescent="0.25">
      <c r="AS88" s="21"/>
      <c r="AT88" s="21"/>
      <c r="AU88" s="21"/>
      <c r="AV88" s="21"/>
      <c r="AW88" s="21"/>
      <c r="AX88" s="21"/>
    </row>
    <row r="89" spans="45:50" x14ac:dyDescent="0.25">
      <c r="AS89" s="21"/>
      <c r="AT89" s="21"/>
      <c r="AU89" s="21"/>
      <c r="AV89" s="21"/>
      <c r="AW89" s="21"/>
      <c r="AX89" s="21"/>
    </row>
    <row r="90" spans="45:50" x14ac:dyDescent="0.25">
      <c r="AS90" s="21"/>
      <c r="AT90" s="21"/>
      <c r="AU90" s="21"/>
      <c r="AV90" s="21"/>
      <c r="AW90" s="21"/>
      <c r="AX90" s="21"/>
    </row>
    <row r="91" spans="45:50" x14ac:dyDescent="0.25">
      <c r="AS91" s="21"/>
      <c r="AT91" s="21"/>
      <c r="AU91" s="21"/>
      <c r="AV91" s="21"/>
      <c r="AW91" s="21"/>
      <c r="AX91" s="21"/>
    </row>
    <row r="92" spans="45:50" x14ac:dyDescent="0.25">
      <c r="AS92" s="21">
        <v>14</v>
      </c>
      <c r="AT92" s="21" t="s">
        <v>2</v>
      </c>
      <c r="AU92" s="21"/>
      <c r="AV92" s="21"/>
      <c r="AW92" s="21" t="s">
        <v>43</v>
      </c>
      <c r="AX92" s="21">
        <v>13</v>
      </c>
    </row>
    <row r="93" spans="45:50" x14ac:dyDescent="0.25">
      <c r="AS93" s="21"/>
      <c r="AT93" s="21"/>
      <c r="AU93" s="21"/>
      <c r="AV93" s="21"/>
      <c r="AW93" s="21"/>
      <c r="AX93" s="21"/>
    </row>
    <row r="94" spans="45:50" x14ac:dyDescent="0.25">
      <c r="AS94" s="21"/>
      <c r="AT94" s="21"/>
      <c r="AU94" s="21"/>
      <c r="AV94" s="21"/>
      <c r="AW94" s="21"/>
      <c r="AX94" s="21"/>
    </row>
    <row r="95" spans="45:50" x14ac:dyDescent="0.25">
      <c r="AS95" s="21"/>
      <c r="AT95" s="21"/>
      <c r="AU95" s="21"/>
      <c r="AV95" s="21"/>
      <c r="AW95" s="21"/>
      <c r="AX95" s="21"/>
    </row>
    <row r="96" spans="45:50" x14ac:dyDescent="0.25">
      <c r="AS96" s="21"/>
      <c r="AT96" s="21"/>
      <c r="AU96" s="21"/>
      <c r="AV96" s="21"/>
      <c r="AW96" s="21"/>
      <c r="AX96" s="21"/>
    </row>
    <row r="97" spans="45:50" x14ac:dyDescent="0.25">
      <c r="AS97" s="21"/>
      <c r="AT97" s="21"/>
      <c r="AU97" s="21"/>
      <c r="AV97" s="21"/>
      <c r="AW97" s="21"/>
      <c r="AX97" s="21"/>
    </row>
    <row r="98" spans="45:50" x14ac:dyDescent="0.25">
      <c r="AS98" s="21"/>
      <c r="AT98" s="21"/>
      <c r="AU98" s="21"/>
      <c r="AV98" s="21"/>
      <c r="AW98" s="21"/>
      <c r="AX98" s="21"/>
    </row>
    <row r="99" spans="45:50" x14ac:dyDescent="0.25">
      <c r="AS99" s="21">
        <v>15</v>
      </c>
      <c r="AT99" s="21" t="s">
        <v>14</v>
      </c>
      <c r="AU99" s="21"/>
      <c r="AV99" s="21"/>
      <c r="AW99" s="21" t="s">
        <v>43</v>
      </c>
      <c r="AX99" s="21">
        <v>12</v>
      </c>
    </row>
    <row r="100" spans="45:50" x14ac:dyDescent="0.25">
      <c r="AS100" s="21"/>
      <c r="AT100" s="21"/>
      <c r="AU100" s="21"/>
      <c r="AV100" s="21"/>
      <c r="AW100" s="21"/>
      <c r="AX100" s="21"/>
    </row>
    <row r="101" spans="45:50" x14ac:dyDescent="0.25">
      <c r="AS101" s="21"/>
      <c r="AT101" s="21"/>
      <c r="AU101" s="21"/>
      <c r="AV101" s="21"/>
      <c r="AW101" s="21"/>
      <c r="AX101" s="21"/>
    </row>
    <row r="102" spans="45:50" x14ac:dyDescent="0.25">
      <c r="AS102" s="21"/>
      <c r="AT102" s="21"/>
      <c r="AU102" s="21"/>
      <c r="AV102" s="21"/>
      <c r="AW102" s="21"/>
      <c r="AX102" s="21"/>
    </row>
    <row r="103" spans="45:50" x14ac:dyDescent="0.25">
      <c r="AS103" s="21"/>
      <c r="AT103" s="21"/>
      <c r="AU103" s="21"/>
      <c r="AV103" s="21"/>
      <c r="AW103" s="21"/>
      <c r="AX103" s="21"/>
    </row>
    <row r="104" spans="45:50" x14ac:dyDescent="0.25">
      <c r="AS104" s="21"/>
      <c r="AT104" s="21"/>
      <c r="AU104" s="21"/>
      <c r="AV104" s="21"/>
      <c r="AW104" s="21"/>
      <c r="AX104" s="21"/>
    </row>
    <row r="105" spans="45:50" x14ac:dyDescent="0.25">
      <c r="AS105" s="21"/>
      <c r="AT105" s="21"/>
      <c r="AU105" s="21"/>
      <c r="AV105" s="21"/>
      <c r="AW105" s="21"/>
      <c r="AX105" s="21"/>
    </row>
    <row r="106" spans="45:50" x14ac:dyDescent="0.25">
      <c r="AS106" s="21">
        <v>16</v>
      </c>
      <c r="AT106" s="21" t="s">
        <v>16</v>
      </c>
      <c r="AU106" s="21"/>
      <c r="AV106" s="21"/>
      <c r="AW106" s="21" t="s">
        <v>43</v>
      </c>
      <c r="AX106" s="21">
        <v>11</v>
      </c>
    </row>
    <row r="107" spans="45:50" x14ac:dyDescent="0.25">
      <c r="AS107" s="21"/>
      <c r="AT107" s="21"/>
      <c r="AU107" s="21"/>
      <c r="AV107" s="21"/>
      <c r="AW107" s="21"/>
      <c r="AX107" s="21"/>
    </row>
    <row r="108" spans="45:50" x14ac:dyDescent="0.25">
      <c r="AS108" s="21"/>
      <c r="AT108" s="21"/>
      <c r="AU108" s="21"/>
      <c r="AV108" s="21"/>
      <c r="AW108" s="21"/>
      <c r="AX108" s="21"/>
    </row>
    <row r="109" spans="45:50" x14ac:dyDescent="0.25">
      <c r="AS109" s="21"/>
      <c r="AT109" s="21"/>
      <c r="AU109" s="21"/>
      <c r="AV109" s="21"/>
      <c r="AW109" s="21"/>
      <c r="AX109" s="21"/>
    </row>
    <row r="110" spans="45:50" x14ac:dyDescent="0.25">
      <c r="AS110" s="21"/>
      <c r="AT110" s="21"/>
      <c r="AU110" s="21"/>
      <c r="AV110" s="21"/>
      <c r="AW110" s="21"/>
      <c r="AX110" s="21"/>
    </row>
    <row r="111" spans="45:50" x14ac:dyDescent="0.25">
      <c r="AS111" s="21"/>
      <c r="AT111" s="21"/>
      <c r="AU111" s="21"/>
      <c r="AV111" s="21"/>
      <c r="AW111" s="21"/>
      <c r="AX111" s="21"/>
    </row>
    <row r="112" spans="45:50" x14ac:dyDescent="0.25">
      <c r="AS112" s="21"/>
      <c r="AT112" s="21"/>
      <c r="AU112" s="21"/>
      <c r="AV112" s="21"/>
      <c r="AW112" s="21"/>
      <c r="AX112" s="21"/>
    </row>
    <row r="113" spans="45:50" x14ac:dyDescent="0.25">
      <c r="AS113" s="21">
        <v>17</v>
      </c>
      <c r="AT113" s="21">
        <v>10</v>
      </c>
      <c r="AU113" s="21"/>
      <c r="AV113" s="21"/>
      <c r="AW113" s="21" t="s">
        <v>43</v>
      </c>
      <c r="AX113" s="21">
        <v>10</v>
      </c>
    </row>
    <row r="114" spans="45:50" x14ac:dyDescent="0.25">
      <c r="AS114" s="21"/>
      <c r="AT114" s="21"/>
      <c r="AU114" s="21"/>
      <c r="AV114" s="21"/>
      <c r="AW114" s="21"/>
      <c r="AX114" s="21"/>
    </row>
    <row r="115" spans="45:50" x14ac:dyDescent="0.25">
      <c r="AS115" s="21"/>
      <c r="AT115" s="21"/>
      <c r="AU115" s="21"/>
      <c r="AV115" s="21"/>
      <c r="AW115" s="21"/>
      <c r="AX115" s="21"/>
    </row>
    <row r="116" spans="45:50" x14ac:dyDescent="0.25">
      <c r="AS116" s="21"/>
      <c r="AT116" s="21"/>
      <c r="AU116" s="21"/>
      <c r="AV116" s="21"/>
      <c r="AW116" s="21"/>
      <c r="AX116" s="21"/>
    </row>
    <row r="117" spans="45:50" x14ac:dyDescent="0.25">
      <c r="AS117" s="21"/>
      <c r="AT117" s="21"/>
      <c r="AU117" s="21"/>
      <c r="AV117" s="21"/>
      <c r="AW117" s="21"/>
      <c r="AX117" s="21"/>
    </row>
    <row r="118" spans="45:50" x14ac:dyDescent="0.25">
      <c r="AS118" s="21"/>
      <c r="AT118" s="21"/>
      <c r="AU118" s="21"/>
      <c r="AV118" s="21"/>
      <c r="AW118" s="21"/>
      <c r="AX118" s="21"/>
    </row>
    <row r="119" spans="45:50" x14ac:dyDescent="0.25">
      <c r="AS119" s="21"/>
      <c r="AT119" s="21"/>
      <c r="AU119" s="21"/>
      <c r="AV119" s="21"/>
      <c r="AW119" s="21"/>
      <c r="AX119" s="21"/>
    </row>
    <row r="120" spans="45:50" x14ac:dyDescent="0.25">
      <c r="AS120" s="21">
        <v>18</v>
      </c>
      <c r="AT120" s="21">
        <v>9</v>
      </c>
      <c r="AU120" s="21"/>
      <c r="AV120" s="21"/>
      <c r="AW120" s="21" t="s">
        <v>43</v>
      </c>
      <c r="AX120" s="21">
        <v>9</v>
      </c>
    </row>
    <row r="121" spans="45:50" x14ac:dyDescent="0.25">
      <c r="AS121" s="21"/>
      <c r="AT121" s="21"/>
      <c r="AU121" s="21"/>
      <c r="AV121" s="21"/>
      <c r="AW121" s="21"/>
      <c r="AX121" s="21"/>
    </row>
    <row r="122" spans="45:50" x14ac:dyDescent="0.25">
      <c r="AS122" s="21"/>
      <c r="AT122" s="21"/>
      <c r="AU122" s="21"/>
      <c r="AV122" s="21"/>
      <c r="AW122" s="21"/>
      <c r="AX122" s="21"/>
    </row>
    <row r="123" spans="45:50" x14ac:dyDescent="0.25">
      <c r="AS123" s="21"/>
      <c r="AT123" s="21"/>
      <c r="AU123" s="21"/>
      <c r="AV123" s="21"/>
      <c r="AW123" s="21"/>
      <c r="AX123" s="21"/>
    </row>
    <row r="124" spans="45:50" x14ac:dyDescent="0.25">
      <c r="AS124" s="21"/>
      <c r="AT124" s="21"/>
      <c r="AU124" s="21"/>
      <c r="AV124" s="21"/>
      <c r="AW124" s="21"/>
      <c r="AX124" s="21"/>
    </row>
    <row r="125" spans="45:50" x14ac:dyDescent="0.25">
      <c r="AS125" s="21"/>
      <c r="AT125" s="21"/>
      <c r="AU125" s="21"/>
      <c r="AV125" s="21"/>
      <c r="AW125" s="21"/>
      <c r="AX125" s="21"/>
    </row>
    <row r="126" spans="45:50" x14ac:dyDescent="0.25">
      <c r="AS126" s="21"/>
      <c r="AT126" s="21"/>
      <c r="AU126" s="21"/>
      <c r="AV126" s="21"/>
      <c r="AW126" s="21"/>
      <c r="AX126" s="21"/>
    </row>
    <row r="127" spans="45:50" x14ac:dyDescent="0.25">
      <c r="AS127" s="21">
        <v>19</v>
      </c>
      <c r="AT127" s="21">
        <v>8</v>
      </c>
      <c r="AU127" s="21"/>
      <c r="AV127" s="21"/>
      <c r="AW127" s="21" t="s">
        <v>43</v>
      </c>
      <c r="AX127" s="21">
        <v>8</v>
      </c>
    </row>
    <row r="128" spans="45:50" x14ac:dyDescent="0.25">
      <c r="AS128" s="21"/>
      <c r="AT128" s="21"/>
      <c r="AU128" s="21"/>
      <c r="AV128" s="21"/>
      <c r="AW128" s="21"/>
      <c r="AX128" s="21"/>
    </row>
    <row r="129" spans="45:50" x14ac:dyDescent="0.25">
      <c r="AS129" s="21"/>
      <c r="AT129" s="21"/>
      <c r="AU129" s="21"/>
      <c r="AV129" s="21"/>
      <c r="AW129" s="21"/>
      <c r="AX129" s="21"/>
    </row>
    <row r="130" spans="45:50" x14ac:dyDescent="0.25">
      <c r="AS130" s="21"/>
      <c r="AT130" s="21"/>
      <c r="AU130" s="21"/>
      <c r="AV130" s="21"/>
      <c r="AW130" s="21"/>
      <c r="AX130" s="21"/>
    </row>
    <row r="131" spans="45:50" x14ac:dyDescent="0.25">
      <c r="AS131" s="21"/>
      <c r="AT131" s="21"/>
      <c r="AU131" s="21"/>
      <c r="AV131" s="21"/>
      <c r="AW131" s="21"/>
      <c r="AX131" s="21"/>
    </row>
    <row r="132" spans="45:50" x14ac:dyDescent="0.25">
      <c r="AS132" s="21"/>
      <c r="AT132" s="21"/>
      <c r="AU132" s="21"/>
      <c r="AV132" s="21"/>
      <c r="AW132" s="21"/>
      <c r="AX132" s="21"/>
    </row>
    <row r="133" spans="45:50" x14ac:dyDescent="0.25">
      <c r="AS133" s="21"/>
      <c r="AT133" s="21"/>
      <c r="AU133" s="21"/>
      <c r="AV133" s="21"/>
      <c r="AW133" s="21"/>
      <c r="AX133" s="21"/>
    </row>
    <row r="134" spans="45:50" x14ac:dyDescent="0.25">
      <c r="AS134" s="21">
        <v>20</v>
      </c>
      <c r="AT134" s="21">
        <v>7</v>
      </c>
      <c r="AU134" s="21"/>
      <c r="AV134" s="21"/>
      <c r="AW134" s="21" t="s">
        <v>43</v>
      </c>
      <c r="AX134" s="21">
        <v>7</v>
      </c>
    </row>
    <row r="135" spans="45:50" x14ac:dyDescent="0.25">
      <c r="AS135" s="21"/>
      <c r="AT135" s="21"/>
      <c r="AU135" s="21"/>
      <c r="AV135" s="21"/>
      <c r="AW135" s="21"/>
      <c r="AX135" s="21"/>
    </row>
    <row r="136" spans="45:50" x14ac:dyDescent="0.25">
      <c r="AS136" s="21"/>
      <c r="AT136" s="21"/>
      <c r="AU136" s="21"/>
      <c r="AV136" s="21"/>
      <c r="AW136" s="21"/>
      <c r="AX136" s="21"/>
    </row>
    <row r="137" spans="45:50" x14ac:dyDescent="0.25">
      <c r="AS137" s="21"/>
      <c r="AT137" s="21"/>
      <c r="AU137" s="21"/>
      <c r="AV137" s="21"/>
      <c r="AW137" s="21"/>
      <c r="AX137" s="21"/>
    </row>
    <row r="138" spans="45:50" x14ac:dyDescent="0.25">
      <c r="AS138" s="21"/>
      <c r="AT138" s="21"/>
      <c r="AU138" s="21"/>
      <c r="AV138" s="21"/>
      <c r="AW138" s="21"/>
      <c r="AX138" s="21"/>
    </row>
    <row r="139" spans="45:50" x14ac:dyDescent="0.25">
      <c r="AS139" s="21"/>
      <c r="AT139" s="21"/>
      <c r="AU139" s="21"/>
      <c r="AV139" s="21"/>
      <c r="AW139" s="21"/>
      <c r="AX139" s="21"/>
    </row>
    <row r="140" spans="45:50" x14ac:dyDescent="0.25">
      <c r="AS140" s="21"/>
      <c r="AT140" s="21"/>
      <c r="AU140" s="21"/>
      <c r="AV140" s="21"/>
      <c r="AW140" s="21"/>
      <c r="AX140" s="21"/>
    </row>
    <row r="141" spans="45:50" x14ac:dyDescent="0.25">
      <c r="AS141" s="21">
        <v>21</v>
      </c>
      <c r="AT141" s="21">
        <v>6</v>
      </c>
      <c r="AU141" s="21"/>
      <c r="AV141" s="21"/>
      <c r="AW141" s="21" t="s">
        <v>43</v>
      </c>
      <c r="AX141" s="21">
        <v>6</v>
      </c>
    </row>
    <row r="142" spans="45:50" x14ac:dyDescent="0.25">
      <c r="AS142" s="21"/>
      <c r="AT142" s="21"/>
      <c r="AU142" s="21"/>
      <c r="AV142" s="21"/>
      <c r="AW142" s="21"/>
      <c r="AX142" s="21"/>
    </row>
    <row r="143" spans="45:50" x14ac:dyDescent="0.25">
      <c r="AS143" s="21"/>
      <c r="AT143" s="21"/>
      <c r="AU143" s="21"/>
      <c r="AV143" s="21"/>
      <c r="AW143" s="21"/>
      <c r="AX143" s="21"/>
    </row>
    <row r="144" spans="45:50" x14ac:dyDescent="0.25">
      <c r="AS144" s="21"/>
      <c r="AT144" s="21"/>
      <c r="AU144" s="21"/>
      <c r="AV144" s="21"/>
      <c r="AW144" s="21"/>
      <c r="AX144" s="21"/>
    </row>
    <row r="145" spans="45:50" x14ac:dyDescent="0.25">
      <c r="AS145" s="21"/>
      <c r="AT145" s="21"/>
      <c r="AU145" s="21"/>
      <c r="AV145" s="21"/>
      <c r="AW145" s="21"/>
      <c r="AX145" s="21"/>
    </row>
    <row r="146" spans="45:50" x14ac:dyDescent="0.25">
      <c r="AS146" s="21"/>
      <c r="AT146" s="21"/>
      <c r="AU146" s="21"/>
      <c r="AV146" s="21"/>
      <c r="AW146" s="21"/>
      <c r="AX146" s="21"/>
    </row>
    <row r="147" spans="45:50" x14ac:dyDescent="0.25">
      <c r="AS147" s="21"/>
      <c r="AT147" s="21"/>
      <c r="AU147" s="21"/>
      <c r="AV147" s="21"/>
      <c r="AW147" s="21"/>
      <c r="AX147" s="21"/>
    </row>
    <row r="148" spans="45:50" x14ac:dyDescent="0.25">
      <c r="AS148" s="21">
        <v>22</v>
      </c>
      <c r="AT148" s="21">
        <v>5</v>
      </c>
      <c r="AU148" s="21"/>
      <c r="AV148" s="21"/>
      <c r="AW148" s="21" t="s">
        <v>43</v>
      </c>
      <c r="AX148" s="21">
        <v>5</v>
      </c>
    </row>
    <row r="149" spans="45:50" x14ac:dyDescent="0.25">
      <c r="AS149" s="21"/>
      <c r="AT149" s="21"/>
      <c r="AU149" s="21"/>
      <c r="AV149" s="21"/>
      <c r="AW149" s="21"/>
      <c r="AX149" s="21"/>
    </row>
    <row r="150" spans="45:50" x14ac:dyDescent="0.25">
      <c r="AS150" s="21"/>
      <c r="AT150" s="21"/>
      <c r="AU150" s="21"/>
      <c r="AV150" s="21"/>
      <c r="AW150" s="21"/>
      <c r="AX150" s="21"/>
    </row>
    <row r="151" spans="45:50" x14ac:dyDescent="0.25">
      <c r="AS151" s="21"/>
      <c r="AT151" s="21"/>
      <c r="AU151" s="21"/>
      <c r="AV151" s="21"/>
      <c r="AW151" s="21"/>
      <c r="AX151" s="21"/>
    </row>
    <row r="152" spans="45:50" x14ac:dyDescent="0.25">
      <c r="AS152" s="21"/>
      <c r="AT152" s="21"/>
      <c r="AU152" s="21"/>
      <c r="AV152" s="21"/>
      <c r="AW152" s="21"/>
      <c r="AX152" s="21"/>
    </row>
    <row r="153" spans="45:50" x14ac:dyDescent="0.25">
      <c r="AS153" s="21"/>
      <c r="AT153" s="21"/>
      <c r="AU153" s="21"/>
      <c r="AV153" s="21"/>
      <c r="AW153" s="21"/>
      <c r="AX153" s="21"/>
    </row>
    <row r="154" spans="45:50" x14ac:dyDescent="0.25">
      <c r="AS154" s="21"/>
      <c r="AT154" s="21"/>
      <c r="AU154" s="21"/>
      <c r="AV154" s="21"/>
      <c r="AW154" s="21"/>
      <c r="AX154" s="21"/>
    </row>
    <row r="155" spans="45:50" x14ac:dyDescent="0.25">
      <c r="AS155" s="21">
        <v>23</v>
      </c>
      <c r="AT155" s="21">
        <v>4</v>
      </c>
      <c r="AU155" s="21"/>
      <c r="AV155" s="21"/>
      <c r="AW155" s="21" t="s">
        <v>43</v>
      </c>
      <c r="AX155" s="21">
        <v>4</v>
      </c>
    </row>
    <row r="156" spans="45:50" x14ac:dyDescent="0.25">
      <c r="AS156" s="21"/>
      <c r="AT156" s="21"/>
      <c r="AU156" s="21"/>
      <c r="AV156" s="21"/>
      <c r="AW156" s="21"/>
      <c r="AX156" s="21"/>
    </row>
    <row r="157" spans="45:50" x14ac:dyDescent="0.25">
      <c r="AS157" s="21"/>
      <c r="AT157" s="21"/>
      <c r="AU157" s="21"/>
      <c r="AV157" s="21"/>
      <c r="AW157" s="21"/>
      <c r="AX157" s="21"/>
    </row>
    <row r="158" spans="45:50" x14ac:dyDescent="0.25">
      <c r="AS158" s="21"/>
      <c r="AT158" s="21"/>
      <c r="AU158" s="21"/>
      <c r="AV158" s="21"/>
      <c r="AW158" s="21"/>
      <c r="AX158" s="21"/>
    </row>
    <row r="159" spans="45:50" x14ac:dyDescent="0.25">
      <c r="AS159" s="21"/>
      <c r="AT159" s="21"/>
      <c r="AU159" s="21"/>
      <c r="AV159" s="21"/>
      <c r="AW159" s="21"/>
      <c r="AX159" s="21"/>
    </row>
    <row r="160" spans="45:50" x14ac:dyDescent="0.25">
      <c r="AS160" s="21"/>
      <c r="AT160" s="21"/>
      <c r="AU160" s="21"/>
      <c r="AV160" s="21"/>
      <c r="AW160" s="21"/>
      <c r="AX160" s="21"/>
    </row>
    <row r="161" spans="45:50" x14ac:dyDescent="0.25">
      <c r="AS161" s="21"/>
      <c r="AT161" s="21"/>
      <c r="AU161" s="21"/>
      <c r="AV161" s="21"/>
      <c r="AW161" s="21"/>
      <c r="AX161" s="21"/>
    </row>
    <row r="162" spans="45:50" x14ac:dyDescent="0.25">
      <c r="AS162" s="21">
        <v>24</v>
      </c>
      <c r="AT162" s="21">
        <v>3</v>
      </c>
      <c r="AU162" s="21"/>
      <c r="AV162" s="21"/>
      <c r="AW162" s="21" t="s">
        <v>43</v>
      </c>
      <c r="AX162" s="21">
        <v>3</v>
      </c>
    </row>
    <row r="163" spans="45:50" x14ac:dyDescent="0.25">
      <c r="AS163" s="21"/>
      <c r="AT163" s="21"/>
      <c r="AU163" s="21"/>
      <c r="AV163" s="21"/>
      <c r="AW163" s="21"/>
      <c r="AX163" s="21"/>
    </row>
    <row r="164" spans="45:50" x14ac:dyDescent="0.25">
      <c r="AS164" s="21"/>
      <c r="AT164" s="21"/>
      <c r="AU164" s="21"/>
      <c r="AV164" s="21"/>
      <c r="AW164" s="21"/>
      <c r="AX164" s="21"/>
    </row>
    <row r="165" spans="45:50" x14ac:dyDescent="0.25">
      <c r="AS165" s="21"/>
      <c r="AT165" s="21"/>
      <c r="AU165" s="21"/>
      <c r="AV165" s="21"/>
      <c r="AW165" s="21"/>
      <c r="AX165" s="21"/>
    </row>
    <row r="166" spans="45:50" x14ac:dyDescent="0.25">
      <c r="AS166" s="21"/>
      <c r="AT166" s="21"/>
      <c r="AU166" s="21"/>
      <c r="AV166" s="21"/>
      <c r="AW166" s="21"/>
      <c r="AX166" s="21"/>
    </row>
    <row r="167" spans="45:50" x14ac:dyDescent="0.25">
      <c r="AS167" s="21"/>
      <c r="AT167" s="21"/>
      <c r="AU167" s="21"/>
      <c r="AV167" s="21"/>
      <c r="AW167" s="21"/>
      <c r="AX167" s="21"/>
    </row>
    <row r="168" spans="45:50" x14ac:dyDescent="0.25">
      <c r="AS168" s="21"/>
      <c r="AT168" s="21"/>
      <c r="AU168" s="21"/>
      <c r="AV168" s="21"/>
      <c r="AW168" s="21"/>
      <c r="AX168" s="21"/>
    </row>
    <row r="169" spans="45:50" x14ac:dyDescent="0.25">
      <c r="AS169" s="21">
        <v>25</v>
      </c>
      <c r="AT169" s="21">
        <v>2</v>
      </c>
      <c r="AU169" s="21"/>
      <c r="AV169" s="21"/>
      <c r="AW169" s="21" t="s">
        <v>43</v>
      </c>
      <c r="AX169" s="21">
        <v>2</v>
      </c>
    </row>
    <row r="170" spans="45:50" x14ac:dyDescent="0.25">
      <c r="AS170" s="21"/>
      <c r="AT170" s="21"/>
      <c r="AU170" s="21"/>
      <c r="AV170" s="21"/>
      <c r="AW170" s="21"/>
      <c r="AX170" s="21"/>
    </row>
    <row r="171" spans="45:50" x14ac:dyDescent="0.25">
      <c r="AS171" s="21"/>
      <c r="AT171" s="21"/>
      <c r="AU171" s="21"/>
      <c r="AV171" s="21"/>
      <c r="AW171" s="21"/>
      <c r="AX171" s="21"/>
    </row>
    <row r="172" spans="45:50" x14ac:dyDescent="0.25">
      <c r="AS172" s="21"/>
      <c r="AT172" s="21"/>
      <c r="AU172" s="21"/>
      <c r="AV172" s="21"/>
      <c r="AW172" s="21"/>
      <c r="AX172" s="21"/>
    </row>
    <row r="173" spans="45:50" x14ac:dyDescent="0.25">
      <c r="AS173" s="21"/>
      <c r="AT173" s="21"/>
      <c r="AU173" s="21"/>
      <c r="AV173" s="21"/>
      <c r="AW173" s="21"/>
      <c r="AX173" s="21"/>
    </row>
    <row r="174" spans="45:50" x14ac:dyDescent="0.25">
      <c r="AS174" s="21"/>
      <c r="AT174" s="21"/>
      <c r="AU174" s="21"/>
      <c r="AV174" s="21"/>
      <c r="AW174" s="21"/>
      <c r="AX174" s="21"/>
    </row>
    <row r="175" spans="45:50" x14ac:dyDescent="0.25">
      <c r="AS175" s="21"/>
      <c r="AT175" s="21"/>
      <c r="AU175" s="21"/>
      <c r="AV175" s="21"/>
      <c r="AW175" s="21"/>
      <c r="AX175" s="21"/>
    </row>
    <row r="176" spans="45:50" x14ac:dyDescent="0.25">
      <c r="AS176" s="21">
        <v>26</v>
      </c>
      <c r="AT176" s="21">
        <v>1</v>
      </c>
      <c r="AU176" s="21"/>
      <c r="AV176" s="21"/>
      <c r="AW176" s="21" t="s">
        <v>43</v>
      </c>
      <c r="AX176" s="21">
        <v>1</v>
      </c>
    </row>
    <row r="177" spans="45:50" x14ac:dyDescent="0.25">
      <c r="AS177" s="21"/>
      <c r="AT177" s="21"/>
      <c r="AU177" s="21"/>
      <c r="AV177" s="21"/>
      <c r="AW177" s="21"/>
      <c r="AX177" s="21"/>
    </row>
    <row r="178" spans="45:50" x14ac:dyDescent="0.25">
      <c r="AS178" s="21"/>
      <c r="AT178" s="21"/>
      <c r="AU178" s="21"/>
      <c r="AV178" s="21"/>
      <c r="AW178" s="21"/>
      <c r="AX178" s="21"/>
    </row>
    <row r="179" spans="45:50" x14ac:dyDescent="0.25">
      <c r="AS179" s="21"/>
      <c r="AT179" s="21"/>
      <c r="AU179" s="21"/>
      <c r="AV179" s="21"/>
      <c r="AW179" s="21"/>
      <c r="AX179" s="21"/>
    </row>
    <row r="180" spans="45:50" x14ac:dyDescent="0.25">
      <c r="AS180" s="21"/>
      <c r="AT180" s="21"/>
      <c r="AU180" s="21"/>
      <c r="AV180" s="21"/>
      <c r="AW180" s="21"/>
      <c r="AX180" s="21"/>
    </row>
    <row r="181" spans="45:50" x14ac:dyDescent="0.25">
      <c r="AS181" s="21"/>
      <c r="AT181" s="21"/>
      <c r="AU181" s="21"/>
      <c r="AV181" s="21"/>
      <c r="AW181" s="21"/>
      <c r="AX181" s="21"/>
    </row>
    <row r="182" spans="45:50" x14ac:dyDescent="0.25">
      <c r="AS182" s="21"/>
      <c r="AT182" s="21"/>
      <c r="AU182" s="21"/>
      <c r="AV182" s="21"/>
      <c r="AW182" s="21"/>
      <c r="AX182" s="21"/>
    </row>
    <row r="183" spans="45:50" x14ac:dyDescent="0.25">
      <c r="AS183" s="21">
        <v>27</v>
      </c>
      <c r="AT183" s="21" t="s">
        <v>2</v>
      </c>
      <c r="AU183" s="21"/>
      <c r="AV183" s="21"/>
      <c r="AW183" s="21" t="s">
        <v>47</v>
      </c>
      <c r="AX183" s="21">
        <v>13</v>
      </c>
    </row>
    <row r="184" spans="45:50" x14ac:dyDescent="0.25">
      <c r="AS184" s="21"/>
      <c r="AT184" s="21"/>
      <c r="AU184" s="21"/>
      <c r="AV184" s="21"/>
      <c r="AW184" s="21"/>
      <c r="AX184" s="21"/>
    </row>
    <row r="185" spans="45:50" x14ac:dyDescent="0.25">
      <c r="AS185" s="21"/>
      <c r="AT185" s="21"/>
      <c r="AU185" s="21"/>
      <c r="AV185" s="21"/>
      <c r="AW185" s="21"/>
      <c r="AX185" s="21"/>
    </row>
    <row r="186" spans="45:50" x14ac:dyDescent="0.25">
      <c r="AS186" s="21"/>
      <c r="AT186" s="21"/>
      <c r="AU186" s="21"/>
      <c r="AV186" s="21"/>
      <c r="AW186" s="21"/>
      <c r="AX186" s="21"/>
    </row>
    <row r="187" spans="45:50" x14ac:dyDescent="0.25">
      <c r="AS187" s="21"/>
      <c r="AT187" s="21"/>
      <c r="AU187" s="21"/>
      <c r="AV187" s="21"/>
      <c r="AW187" s="21"/>
      <c r="AX187" s="21"/>
    </row>
    <row r="188" spans="45:50" x14ac:dyDescent="0.25">
      <c r="AS188" s="21"/>
      <c r="AT188" s="21"/>
      <c r="AU188" s="21"/>
      <c r="AV188" s="21"/>
      <c r="AW188" s="21"/>
      <c r="AX188" s="21"/>
    </row>
    <row r="189" spans="45:50" x14ac:dyDescent="0.25">
      <c r="AS189" s="21"/>
      <c r="AT189" s="21"/>
      <c r="AU189" s="21"/>
      <c r="AV189" s="21"/>
      <c r="AW189" s="21"/>
      <c r="AX189" s="21"/>
    </row>
    <row r="190" spans="45:50" x14ac:dyDescent="0.25">
      <c r="AS190" s="21">
        <v>28</v>
      </c>
      <c r="AT190" s="21" t="s">
        <v>14</v>
      </c>
      <c r="AU190" s="21"/>
      <c r="AV190" s="21"/>
      <c r="AW190" s="21" t="s">
        <v>47</v>
      </c>
      <c r="AX190" s="21">
        <v>12</v>
      </c>
    </row>
    <row r="191" spans="45:50" x14ac:dyDescent="0.25">
      <c r="AS191" s="21"/>
      <c r="AT191" s="21"/>
      <c r="AU191" s="21"/>
      <c r="AV191" s="21"/>
      <c r="AW191" s="21"/>
      <c r="AX191" s="21"/>
    </row>
    <row r="192" spans="45:50" x14ac:dyDescent="0.25">
      <c r="AS192" s="21"/>
      <c r="AT192" s="21"/>
      <c r="AU192" s="21"/>
      <c r="AV192" s="21"/>
      <c r="AW192" s="21"/>
      <c r="AX192" s="21"/>
    </row>
    <row r="193" spans="45:50" x14ac:dyDescent="0.25">
      <c r="AS193" s="21"/>
      <c r="AT193" s="21"/>
      <c r="AU193" s="21"/>
      <c r="AV193" s="21"/>
      <c r="AW193" s="21"/>
      <c r="AX193" s="21"/>
    </row>
    <row r="194" spans="45:50" x14ac:dyDescent="0.25">
      <c r="AS194" s="21"/>
      <c r="AT194" s="21"/>
      <c r="AU194" s="21"/>
      <c r="AV194" s="21"/>
      <c r="AW194" s="21"/>
      <c r="AX194" s="21"/>
    </row>
    <row r="195" spans="45:50" x14ac:dyDescent="0.25">
      <c r="AS195" s="21"/>
      <c r="AT195" s="21"/>
      <c r="AU195" s="21"/>
      <c r="AV195" s="21"/>
      <c r="AW195" s="21"/>
      <c r="AX195" s="21"/>
    </row>
    <row r="196" spans="45:50" x14ac:dyDescent="0.25">
      <c r="AS196" s="21"/>
      <c r="AT196" s="21"/>
      <c r="AU196" s="21"/>
      <c r="AV196" s="21"/>
      <c r="AW196" s="21"/>
      <c r="AX196" s="21"/>
    </row>
    <row r="197" spans="45:50" x14ac:dyDescent="0.25">
      <c r="AS197" s="21">
        <v>29</v>
      </c>
      <c r="AT197" s="21" t="s">
        <v>16</v>
      </c>
      <c r="AU197" s="21"/>
      <c r="AV197" s="21"/>
      <c r="AW197" s="21" t="s">
        <v>47</v>
      </c>
      <c r="AX197" s="21">
        <v>11</v>
      </c>
    </row>
    <row r="198" spans="45:50" x14ac:dyDescent="0.25">
      <c r="AS198" s="21"/>
      <c r="AT198" s="21"/>
      <c r="AU198" s="21"/>
      <c r="AV198" s="21"/>
      <c r="AW198" s="21"/>
      <c r="AX198" s="21"/>
    </row>
    <row r="199" spans="45:50" x14ac:dyDescent="0.25">
      <c r="AS199" s="21"/>
      <c r="AT199" s="21"/>
      <c r="AU199" s="21"/>
      <c r="AV199" s="21"/>
      <c r="AW199" s="21"/>
      <c r="AX199" s="21"/>
    </row>
    <row r="200" spans="45:50" x14ac:dyDescent="0.25">
      <c r="AS200" s="21"/>
      <c r="AT200" s="21"/>
      <c r="AU200" s="21"/>
      <c r="AV200" s="21"/>
      <c r="AW200" s="21"/>
      <c r="AX200" s="21"/>
    </row>
    <row r="201" spans="45:50" x14ac:dyDescent="0.25">
      <c r="AS201" s="21"/>
      <c r="AT201" s="21"/>
      <c r="AU201" s="21"/>
      <c r="AV201" s="21"/>
      <c r="AW201" s="21"/>
      <c r="AX201" s="21"/>
    </row>
    <row r="202" spans="45:50" x14ac:dyDescent="0.25">
      <c r="AS202" s="21"/>
      <c r="AT202" s="21"/>
      <c r="AU202" s="21"/>
      <c r="AV202" s="21"/>
      <c r="AW202" s="21"/>
      <c r="AX202" s="21"/>
    </row>
    <row r="203" spans="45:50" x14ac:dyDescent="0.25">
      <c r="AS203" s="21"/>
      <c r="AT203" s="21"/>
      <c r="AU203" s="21"/>
      <c r="AV203" s="21"/>
      <c r="AW203" s="21"/>
      <c r="AX203" s="21"/>
    </row>
    <row r="204" spans="45:50" x14ac:dyDescent="0.25">
      <c r="AS204" s="21">
        <v>30</v>
      </c>
      <c r="AT204" s="21">
        <v>10</v>
      </c>
      <c r="AU204" s="21"/>
      <c r="AV204" s="21"/>
      <c r="AW204" s="21" t="s">
        <v>47</v>
      </c>
      <c r="AX204" s="21">
        <v>10</v>
      </c>
    </row>
    <row r="205" spans="45:50" x14ac:dyDescent="0.25">
      <c r="AS205" s="21"/>
      <c r="AT205" s="21"/>
      <c r="AU205" s="21"/>
      <c r="AV205" s="21"/>
      <c r="AW205" s="21"/>
      <c r="AX205" s="21"/>
    </row>
    <row r="206" spans="45:50" x14ac:dyDescent="0.25">
      <c r="AS206" s="21"/>
      <c r="AT206" s="21"/>
      <c r="AU206" s="21"/>
      <c r="AV206" s="21"/>
      <c r="AW206" s="21"/>
      <c r="AX206" s="21"/>
    </row>
    <row r="207" spans="45:50" x14ac:dyDescent="0.25">
      <c r="AS207" s="21"/>
      <c r="AT207" s="21"/>
      <c r="AU207" s="21"/>
      <c r="AV207" s="21"/>
      <c r="AW207" s="21"/>
      <c r="AX207" s="21"/>
    </row>
    <row r="208" spans="45:50" x14ac:dyDescent="0.25">
      <c r="AS208" s="21"/>
      <c r="AT208" s="21"/>
      <c r="AU208" s="21"/>
      <c r="AV208" s="21"/>
      <c r="AW208" s="21"/>
      <c r="AX208" s="21"/>
    </row>
    <row r="209" spans="45:50" x14ac:dyDescent="0.25">
      <c r="AS209" s="21"/>
      <c r="AT209" s="21"/>
      <c r="AU209" s="21"/>
      <c r="AV209" s="21"/>
      <c r="AW209" s="21"/>
      <c r="AX209" s="21"/>
    </row>
    <row r="210" spans="45:50" x14ac:dyDescent="0.25">
      <c r="AS210" s="21"/>
      <c r="AT210" s="21"/>
      <c r="AU210" s="21"/>
      <c r="AV210" s="21"/>
      <c r="AW210" s="21"/>
      <c r="AX210" s="21"/>
    </row>
    <row r="211" spans="45:50" x14ac:dyDescent="0.25">
      <c r="AS211" s="21">
        <v>31</v>
      </c>
      <c r="AT211" s="21">
        <v>9</v>
      </c>
      <c r="AU211" s="21"/>
      <c r="AV211" s="21"/>
      <c r="AW211" s="21" t="s">
        <v>47</v>
      </c>
      <c r="AX211" s="21">
        <v>9</v>
      </c>
    </row>
    <row r="212" spans="45:50" x14ac:dyDescent="0.25">
      <c r="AS212" s="21"/>
      <c r="AT212" s="21"/>
      <c r="AU212" s="21"/>
      <c r="AV212" s="21"/>
      <c r="AW212" s="21"/>
      <c r="AX212" s="21"/>
    </row>
    <row r="213" spans="45:50" x14ac:dyDescent="0.25">
      <c r="AS213" s="21"/>
      <c r="AT213" s="21"/>
      <c r="AU213" s="21"/>
      <c r="AV213" s="21"/>
      <c r="AW213" s="21"/>
      <c r="AX213" s="21"/>
    </row>
    <row r="214" spans="45:50" x14ac:dyDescent="0.25">
      <c r="AS214" s="21"/>
      <c r="AT214" s="21"/>
      <c r="AU214" s="21"/>
      <c r="AV214" s="21"/>
      <c r="AW214" s="21"/>
      <c r="AX214" s="21"/>
    </row>
    <row r="215" spans="45:50" x14ac:dyDescent="0.25">
      <c r="AS215" s="21"/>
      <c r="AT215" s="21"/>
      <c r="AU215" s="21"/>
      <c r="AV215" s="21"/>
      <c r="AW215" s="21"/>
      <c r="AX215" s="21"/>
    </row>
    <row r="216" spans="45:50" x14ac:dyDescent="0.25">
      <c r="AS216" s="21"/>
      <c r="AT216" s="21"/>
      <c r="AU216" s="21"/>
      <c r="AV216" s="21"/>
      <c r="AW216" s="21"/>
      <c r="AX216" s="21"/>
    </row>
    <row r="217" spans="45:50" x14ac:dyDescent="0.25">
      <c r="AS217" s="21"/>
      <c r="AT217" s="21"/>
      <c r="AU217" s="21"/>
      <c r="AV217" s="21"/>
      <c r="AW217" s="21"/>
      <c r="AX217" s="21"/>
    </row>
    <row r="218" spans="45:50" x14ac:dyDescent="0.25">
      <c r="AS218" s="21">
        <v>32</v>
      </c>
      <c r="AT218" s="21">
        <v>8</v>
      </c>
      <c r="AU218" s="21"/>
      <c r="AV218" s="21"/>
      <c r="AW218" s="21" t="s">
        <v>47</v>
      </c>
      <c r="AX218" s="21">
        <v>8</v>
      </c>
    </row>
    <row r="219" spans="45:50" x14ac:dyDescent="0.25">
      <c r="AS219" s="21"/>
      <c r="AT219" s="21"/>
      <c r="AU219" s="21"/>
      <c r="AV219" s="21"/>
      <c r="AW219" s="21"/>
      <c r="AX219" s="21"/>
    </row>
    <row r="220" spans="45:50" x14ac:dyDescent="0.25">
      <c r="AS220" s="21"/>
      <c r="AT220" s="21"/>
      <c r="AU220" s="21"/>
      <c r="AV220" s="21"/>
      <c r="AW220" s="21"/>
      <c r="AX220" s="21"/>
    </row>
    <row r="221" spans="45:50" x14ac:dyDescent="0.25">
      <c r="AS221" s="21"/>
      <c r="AT221" s="21"/>
      <c r="AU221" s="21"/>
      <c r="AV221" s="21"/>
      <c r="AW221" s="21"/>
      <c r="AX221" s="21"/>
    </row>
    <row r="222" spans="45:50" x14ac:dyDescent="0.25">
      <c r="AS222" s="21"/>
      <c r="AT222" s="21"/>
      <c r="AU222" s="21"/>
      <c r="AV222" s="21"/>
      <c r="AW222" s="21"/>
      <c r="AX222" s="21"/>
    </row>
    <row r="223" spans="45:50" x14ac:dyDescent="0.25">
      <c r="AS223" s="21"/>
      <c r="AT223" s="21"/>
      <c r="AU223" s="21"/>
      <c r="AV223" s="21"/>
      <c r="AW223" s="21"/>
      <c r="AX223" s="21"/>
    </row>
    <row r="224" spans="45:50" x14ac:dyDescent="0.25">
      <c r="AS224" s="21"/>
      <c r="AT224" s="21"/>
      <c r="AU224" s="21"/>
      <c r="AV224" s="21"/>
      <c r="AW224" s="21"/>
      <c r="AX224" s="21"/>
    </row>
    <row r="225" spans="45:50" x14ac:dyDescent="0.25">
      <c r="AS225" s="21">
        <v>33</v>
      </c>
      <c r="AT225" s="21">
        <v>7</v>
      </c>
      <c r="AU225" s="21"/>
      <c r="AV225" s="21"/>
      <c r="AW225" s="21" t="s">
        <v>47</v>
      </c>
      <c r="AX225" s="21">
        <v>7</v>
      </c>
    </row>
    <row r="226" spans="45:50" x14ac:dyDescent="0.25">
      <c r="AS226" s="21"/>
      <c r="AT226" s="21"/>
      <c r="AU226" s="21"/>
      <c r="AV226" s="21"/>
      <c r="AW226" s="21"/>
      <c r="AX226" s="21"/>
    </row>
    <row r="227" spans="45:50" x14ac:dyDescent="0.25">
      <c r="AS227" s="21"/>
      <c r="AT227" s="21"/>
      <c r="AU227" s="21"/>
      <c r="AV227" s="21"/>
      <c r="AW227" s="21"/>
      <c r="AX227" s="21"/>
    </row>
    <row r="228" spans="45:50" x14ac:dyDescent="0.25">
      <c r="AS228" s="21"/>
      <c r="AT228" s="21"/>
      <c r="AU228" s="21"/>
      <c r="AV228" s="21"/>
      <c r="AW228" s="21"/>
      <c r="AX228" s="21"/>
    </row>
    <row r="229" spans="45:50" x14ac:dyDescent="0.25">
      <c r="AS229" s="21"/>
      <c r="AT229" s="21"/>
      <c r="AU229" s="21"/>
      <c r="AV229" s="21"/>
      <c r="AW229" s="21"/>
      <c r="AX229" s="21"/>
    </row>
    <row r="230" spans="45:50" x14ac:dyDescent="0.25">
      <c r="AS230" s="21"/>
      <c r="AT230" s="21"/>
      <c r="AU230" s="21"/>
      <c r="AV230" s="21"/>
      <c r="AW230" s="21"/>
      <c r="AX230" s="21"/>
    </row>
    <row r="231" spans="45:50" x14ac:dyDescent="0.25">
      <c r="AS231" s="21"/>
      <c r="AT231" s="21"/>
      <c r="AU231" s="21"/>
      <c r="AV231" s="21"/>
      <c r="AW231" s="21"/>
      <c r="AX231" s="21"/>
    </row>
    <row r="232" spans="45:50" x14ac:dyDescent="0.25">
      <c r="AS232" s="21">
        <v>34</v>
      </c>
      <c r="AT232" s="21">
        <v>6</v>
      </c>
      <c r="AU232" s="21"/>
      <c r="AV232" s="21"/>
      <c r="AW232" s="21" t="s">
        <v>47</v>
      </c>
      <c r="AX232" s="21">
        <v>6</v>
      </c>
    </row>
    <row r="233" spans="45:50" x14ac:dyDescent="0.25">
      <c r="AS233" s="21"/>
      <c r="AT233" s="21"/>
      <c r="AU233" s="21"/>
      <c r="AV233" s="21"/>
      <c r="AW233" s="21"/>
      <c r="AX233" s="21"/>
    </row>
    <row r="234" spans="45:50" x14ac:dyDescent="0.25">
      <c r="AS234" s="21"/>
      <c r="AT234" s="21"/>
      <c r="AU234" s="21"/>
      <c r="AV234" s="21"/>
      <c r="AW234" s="21"/>
      <c r="AX234" s="21"/>
    </row>
    <row r="235" spans="45:50" x14ac:dyDescent="0.25">
      <c r="AS235" s="21"/>
      <c r="AT235" s="21"/>
      <c r="AU235" s="21"/>
      <c r="AV235" s="21"/>
      <c r="AW235" s="21"/>
      <c r="AX235" s="21"/>
    </row>
    <row r="236" spans="45:50" x14ac:dyDescent="0.25">
      <c r="AS236" s="21"/>
      <c r="AT236" s="21"/>
      <c r="AU236" s="21"/>
      <c r="AV236" s="21"/>
      <c r="AW236" s="21"/>
      <c r="AX236" s="21"/>
    </row>
    <row r="237" spans="45:50" x14ac:dyDescent="0.25">
      <c r="AS237" s="21"/>
      <c r="AT237" s="21"/>
      <c r="AU237" s="21"/>
      <c r="AV237" s="21"/>
      <c r="AW237" s="21"/>
      <c r="AX237" s="21"/>
    </row>
    <row r="238" spans="45:50" x14ac:dyDescent="0.25">
      <c r="AS238" s="21"/>
      <c r="AT238" s="21"/>
      <c r="AU238" s="21"/>
      <c r="AV238" s="21"/>
      <c r="AW238" s="21"/>
      <c r="AX238" s="21"/>
    </row>
    <row r="239" spans="45:50" x14ac:dyDescent="0.25">
      <c r="AS239" s="21">
        <v>35</v>
      </c>
      <c r="AT239" s="21">
        <v>5</v>
      </c>
      <c r="AU239" s="21"/>
      <c r="AV239" s="21"/>
      <c r="AW239" s="21" t="s">
        <v>47</v>
      </c>
      <c r="AX239" s="21">
        <v>5</v>
      </c>
    </row>
    <row r="240" spans="45:50" x14ac:dyDescent="0.25">
      <c r="AS240" s="21"/>
      <c r="AT240" s="21"/>
      <c r="AU240" s="21"/>
      <c r="AV240" s="21"/>
      <c r="AW240" s="21"/>
      <c r="AX240" s="21"/>
    </row>
    <row r="241" spans="45:50" x14ac:dyDescent="0.25">
      <c r="AS241" s="21"/>
      <c r="AT241" s="21"/>
      <c r="AU241" s="21"/>
      <c r="AV241" s="21"/>
      <c r="AW241" s="21"/>
      <c r="AX241" s="21"/>
    </row>
    <row r="242" spans="45:50" x14ac:dyDescent="0.25">
      <c r="AS242" s="21"/>
      <c r="AT242" s="21"/>
      <c r="AU242" s="21"/>
      <c r="AV242" s="21"/>
      <c r="AW242" s="21"/>
      <c r="AX242" s="21"/>
    </row>
    <row r="243" spans="45:50" x14ac:dyDescent="0.25">
      <c r="AS243" s="21"/>
      <c r="AT243" s="21"/>
      <c r="AU243" s="21"/>
      <c r="AV243" s="21"/>
      <c r="AW243" s="21"/>
      <c r="AX243" s="21"/>
    </row>
    <row r="244" spans="45:50" x14ac:dyDescent="0.25">
      <c r="AS244" s="21"/>
      <c r="AT244" s="21"/>
      <c r="AU244" s="21"/>
      <c r="AV244" s="21"/>
      <c r="AW244" s="21"/>
      <c r="AX244" s="21"/>
    </row>
    <row r="245" spans="45:50" x14ac:dyDescent="0.25">
      <c r="AS245" s="21"/>
      <c r="AT245" s="21"/>
      <c r="AU245" s="21"/>
      <c r="AV245" s="21"/>
      <c r="AW245" s="21"/>
      <c r="AX245" s="21"/>
    </row>
    <row r="246" spans="45:50" x14ac:dyDescent="0.25">
      <c r="AS246" s="21">
        <v>36</v>
      </c>
      <c r="AT246" s="21">
        <v>4</v>
      </c>
      <c r="AU246" s="21"/>
      <c r="AV246" s="21"/>
      <c r="AW246" s="21" t="s">
        <v>47</v>
      </c>
      <c r="AX246" s="21">
        <v>4</v>
      </c>
    </row>
    <row r="247" spans="45:50" x14ac:dyDescent="0.25">
      <c r="AS247" s="21"/>
      <c r="AT247" s="21"/>
      <c r="AU247" s="21"/>
      <c r="AV247" s="21"/>
      <c r="AW247" s="21"/>
      <c r="AX247" s="21"/>
    </row>
    <row r="248" spans="45:50" x14ac:dyDescent="0.25">
      <c r="AS248" s="21"/>
      <c r="AT248" s="21"/>
      <c r="AU248" s="21"/>
      <c r="AV248" s="21"/>
      <c r="AW248" s="21"/>
      <c r="AX248" s="21"/>
    </row>
    <row r="249" spans="45:50" x14ac:dyDescent="0.25">
      <c r="AS249" s="21"/>
      <c r="AT249" s="21"/>
      <c r="AU249" s="21"/>
      <c r="AV249" s="21"/>
      <c r="AW249" s="21"/>
      <c r="AX249" s="21"/>
    </row>
    <row r="250" spans="45:50" x14ac:dyDescent="0.25">
      <c r="AS250" s="21"/>
      <c r="AT250" s="21"/>
      <c r="AU250" s="21"/>
      <c r="AV250" s="21"/>
      <c r="AW250" s="21"/>
      <c r="AX250" s="21"/>
    </row>
    <row r="251" spans="45:50" x14ac:dyDescent="0.25">
      <c r="AS251" s="21"/>
      <c r="AT251" s="21"/>
      <c r="AU251" s="21"/>
      <c r="AV251" s="21"/>
      <c r="AW251" s="21"/>
      <c r="AX251" s="21"/>
    </row>
    <row r="252" spans="45:50" x14ac:dyDescent="0.25">
      <c r="AS252" s="21"/>
      <c r="AT252" s="21"/>
      <c r="AU252" s="21"/>
      <c r="AV252" s="21"/>
      <c r="AW252" s="21"/>
      <c r="AX252" s="21"/>
    </row>
    <row r="253" spans="45:50" x14ac:dyDescent="0.25">
      <c r="AS253" s="21">
        <v>37</v>
      </c>
      <c r="AT253" s="21">
        <v>3</v>
      </c>
      <c r="AU253" s="21"/>
      <c r="AV253" s="21"/>
      <c r="AW253" s="21" t="s">
        <v>47</v>
      </c>
      <c r="AX253" s="21">
        <v>3</v>
      </c>
    </row>
    <row r="254" spans="45:50" x14ac:dyDescent="0.25">
      <c r="AS254" s="21"/>
      <c r="AT254" s="21"/>
      <c r="AU254" s="21"/>
      <c r="AV254" s="21"/>
      <c r="AW254" s="21"/>
      <c r="AX254" s="21"/>
    </row>
    <row r="255" spans="45:50" x14ac:dyDescent="0.25">
      <c r="AS255" s="21"/>
      <c r="AT255" s="21"/>
      <c r="AU255" s="21"/>
      <c r="AV255" s="21"/>
      <c r="AW255" s="21"/>
      <c r="AX255" s="21"/>
    </row>
    <row r="256" spans="45:50" x14ac:dyDescent="0.25">
      <c r="AS256" s="21"/>
      <c r="AT256" s="21"/>
      <c r="AU256" s="21"/>
      <c r="AV256" s="21"/>
      <c r="AW256" s="21"/>
      <c r="AX256" s="21"/>
    </row>
    <row r="257" spans="45:50" x14ac:dyDescent="0.25">
      <c r="AS257" s="21"/>
      <c r="AT257" s="21"/>
      <c r="AU257" s="21"/>
      <c r="AV257" s="21"/>
      <c r="AW257" s="21"/>
      <c r="AX257" s="21"/>
    </row>
    <row r="258" spans="45:50" x14ac:dyDescent="0.25">
      <c r="AS258" s="21"/>
      <c r="AT258" s="21"/>
      <c r="AU258" s="21"/>
      <c r="AV258" s="21"/>
      <c r="AW258" s="21"/>
      <c r="AX258" s="21"/>
    </row>
    <row r="259" spans="45:50" x14ac:dyDescent="0.25">
      <c r="AS259" s="21"/>
      <c r="AT259" s="21"/>
      <c r="AU259" s="21"/>
      <c r="AV259" s="21"/>
      <c r="AW259" s="21"/>
      <c r="AX259" s="21"/>
    </row>
    <row r="260" spans="45:50" x14ac:dyDescent="0.25">
      <c r="AS260" s="21">
        <v>38</v>
      </c>
      <c r="AT260" s="21">
        <v>2</v>
      </c>
      <c r="AU260" s="21"/>
      <c r="AV260" s="21"/>
      <c r="AW260" s="21" t="s">
        <v>47</v>
      </c>
      <c r="AX260" s="21">
        <v>2</v>
      </c>
    </row>
    <row r="261" spans="45:50" x14ac:dyDescent="0.25">
      <c r="AS261" s="21"/>
      <c r="AT261" s="21"/>
      <c r="AU261" s="21"/>
      <c r="AV261" s="21"/>
      <c r="AW261" s="21"/>
      <c r="AX261" s="21"/>
    </row>
    <row r="262" spans="45:50" x14ac:dyDescent="0.25">
      <c r="AS262" s="21"/>
      <c r="AT262" s="21"/>
      <c r="AU262" s="21"/>
      <c r="AV262" s="21"/>
      <c r="AW262" s="21"/>
      <c r="AX262" s="21"/>
    </row>
    <row r="263" spans="45:50" x14ac:dyDescent="0.25">
      <c r="AS263" s="21"/>
      <c r="AT263" s="21"/>
      <c r="AU263" s="21"/>
      <c r="AV263" s="21"/>
      <c r="AW263" s="21"/>
      <c r="AX263" s="21"/>
    </row>
    <row r="264" spans="45:50" x14ac:dyDescent="0.25">
      <c r="AS264" s="21"/>
      <c r="AT264" s="21"/>
      <c r="AU264" s="21"/>
      <c r="AV264" s="21"/>
      <c r="AW264" s="21"/>
      <c r="AX264" s="21"/>
    </row>
    <row r="265" spans="45:50" x14ac:dyDescent="0.25">
      <c r="AS265" s="21"/>
      <c r="AT265" s="21"/>
      <c r="AU265" s="21"/>
      <c r="AV265" s="21"/>
      <c r="AW265" s="21"/>
      <c r="AX265" s="21"/>
    </row>
    <row r="266" spans="45:50" x14ac:dyDescent="0.25">
      <c r="AS266" s="21"/>
      <c r="AT266" s="21"/>
      <c r="AU266" s="21"/>
      <c r="AV266" s="21"/>
      <c r="AW266" s="21"/>
      <c r="AX266" s="21"/>
    </row>
    <row r="267" spans="45:50" x14ac:dyDescent="0.25">
      <c r="AS267" s="21">
        <v>39</v>
      </c>
      <c r="AT267" s="21">
        <v>1</v>
      </c>
      <c r="AU267" s="21"/>
      <c r="AV267" s="21"/>
      <c r="AW267" s="21" t="s">
        <v>47</v>
      </c>
      <c r="AX267" s="21">
        <v>1</v>
      </c>
    </row>
    <row r="268" spans="45:50" x14ac:dyDescent="0.25">
      <c r="AS268" s="21"/>
      <c r="AT268" s="21"/>
      <c r="AU268" s="21"/>
      <c r="AV268" s="21"/>
      <c r="AW268" s="21"/>
      <c r="AX268" s="21"/>
    </row>
    <row r="269" spans="45:50" x14ac:dyDescent="0.25">
      <c r="AS269" s="21"/>
      <c r="AT269" s="21"/>
      <c r="AU269" s="21"/>
      <c r="AV269" s="21"/>
      <c r="AW269" s="21"/>
      <c r="AX269" s="21"/>
    </row>
    <row r="270" spans="45:50" x14ac:dyDescent="0.25">
      <c r="AS270" s="21"/>
      <c r="AT270" s="21"/>
      <c r="AU270" s="21"/>
      <c r="AV270" s="21"/>
      <c r="AW270" s="21"/>
      <c r="AX270" s="21"/>
    </row>
    <row r="271" spans="45:50" x14ac:dyDescent="0.25">
      <c r="AS271" s="21"/>
      <c r="AT271" s="21"/>
      <c r="AU271" s="21"/>
      <c r="AV271" s="21"/>
      <c r="AW271" s="21"/>
      <c r="AX271" s="21"/>
    </row>
    <row r="272" spans="45:50" x14ac:dyDescent="0.25">
      <c r="AS272" s="21"/>
      <c r="AT272" s="21"/>
      <c r="AU272" s="21"/>
      <c r="AV272" s="21"/>
      <c r="AW272" s="21"/>
      <c r="AX272" s="21"/>
    </row>
    <row r="273" spans="45:50" x14ac:dyDescent="0.25">
      <c r="AS273" s="21"/>
      <c r="AT273" s="21"/>
      <c r="AU273" s="21"/>
      <c r="AV273" s="21"/>
      <c r="AW273" s="21"/>
      <c r="AX273" s="21"/>
    </row>
    <row r="274" spans="45:50" x14ac:dyDescent="0.25">
      <c r="AS274" s="21">
        <v>40</v>
      </c>
      <c r="AT274" s="21" t="s">
        <v>2</v>
      </c>
      <c r="AU274" s="21"/>
      <c r="AV274" s="21"/>
      <c r="AW274" s="21" t="s">
        <v>40</v>
      </c>
      <c r="AX274" s="21">
        <v>13</v>
      </c>
    </row>
    <row r="275" spans="45:50" x14ac:dyDescent="0.25">
      <c r="AS275" s="21"/>
      <c r="AT275" s="21"/>
      <c r="AU275" s="21"/>
      <c r="AV275" s="21"/>
      <c r="AW275" s="21"/>
      <c r="AX275" s="21"/>
    </row>
    <row r="276" spans="45:50" x14ac:dyDescent="0.25">
      <c r="AS276" s="21"/>
      <c r="AT276" s="21"/>
      <c r="AU276" s="21"/>
      <c r="AV276" s="21"/>
      <c r="AW276" s="21"/>
      <c r="AX276" s="21"/>
    </row>
    <row r="277" spans="45:50" x14ac:dyDescent="0.25">
      <c r="AS277" s="21"/>
      <c r="AT277" s="21"/>
      <c r="AU277" s="21"/>
      <c r="AV277" s="21"/>
      <c r="AW277" s="21"/>
      <c r="AX277" s="21"/>
    </row>
    <row r="278" spans="45:50" x14ac:dyDescent="0.25">
      <c r="AS278" s="21"/>
      <c r="AT278" s="21"/>
      <c r="AU278" s="21"/>
      <c r="AV278" s="21"/>
      <c r="AW278" s="21"/>
      <c r="AX278" s="21"/>
    </row>
    <row r="279" spans="45:50" x14ac:dyDescent="0.25">
      <c r="AS279" s="21"/>
      <c r="AT279" s="21"/>
      <c r="AU279" s="21"/>
      <c r="AV279" s="21"/>
      <c r="AW279" s="21"/>
      <c r="AX279" s="21"/>
    </row>
    <row r="280" spans="45:50" x14ac:dyDescent="0.25">
      <c r="AS280" s="21"/>
      <c r="AT280" s="21"/>
      <c r="AU280" s="21"/>
      <c r="AV280" s="21"/>
      <c r="AW280" s="21"/>
      <c r="AX280" s="21"/>
    </row>
    <row r="281" spans="45:50" x14ac:dyDescent="0.25">
      <c r="AS281" s="21">
        <v>41</v>
      </c>
      <c r="AT281" s="21" t="s">
        <v>14</v>
      </c>
      <c r="AU281" s="21"/>
      <c r="AV281" s="21"/>
      <c r="AW281" s="21" t="s">
        <v>40</v>
      </c>
      <c r="AX281" s="21">
        <v>12</v>
      </c>
    </row>
    <row r="282" spans="45:50" x14ac:dyDescent="0.25">
      <c r="AS282" s="21"/>
      <c r="AT282" s="21"/>
      <c r="AU282" s="21"/>
      <c r="AV282" s="21"/>
      <c r="AW282" s="21"/>
      <c r="AX282" s="21"/>
    </row>
    <row r="283" spans="45:50" x14ac:dyDescent="0.25">
      <c r="AS283" s="21"/>
      <c r="AT283" s="21"/>
      <c r="AU283" s="21"/>
      <c r="AV283" s="21"/>
      <c r="AW283" s="21"/>
      <c r="AX283" s="21"/>
    </row>
    <row r="284" spans="45:50" x14ac:dyDescent="0.25">
      <c r="AS284" s="21"/>
      <c r="AT284" s="21"/>
      <c r="AU284" s="21"/>
      <c r="AV284" s="21"/>
      <c r="AW284" s="21"/>
      <c r="AX284" s="21"/>
    </row>
    <row r="285" spans="45:50" x14ac:dyDescent="0.25">
      <c r="AS285" s="21"/>
      <c r="AT285" s="21"/>
      <c r="AU285" s="21"/>
      <c r="AV285" s="21"/>
      <c r="AW285" s="21"/>
      <c r="AX285" s="21"/>
    </row>
    <row r="286" spans="45:50" x14ac:dyDescent="0.25">
      <c r="AS286" s="21"/>
      <c r="AT286" s="21"/>
      <c r="AU286" s="21"/>
      <c r="AV286" s="21"/>
      <c r="AW286" s="21"/>
      <c r="AX286" s="21"/>
    </row>
    <row r="287" spans="45:50" x14ac:dyDescent="0.25">
      <c r="AS287" s="21"/>
      <c r="AT287" s="21"/>
      <c r="AU287" s="21"/>
      <c r="AV287" s="21"/>
      <c r="AW287" s="21"/>
      <c r="AX287" s="21"/>
    </row>
    <row r="288" spans="45:50" x14ac:dyDescent="0.25">
      <c r="AS288" s="21">
        <v>42</v>
      </c>
      <c r="AT288" s="21" t="s">
        <v>16</v>
      </c>
      <c r="AU288" s="21"/>
      <c r="AV288" s="21"/>
      <c r="AW288" s="21" t="s">
        <v>40</v>
      </c>
      <c r="AX288" s="21">
        <v>11</v>
      </c>
    </row>
    <row r="289" spans="45:50" x14ac:dyDescent="0.25">
      <c r="AS289" s="21"/>
      <c r="AT289" s="21"/>
      <c r="AU289" s="21"/>
      <c r="AV289" s="21"/>
      <c r="AW289" s="21"/>
      <c r="AX289" s="21"/>
    </row>
    <row r="290" spans="45:50" x14ac:dyDescent="0.25">
      <c r="AS290" s="21"/>
      <c r="AT290" s="21"/>
      <c r="AU290" s="21"/>
      <c r="AV290" s="21"/>
      <c r="AW290" s="21"/>
      <c r="AX290" s="21"/>
    </row>
    <row r="291" spans="45:50" x14ac:dyDescent="0.25">
      <c r="AS291" s="21"/>
      <c r="AT291" s="21"/>
      <c r="AU291" s="21"/>
      <c r="AV291" s="21"/>
      <c r="AW291" s="21"/>
      <c r="AX291" s="21"/>
    </row>
    <row r="292" spans="45:50" x14ac:dyDescent="0.25">
      <c r="AS292" s="21"/>
      <c r="AT292" s="21"/>
      <c r="AU292" s="21"/>
      <c r="AV292" s="21"/>
      <c r="AW292" s="21"/>
      <c r="AX292" s="21"/>
    </row>
    <row r="293" spans="45:50" x14ac:dyDescent="0.25">
      <c r="AS293" s="21"/>
      <c r="AT293" s="21"/>
      <c r="AU293" s="21"/>
      <c r="AV293" s="21"/>
      <c r="AW293" s="21"/>
      <c r="AX293" s="21"/>
    </row>
    <row r="294" spans="45:50" x14ac:dyDescent="0.25">
      <c r="AS294" s="21"/>
      <c r="AT294" s="21"/>
      <c r="AU294" s="21"/>
      <c r="AV294" s="21"/>
      <c r="AW294" s="21"/>
      <c r="AX294" s="21"/>
    </row>
    <row r="295" spans="45:50" x14ac:dyDescent="0.25">
      <c r="AS295" s="21">
        <v>43</v>
      </c>
      <c r="AT295" s="21">
        <v>10</v>
      </c>
      <c r="AU295" s="21"/>
      <c r="AV295" s="21"/>
      <c r="AW295" s="21" t="s">
        <v>40</v>
      </c>
      <c r="AX295" s="21">
        <v>10</v>
      </c>
    </row>
    <row r="296" spans="45:50" x14ac:dyDescent="0.25">
      <c r="AS296" s="21"/>
      <c r="AT296" s="21"/>
      <c r="AU296" s="21"/>
      <c r="AV296" s="21"/>
      <c r="AW296" s="21"/>
      <c r="AX296" s="21"/>
    </row>
    <row r="297" spans="45:50" x14ac:dyDescent="0.25">
      <c r="AS297" s="21"/>
      <c r="AT297" s="21"/>
      <c r="AU297" s="21"/>
      <c r="AV297" s="21"/>
      <c r="AW297" s="21"/>
      <c r="AX297" s="21"/>
    </row>
    <row r="298" spans="45:50" x14ac:dyDescent="0.25">
      <c r="AS298" s="21"/>
      <c r="AT298" s="21"/>
      <c r="AU298" s="21"/>
      <c r="AV298" s="21"/>
      <c r="AW298" s="21"/>
      <c r="AX298" s="21"/>
    </row>
    <row r="299" spans="45:50" x14ac:dyDescent="0.25">
      <c r="AS299" s="21"/>
      <c r="AT299" s="21"/>
      <c r="AU299" s="21"/>
      <c r="AV299" s="21"/>
      <c r="AW299" s="21"/>
      <c r="AX299" s="21"/>
    </row>
    <row r="300" spans="45:50" x14ac:dyDescent="0.25">
      <c r="AS300" s="21"/>
      <c r="AT300" s="21"/>
      <c r="AU300" s="21"/>
      <c r="AV300" s="21"/>
      <c r="AW300" s="21"/>
      <c r="AX300" s="21"/>
    </row>
    <row r="301" spans="45:50" x14ac:dyDescent="0.25">
      <c r="AS301" s="21"/>
      <c r="AT301" s="21"/>
      <c r="AU301" s="21"/>
      <c r="AV301" s="21"/>
      <c r="AW301" s="21"/>
      <c r="AX301" s="21"/>
    </row>
    <row r="302" spans="45:50" x14ac:dyDescent="0.25">
      <c r="AS302" s="21">
        <v>44</v>
      </c>
      <c r="AT302" s="21">
        <v>9</v>
      </c>
      <c r="AU302" s="21"/>
      <c r="AV302" s="21"/>
      <c r="AW302" s="21" t="s">
        <v>40</v>
      </c>
      <c r="AX302" s="21">
        <v>9</v>
      </c>
    </row>
    <row r="303" spans="45:50" x14ac:dyDescent="0.25">
      <c r="AS303" s="21"/>
      <c r="AT303" s="21"/>
      <c r="AU303" s="21"/>
      <c r="AV303" s="21"/>
      <c r="AW303" s="21"/>
      <c r="AX303" s="21"/>
    </row>
    <row r="304" spans="45:50" x14ac:dyDescent="0.25">
      <c r="AS304" s="21"/>
      <c r="AT304" s="21"/>
      <c r="AU304" s="21"/>
      <c r="AV304" s="21"/>
      <c r="AW304" s="21"/>
      <c r="AX304" s="21"/>
    </row>
    <row r="305" spans="45:50" x14ac:dyDescent="0.25">
      <c r="AS305" s="21"/>
      <c r="AT305" s="21"/>
      <c r="AU305" s="21"/>
      <c r="AV305" s="21"/>
      <c r="AW305" s="21"/>
      <c r="AX305" s="21"/>
    </row>
    <row r="306" spans="45:50" x14ac:dyDescent="0.25">
      <c r="AS306" s="21"/>
      <c r="AT306" s="21"/>
      <c r="AU306" s="21"/>
      <c r="AV306" s="21"/>
      <c r="AW306" s="21"/>
      <c r="AX306" s="21"/>
    </row>
    <row r="307" spans="45:50" x14ac:dyDescent="0.25">
      <c r="AS307" s="21"/>
      <c r="AT307" s="21"/>
      <c r="AU307" s="21"/>
      <c r="AV307" s="21"/>
      <c r="AW307" s="21"/>
      <c r="AX307" s="21"/>
    </row>
    <row r="308" spans="45:50" x14ac:dyDescent="0.25">
      <c r="AS308" s="21"/>
      <c r="AT308" s="21"/>
      <c r="AU308" s="21"/>
      <c r="AV308" s="21"/>
      <c r="AW308" s="21"/>
      <c r="AX308" s="21"/>
    </row>
    <row r="309" spans="45:50" x14ac:dyDescent="0.25">
      <c r="AS309" s="21">
        <v>45</v>
      </c>
      <c r="AT309" s="21">
        <v>8</v>
      </c>
      <c r="AU309" s="21"/>
      <c r="AV309" s="21"/>
      <c r="AW309" s="21" t="s">
        <v>40</v>
      </c>
      <c r="AX309" s="21">
        <v>8</v>
      </c>
    </row>
    <row r="310" spans="45:50" x14ac:dyDescent="0.25">
      <c r="AS310" s="21"/>
      <c r="AT310" s="21"/>
      <c r="AU310" s="21"/>
      <c r="AV310" s="21"/>
      <c r="AW310" s="21"/>
      <c r="AX310" s="21"/>
    </row>
    <row r="311" spans="45:50" x14ac:dyDescent="0.25">
      <c r="AS311" s="21"/>
      <c r="AT311" s="21"/>
      <c r="AU311" s="21"/>
      <c r="AV311" s="21"/>
      <c r="AW311" s="21"/>
      <c r="AX311" s="21"/>
    </row>
    <row r="312" spans="45:50" x14ac:dyDescent="0.25">
      <c r="AS312" s="21"/>
      <c r="AT312" s="21"/>
      <c r="AU312" s="21"/>
      <c r="AV312" s="21"/>
      <c r="AW312" s="21"/>
      <c r="AX312" s="21"/>
    </row>
    <row r="313" spans="45:50" x14ac:dyDescent="0.25">
      <c r="AS313" s="21"/>
      <c r="AT313" s="21"/>
      <c r="AU313" s="21"/>
      <c r="AV313" s="21"/>
      <c r="AW313" s="21"/>
      <c r="AX313" s="21"/>
    </row>
    <row r="314" spans="45:50" x14ac:dyDescent="0.25">
      <c r="AS314" s="21"/>
      <c r="AT314" s="21"/>
      <c r="AU314" s="21"/>
      <c r="AV314" s="21"/>
      <c r="AW314" s="21"/>
      <c r="AX314" s="21"/>
    </row>
    <row r="315" spans="45:50" x14ac:dyDescent="0.25">
      <c r="AS315" s="21"/>
      <c r="AT315" s="21"/>
      <c r="AU315" s="21"/>
      <c r="AV315" s="21"/>
      <c r="AW315" s="21"/>
      <c r="AX315" s="21"/>
    </row>
    <row r="316" spans="45:50" x14ac:dyDescent="0.25">
      <c r="AS316" s="21">
        <v>46</v>
      </c>
      <c r="AT316" s="21">
        <v>7</v>
      </c>
      <c r="AU316" s="21"/>
      <c r="AV316" s="21"/>
      <c r="AW316" s="21" t="s">
        <v>40</v>
      </c>
      <c r="AX316" s="21">
        <v>7</v>
      </c>
    </row>
    <row r="317" spans="45:50" x14ac:dyDescent="0.25">
      <c r="AS317" s="21"/>
      <c r="AT317" s="21"/>
      <c r="AU317" s="21"/>
      <c r="AV317" s="21"/>
      <c r="AW317" s="21"/>
      <c r="AX317" s="21"/>
    </row>
    <row r="318" spans="45:50" x14ac:dyDescent="0.25">
      <c r="AS318" s="21"/>
      <c r="AT318" s="21"/>
      <c r="AU318" s="21"/>
      <c r="AV318" s="21"/>
      <c r="AW318" s="21"/>
      <c r="AX318" s="21"/>
    </row>
    <row r="319" spans="45:50" x14ac:dyDescent="0.25">
      <c r="AS319" s="21"/>
      <c r="AT319" s="21"/>
      <c r="AU319" s="21"/>
      <c r="AV319" s="21"/>
      <c r="AW319" s="21"/>
      <c r="AX319" s="21"/>
    </row>
    <row r="320" spans="45:50" x14ac:dyDescent="0.25">
      <c r="AS320" s="21"/>
      <c r="AT320" s="21"/>
      <c r="AU320" s="21"/>
      <c r="AV320" s="21"/>
      <c r="AW320" s="21"/>
      <c r="AX320" s="21"/>
    </row>
    <row r="321" spans="45:50" x14ac:dyDescent="0.25">
      <c r="AS321" s="21"/>
      <c r="AT321" s="21"/>
      <c r="AU321" s="21"/>
      <c r="AV321" s="21"/>
      <c r="AW321" s="21"/>
      <c r="AX321" s="21"/>
    </row>
    <row r="322" spans="45:50" x14ac:dyDescent="0.25">
      <c r="AS322" s="21"/>
      <c r="AT322" s="21"/>
      <c r="AU322" s="21"/>
      <c r="AV322" s="21"/>
      <c r="AW322" s="21"/>
      <c r="AX322" s="21"/>
    </row>
    <row r="323" spans="45:50" x14ac:dyDescent="0.25">
      <c r="AS323" s="21">
        <v>47</v>
      </c>
      <c r="AT323" s="21">
        <v>6</v>
      </c>
      <c r="AU323" s="21"/>
      <c r="AV323" s="21"/>
      <c r="AW323" s="21" t="s">
        <v>40</v>
      </c>
      <c r="AX323" s="21">
        <v>6</v>
      </c>
    </row>
    <row r="324" spans="45:50" x14ac:dyDescent="0.25">
      <c r="AS324" s="21"/>
      <c r="AT324" s="21"/>
      <c r="AU324" s="21"/>
      <c r="AV324" s="21"/>
      <c r="AW324" s="21"/>
      <c r="AX324" s="21"/>
    </row>
    <row r="325" spans="45:50" x14ac:dyDescent="0.25">
      <c r="AS325" s="21"/>
      <c r="AT325" s="21"/>
      <c r="AU325" s="21"/>
      <c r="AV325" s="21"/>
      <c r="AW325" s="21"/>
      <c r="AX325" s="21"/>
    </row>
    <row r="326" spans="45:50" x14ac:dyDescent="0.25">
      <c r="AS326" s="21"/>
      <c r="AT326" s="21"/>
      <c r="AU326" s="21"/>
      <c r="AV326" s="21"/>
      <c r="AW326" s="21"/>
      <c r="AX326" s="21"/>
    </row>
    <row r="327" spans="45:50" x14ac:dyDescent="0.25">
      <c r="AS327" s="21"/>
      <c r="AT327" s="21"/>
      <c r="AU327" s="21"/>
      <c r="AV327" s="21"/>
      <c r="AW327" s="21"/>
      <c r="AX327" s="21"/>
    </row>
    <row r="328" spans="45:50" x14ac:dyDescent="0.25">
      <c r="AS328" s="21"/>
      <c r="AT328" s="21"/>
      <c r="AU328" s="21"/>
      <c r="AV328" s="21"/>
      <c r="AW328" s="21"/>
      <c r="AX328" s="21"/>
    </row>
    <row r="329" spans="45:50" x14ac:dyDescent="0.25">
      <c r="AS329" s="21"/>
      <c r="AT329" s="21"/>
      <c r="AU329" s="21"/>
      <c r="AV329" s="21"/>
      <c r="AW329" s="21"/>
      <c r="AX329" s="21"/>
    </row>
    <row r="330" spans="45:50" x14ac:dyDescent="0.25">
      <c r="AS330" s="21">
        <v>48</v>
      </c>
      <c r="AT330" s="21">
        <v>5</v>
      </c>
      <c r="AU330" s="21"/>
      <c r="AV330" s="21"/>
      <c r="AW330" s="21" t="s">
        <v>40</v>
      </c>
      <c r="AX330" s="21">
        <v>5</v>
      </c>
    </row>
    <row r="331" spans="45:50" x14ac:dyDescent="0.25">
      <c r="AS331" s="21"/>
      <c r="AT331" s="21"/>
      <c r="AU331" s="21"/>
      <c r="AV331" s="21"/>
      <c r="AW331" s="21"/>
      <c r="AX331" s="21"/>
    </row>
    <row r="332" spans="45:50" x14ac:dyDescent="0.25">
      <c r="AS332" s="21"/>
      <c r="AT332" s="21"/>
      <c r="AU332" s="21"/>
      <c r="AV332" s="21"/>
      <c r="AW332" s="21"/>
      <c r="AX332" s="21"/>
    </row>
    <row r="333" spans="45:50" x14ac:dyDescent="0.25">
      <c r="AS333" s="21"/>
      <c r="AT333" s="21"/>
      <c r="AU333" s="21"/>
      <c r="AV333" s="21"/>
      <c r="AW333" s="21"/>
      <c r="AX333" s="21"/>
    </row>
    <row r="334" spans="45:50" x14ac:dyDescent="0.25">
      <c r="AS334" s="21"/>
      <c r="AT334" s="21"/>
      <c r="AU334" s="21"/>
      <c r="AV334" s="21"/>
      <c r="AW334" s="21"/>
      <c r="AX334" s="21"/>
    </row>
    <row r="335" spans="45:50" x14ac:dyDescent="0.25">
      <c r="AS335" s="21"/>
      <c r="AT335" s="21"/>
      <c r="AU335" s="21"/>
      <c r="AV335" s="21"/>
      <c r="AW335" s="21"/>
      <c r="AX335" s="21"/>
    </row>
    <row r="336" spans="45:50" x14ac:dyDescent="0.25">
      <c r="AS336" s="21"/>
      <c r="AT336" s="21"/>
      <c r="AU336" s="21"/>
      <c r="AV336" s="21"/>
      <c r="AW336" s="21"/>
      <c r="AX336" s="21"/>
    </row>
    <row r="337" spans="45:50" x14ac:dyDescent="0.25">
      <c r="AS337" s="21">
        <v>49</v>
      </c>
      <c r="AT337" s="21">
        <v>4</v>
      </c>
      <c r="AU337" s="21"/>
      <c r="AV337" s="21"/>
      <c r="AW337" s="21" t="s">
        <v>40</v>
      </c>
      <c r="AX337" s="21">
        <v>4</v>
      </c>
    </row>
    <row r="338" spans="45:50" x14ac:dyDescent="0.25">
      <c r="AS338" s="21"/>
      <c r="AT338" s="21"/>
      <c r="AU338" s="21"/>
      <c r="AV338" s="21"/>
      <c r="AW338" s="21"/>
      <c r="AX338" s="21"/>
    </row>
    <row r="339" spans="45:50" x14ac:dyDescent="0.25">
      <c r="AS339" s="21"/>
      <c r="AT339" s="21"/>
      <c r="AU339" s="21"/>
      <c r="AV339" s="21"/>
      <c r="AW339" s="21"/>
      <c r="AX339" s="21"/>
    </row>
    <row r="340" spans="45:50" x14ac:dyDescent="0.25">
      <c r="AS340" s="21"/>
      <c r="AT340" s="21"/>
      <c r="AU340" s="21"/>
      <c r="AV340" s="21"/>
      <c r="AW340" s="21"/>
      <c r="AX340" s="21"/>
    </row>
    <row r="341" spans="45:50" x14ac:dyDescent="0.25">
      <c r="AS341" s="21"/>
      <c r="AT341" s="21"/>
      <c r="AU341" s="21"/>
      <c r="AV341" s="21"/>
      <c r="AW341" s="21"/>
      <c r="AX341" s="21"/>
    </row>
    <row r="342" spans="45:50" x14ac:dyDescent="0.25">
      <c r="AS342" s="21"/>
      <c r="AT342" s="21"/>
      <c r="AU342" s="21"/>
      <c r="AV342" s="21"/>
      <c r="AW342" s="21"/>
      <c r="AX342" s="21"/>
    </row>
    <row r="343" spans="45:50" x14ac:dyDescent="0.25">
      <c r="AS343" s="21"/>
      <c r="AT343" s="21"/>
      <c r="AU343" s="21"/>
      <c r="AV343" s="21"/>
      <c r="AW343" s="21"/>
      <c r="AX343" s="21"/>
    </row>
    <row r="344" spans="45:50" x14ac:dyDescent="0.25">
      <c r="AS344" s="21">
        <v>50</v>
      </c>
      <c r="AT344" s="21">
        <v>3</v>
      </c>
      <c r="AU344" s="21"/>
      <c r="AV344" s="21"/>
      <c r="AW344" s="21" t="s">
        <v>40</v>
      </c>
      <c r="AX344" s="21">
        <v>3</v>
      </c>
    </row>
    <row r="345" spans="45:50" x14ac:dyDescent="0.25">
      <c r="AS345" s="21"/>
      <c r="AT345" s="21"/>
      <c r="AU345" s="21"/>
      <c r="AV345" s="21"/>
      <c r="AW345" s="21"/>
      <c r="AX345" s="21"/>
    </row>
    <row r="346" spans="45:50" x14ac:dyDescent="0.25">
      <c r="AS346" s="21"/>
      <c r="AT346" s="21"/>
      <c r="AU346" s="21"/>
      <c r="AV346" s="21"/>
      <c r="AW346" s="21"/>
      <c r="AX346" s="21"/>
    </row>
    <row r="347" spans="45:50" x14ac:dyDescent="0.25">
      <c r="AS347" s="21"/>
      <c r="AT347" s="21"/>
      <c r="AU347" s="21"/>
      <c r="AV347" s="21"/>
      <c r="AW347" s="21"/>
      <c r="AX347" s="21"/>
    </row>
    <row r="348" spans="45:50" x14ac:dyDescent="0.25">
      <c r="AS348" s="21"/>
      <c r="AT348" s="21"/>
      <c r="AU348" s="21"/>
      <c r="AV348" s="21"/>
      <c r="AW348" s="21"/>
      <c r="AX348" s="21"/>
    </row>
    <row r="349" spans="45:50" x14ac:dyDescent="0.25">
      <c r="AS349" s="21"/>
      <c r="AT349" s="21"/>
      <c r="AU349" s="21"/>
      <c r="AV349" s="21"/>
      <c r="AW349" s="21"/>
      <c r="AX349" s="21"/>
    </row>
    <row r="350" spans="45:50" x14ac:dyDescent="0.25">
      <c r="AS350" s="21"/>
      <c r="AT350" s="21"/>
      <c r="AU350" s="21"/>
      <c r="AV350" s="21"/>
      <c r="AW350" s="21"/>
      <c r="AX350" s="21"/>
    </row>
    <row r="351" spans="45:50" x14ac:dyDescent="0.25">
      <c r="AS351" s="21">
        <v>51</v>
      </c>
      <c r="AT351" s="21">
        <v>2</v>
      </c>
      <c r="AU351" s="21"/>
      <c r="AV351" s="21"/>
      <c r="AW351" s="21" t="s">
        <v>40</v>
      </c>
      <c r="AX351" s="21">
        <v>2</v>
      </c>
    </row>
    <row r="352" spans="45:50" x14ac:dyDescent="0.25">
      <c r="AS352" s="21"/>
      <c r="AT352" s="21"/>
      <c r="AU352" s="21"/>
      <c r="AV352" s="21"/>
      <c r="AW352" s="21"/>
      <c r="AX352" s="21"/>
    </row>
    <row r="353" spans="45:50" x14ac:dyDescent="0.25">
      <c r="AS353" s="21"/>
      <c r="AT353" s="21"/>
      <c r="AU353" s="21"/>
      <c r="AV353" s="21"/>
      <c r="AW353" s="21"/>
      <c r="AX353" s="21"/>
    </row>
    <row r="354" spans="45:50" x14ac:dyDescent="0.25">
      <c r="AS354" s="21"/>
      <c r="AT354" s="21"/>
      <c r="AU354" s="21"/>
      <c r="AV354" s="21"/>
      <c r="AW354" s="21"/>
      <c r="AX354" s="21"/>
    </row>
    <row r="355" spans="45:50" x14ac:dyDescent="0.25">
      <c r="AS355" s="21"/>
      <c r="AT355" s="21"/>
      <c r="AU355" s="21"/>
      <c r="AV355" s="21"/>
      <c r="AW355" s="21"/>
      <c r="AX355" s="21"/>
    </row>
    <row r="356" spans="45:50" x14ac:dyDescent="0.25">
      <c r="AS356" s="21"/>
      <c r="AT356" s="21"/>
      <c r="AU356" s="21"/>
      <c r="AV356" s="21"/>
      <c r="AW356" s="21"/>
      <c r="AX356" s="21"/>
    </row>
    <row r="357" spans="45:50" x14ac:dyDescent="0.25">
      <c r="AS357" s="21"/>
      <c r="AT357" s="21"/>
      <c r="AU357" s="21"/>
      <c r="AV357" s="21"/>
      <c r="AW357" s="21"/>
      <c r="AX357" s="21"/>
    </row>
    <row r="358" spans="45:50" x14ac:dyDescent="0.25">
      <c r="AS358" s="21">
        <v>52</v>
      </c>
      <c r="AT358" s="21">
        <v>1</v>
      </c>
      <c r="AU358" s="21"/>
      <c r="AV358" s="21"/>
      <c r="AW358" s="21" t="s">
        <v>40</v>
      </c>
      <c r="AX358" s="21">
        <v>1</v>
      </c>
    </row>
    <row r="359" spans="45:50" x14ac:dyDescent="0.25">
      <c r="AS359" s="21"/>
      <c r="AT359" s="21"/>
      <c r="AU359" s="21"/>
      <c r="AV359" s="21"/>
      <c r="AW359" s="21"/>
      <c r="AX359" s="21"/>
    </row>
    <row r="360" spans="45:50" x14ac:dyDescent="0.25">
      <c r="AS360" s="21"/>
      <c r="AT360" s="21"/>
      <c r="AU360" s="21"/>
      <c r="AV360" s="21"/>
      <c r="AW360" s="21"/>
      <c r="AX360" s="21"/>
    </row>
    <row r="361" spans="45:50" x14ac:dyDescent="0.25">
      <c r="AS361" s="21"/>
      <c r="AT361" s="21"/>
      <c r="AU361" s="21"/>
      <c r="AV361" s="21"/>
      <c r="AW361" s="21"/>
      <c r="AX361" s="21"/>
    </row>
    <row r="362" spans="45:50" x14ac:dyDescent="0.25">
      <c r="AS362" s="21"/>
      <c r="AT362" s="21"/>
      <c r="AU362" s="21"/>
      <c r="AV362" s="21"/>
      <c r="AW362" s="21"/>
      <c r="AX362" s="21"/>
    </row>
    <row r="363" spans="45:50" x14ac:dyDescent="0.25">
      <c r="AS363" s="21"/>
      <c r="AT363" s="21"/>
      <c r="AU363" s="21"/>
      <c r="AV363" s="21"/>
      <c r="AW363" s="21"/>
      <c r="AX363" s="21"/>
    </row>
    <row r="364" spans="45:50" x14ac:dyDescent="0.25">
      <c r="AS364" s="21"/>
      <c r="AT364" s="21"/>
      <c r="AU364" s="21"/>
      <c r="AV364" s="21"/>
      <c r="AW364" s="21"/>
      <c r="AX364" s="21"/>
    </row>
    <row r="365" spans="45:50" x14ac:dyDescent="0.25">
      <c r="AS365" s="21">
        <v>53</v>
      </c>
      <c r="AT365" s="21" t="s">
        <v>52</v>
      </c>
      <c r="AU365" s="21"/>
      <c r="AV365" s="21"/>
      <c r="AW365" s="21"/>
      <c r="AX365" s="21"/>
    </row>
    <row r="366" spans="45:50" x14ac:dyDescent="0.25">
      <c r="AS366" s="21"/>
      <c r="AT366" s="21"/>
      <c r="AU366" s="21"/>
      <c r="AV366" s="21"/>
      <c r="AW366" s="21"/>
      <c r="AX366" s="21"/>
    </row>
    <row r="367" spans="45:50" x14ac:dyDescent="0.25">
      <c r="AS367" s="21"/>
      <c r="AT367" s="21"/>
      <c r="AU367" s="21"/>
      <c r="AV367" s="21"/>
      <c r="AW367" s="21"/>
      <c r="AX367" s="21"/>
    </row>
    <row r="368" spans="45:50" x14ac:dyDescent="0.25">
      <c r="AS368" s="21"/>
      <c r="AT368" s="21"/>
      <c r="AU368" s="21"/>
      <c r="AV368" s="21"/>
      <c r="AW368" s="21"/>
      <c r="AX368" s="21"/>
    </row>
    <row r="369" spans="45:50" x14ac:dyDescent="0.25">
      <c r="AS369" s="21"/>
      <c r="AT369" s="21"/>
      <c r="AU369" s="21"/>
      <c r="AV369" s="21"/>
      <c r="AW369" s="21"/>
      <c r="AX369" s="21"/>
    </row>
    <row r="370" spans="45:50" x14ac:dyDescent="0.25">
      <c r="AS370" s="21"/>
      <c r="AT370" s="21"/>
      <c r="AU370" s="21"/>
      <c r="AV370" s="21"/>
      <c r="AW370" s="21"/>
      <c r="AX370" s="21"/>
    </row>
    <row r="371" spans="45:50" x14ac:dyDescent="0.25">
      <c r="AS371" s="21"/>
      <c r="AT371" s="21"/>
      <c r="AU371" s="21"/>
      <c r="AV371" s="21"/>
      <c r="AW371" s="21"/>
      <c r="AX371" s="21"/>
    </row>
    <row r="372" spans="45:50" x14ac:dyDescent="0.25">
      <c r="AW372" s="18"/>
    </row>
    <row r="373" spans="45:50" x14ac:dyDescent="0.25">
      <c r="AW373" s="18"/>
    </row>
    <row r="374" spans="45:50" x14ac:dyDescent="0.25">
      <c r="AW374" s="18"/>
    </row>
    <row r="375" spans="45:50" x14ac:dyDescent="0.25">
      <c r="AW375" s="18"/>
    </row>
    <row r="376" spans="45:50" x14ac:dyDescent="0.25">
      <c r="AW376" s="18"/>
    </row>
    <row r="377" spans="45:50" x14ac:dyDescent="0.25">
      <c r="AW377" s="18"/>
    </row>
    <row r="378" spans="45:50" x14ac:dyDescent="0.25">
      <c r="AW378" s="18"/>
    </row>
    <row r="379" spans="45:50" x14ac:dyDescent="0.25">
      <c r="AW379" s="18"/>
    </row>
    <row r="380" spans="45:50" x14ac:dyDescent="0.25">
      <c r="AW380" s="18"/>
    </row>
    <row r="381" spans="45:50" x14ac:dyDescent="0.25">
      <c r="AW381" s="18"/>
    </row>
    <row r="382" spans="45:50" x14ac:dyDescent="0.25">
      <c r="AW382" s="18"/>
    </row>
    <row r="383" spans="45:50" x14ac:dyDescent="0.25">
      <c r="AW383" s="18"/>
    </row>
    <row r="384" spans="45:50" x14ac:dyDescent="0.25">
      <c r="AW384" s="18"/>
    </row>
    <row r="385" spans="49:49" x14ac:dyDescent="0.25">
      <c r="AW385" s="18"/>
    </row>
  </sheetData>
  <sortState ref="Q18:R21">
    <sortCondition ref="Q18"/>
  </sortState>
  <mergeCells count="270">
    <mergeCell ref="AX344:AX350"/>
    <mergeCell ref="AX351:AX357"/>
    <mergeCell ref="AX358:AX364"/>
    <mergeCell ref="AX365:AX371"/>
    <mergeCell ref="AH14:AI20"/>
    <mergeCell ref="AX309:AX315"/>
    <mergeCell ref="AX316:AX322"/>
    <mergeCell ref="AX323:AX329"/>
    <mergeCell ref="AX330:AX336"/>
    <mergeCell ref="AX337:AX343"/>
    <mergeCell ref="AX274:AX280"/>
    <mergeCell ref="AX281:AX287"/>
    <mergeCell ref="AX288:AX294"/>
    <mergeCell ref="AX295:AX301"/>
    <mergeCell ref="AX302:AX308"/>
    <mergeCell ref="AX239:AX245"/>
    <mergeCell ref="AX246:AX252"/>
    <mergeCell ref="AX253:AX259"/>
    <mergeCell ref="AX260:AX266"/>
    <mergeCell ref="AX267:AX273"/>
    <mergeCell ref="AX204:AX210"/>
    <mergeCell ref="AX211:AX217"/>
    <mergeCell ref="AX218:AX224"/>
    <mergeCell ref="AX225:AX231"/>
    <mergeCell ref="AX232:AX238"/>
    <mergeCell ref="AX169:AX175"/>
    <mergeCell ref="AX176:AX182"/>
    <mergeCell ref="AX183:AX189"/>
    <mergeCell ref="AX190:AX196"/>
    <mergeCell ref="AX197:AX203"/>
    <mergeCell ref="AX134:AX140"/>
    <mergeCell ref="AX141:AX147"/>
    <mergeCell ref="AX148:AX154"/>
    <mergeCell ref="AX155:AX161"/>
    <mergeCell ref="AX162:AX168"/>
    <mergeCell ref="AX99:AX105"/>
    <mergeCell ref="AX106:AX112"/>
    <mergeCell ref="AX113:AX119"/>
    <mergeCell ref="AX120:AX126"/>
    <mergeCell ref="AX127:AX133"/>
    <mergeCell ref="AX1:AX7"/>
    <mergeCell ref="AX8:AX14"/>
    <mergeCell ref="AX15:AX21"/>
    <mergeCell ref="AX22:AX28"/>
    <mergeCell ref="AX29:AX35"/>
    <mergeCell ref="AX36:AX42"/>
    <mergeCell ref="AX43:AX49"/>
    <mergeCell ref="AX50:AX56"/>
    <mergeCell ref="AX57:AX63"/>
    <mergeCell ref="AX64:AX70"/>
    <mergeCell ref="AX71:AX77"/>
    <mergeCell ref="AX78:AX84"/>
    <mergeCell ref="AX85:AX91"/>
    <mergeCell ref="AX92:AX98"/>
    <mergeCell ref="AW337:AW343"/>
    <mergeCell ref="AW344:AW350"/>
    <mergeCell ref="AW351:AW357"/>
    <mergeCell ref="AW358:AW364"/>
    <mergeCell ref="AW365:AW371"/>
    <mergeCell ref="AW302:AW308"/>
    <mergeCell ref="AW309:AW315"/>
    <mergeCell ref="AW316:AW322"/>
    <mergeCell ref="AW323:AW329"/>
    <mergeCell ref="AW330:AW336"/>
    <mergeCell ref="AW267:AW273"/>
    <mergeCell ref="AW274:AW280"/>
    <mergeCell ref="AW281:AW287"/>
    <mergeCell ref="AW288:AW294"/>
    <mergeCell ref="AW295:AW301"/>
    <mergeCell ref="AW232:AW238"/>
    <mergeCell ref="AW239:AW245"/>
    <mergeCell ref="AW246:AW252"/>
    <mergeCell ref="AW253:AW259"/>
    <mergeCell ref="AW260:AW266"/>
    <mergeCell ref="AW197:AW203"/>
    <mergeCell ref="AW204:AW210"/>
    <mergeCell ref="AW211:AW217"/>
    <mergeCell ref="AW218:AW224"/>
    <mergeCell ref="AW225:AW231"/>
    <mergeCell ref="AW162:AW168"/>
    <mergeCell ref="AW169:AW175"/>
    <mergeCell ref="AW176:AW182"/>
    <mergeCell ref="AW183:AW189"/>
    <mergeCell ref="AW190:AW196"/>
    <mergeCell ref="AW127:AW133"/>
    <mergeCell ref="AW134:AW140"/>
    <mergeCell ref="AW141:AW147"/>
    <mergeCell ref="AW148:AW154"/>
    <mergeCell ref="AW155:AW161"/>
    <mergeCell ref="AW92:AW98"/>
    <mergeCell ref="AW99:AW105"/>
    <mergeCell ref="AW106:AW112"/>
    <mergeCell ref="AW113:AW119"/>
    <mergeCell ref="AW120:AW126"/>
    <mergeCell ref="AS365:AS371"/>
    <mergeCell ref="AT365:AT371"/>
    <mergeCell ref="AU365:AV371"/>
    <mergeCell ref="AW1:AW7"/>
    <mergeCell ref="AW8:AW14"/>
    <mergeCell ref="AW15:AW21"/>
    <mergeCell ref="AW22:AW28"/>
    <mergeCell ref="AW29:AW35"/>
    <mergeCell ref="AW36:AW42"/>
    <mergeCell ref="AW43:AW49"/>
    <mergeCell ref="AW50:AW56"/>
    <mergeCell ref="AW57:AW63"/>
    <mergeCell ref="AW64:AW70"/>
    <mergeCell ref="AW71:AW77"/>
    <mergeCell ref="AW78:AW84"/>
    <mergeCell ref="AW85:AW91"/>
    <mergeCell ref="AS330:AS336"/>
    <mergeCell ref="AS337:AS343"/>
    <mergeCell ref="AS344:AS350"/>
    <mergeCell ref="AS351:AS357"/>
    <mergeCell ref="AS358:AS364"/>
    <mergeCell ref="AS295:AS301"/>
    <mergeCell ref="AS302:AS308"/>
    <mergeCell ref="AS309:AS315"/>
    <mergeCell ref="AS316:AS322"/>
    <mergeCell ref="AS323:AS329"/>
    <mergeCell ref="AS260:AS266"/>
    <mergeCell ref="AS267:AS273"/>
    <mergeCell ref="AS274:AS280"/>
    <mergeCell ref="AS281:AS287"/>
    <mergeCell ref="AS288:AS294"/>
    <mergeCell ref="AS225:AS231"/>
    <mergeCell ref="AS232:AS238"/>
    <mergeCell ref="AS239:AS245"/>
    <mergeCell ref="AS246:AS252"/>
    <mergeCell ref="AS253:AS259"/>
    <mergeCell ref="AS190:AS196"/>
    <mergeCell ref="AS197:AS203"/>
    <mergeCell ref="AS204:AS210"/>
    <mergeCell ref="AS211:AS217"/>
    <mergeCell ref="AS218:AS224"/>
    <mergeCell ref="AS155:AS161"/>
    <mergeCell ref="AS162:AS168"/>
    <mergeCell ref="AS169:AS175"/>
    <mergeCell ref="AS176:AS182"/>
    <mergeCell ref="AS183:AS189"/>
    <mergeCell ref="AS120:AS126"/>
    <mergeCell ref="AS127:AS133"/>
    <mergeCell ref="AS134:AS140"/>
    <mergeCell ref="AS141:AS147"/>
    <mergeCell ref="AS148:AS154"/>
    <mergeCell ref="AS85:AS91"/>
    <mergeCell ref="AS92:AS98"/>
    <mergeCell ref="AS99:AS105"/>
    <mergeCell ref="AS106:AS112"/>
    <mergeCell ref="AS113:AS119"/>
    <mergeCell ref="AT351:AT357"/>
    <mergeCell ref="AU351:AV357"/>
    <mergeCell ref="AT358:AT364"/>
    <mergeCell ref="AU358:AV364"/>
    <mergeCell ref="AS1:AS7"/>
    <mergeCell ref="AS8:AS14"/>
    <mergeCell ref="AS15:AS21"/>
    <mergeCell ref="AS22:AS28"/>
    <mergeCell ref="AS29:AS35"/>
    <mergeCell ref="AS36:AS42"/>
    <mergeCell ref="AS43:AS49"/>
    <mergeCell ref="AS50:AS56"/>
    <mergeCell ref="AS57:AS63"/>
    <mergeCell ref="AS64:AS70"/>
    <mergeCell ref="AS71:AS77"/>
    <mergeCell ref="AS78:AS84"/>
    <mergeCell ref="AT330:AT336"/>
    <mergeCell ref="AU330:AV336"/>
    <mergeCell ref="AT337:AT343"/>
    <mergeCell ref="AU337:AV343"/>
    <mergeCell ref="AT344:AT350"/>
    <mergeCell ref="AU344:AV350"/>
    <mergeCell ref="AT309:AT315"/>
    <mergeCell ref="AU309:AV315"/>
    <mergeCell ref="AT316:AT322"/>
    <mergeCell ref="AU316:AV322"/>
    <mergeCell ref="AT323:AT329"/>
    <mergeCell ref="AU323:AV329"/>
    <mergeCell ref="AT288:AT294"/>
    <mergeCell ref="AU288:AV294"/>
    <mergeCell ref="AT295:AT301"/>
    <mergeCell ref="AU295:AV301"/>
    <mergeCell ref="AT302:AT308"/>
    <mergeCell ref="AU302:AV308"/>
    <mergeCell ref="AT267:AT273"/>
    <mergeCell ref="AU267:AV273"/>
    <mergeCell ref="AT274:AT280"/>
    <mergeCell ref="AU274:AV280"/>
    <mergeCell ref="AT281:AT287"/>
    <mergeCell ref="AU281:AV287"/>
    <mergeCell ref="AT246:AT252"/>
    <mergeCell ref="AU246:AV252"/>
    <mergeCell ref="AT253:AT259"/>
    <mergeCell ref="AU253:AV259"/>
    <mergeCell ref="AT260:AT266"/>
    <mergeCell ref="AU260:AV266"/>
    <mergeCell ref="AT225:AT231"/>
    <mergeCell ref="AU225:AV231"/>
    <mergeCell ref="AT232:AT238"/>
    <mergeCell ref="AU232:AV238"/>
    <mergeCell ref="AT239:AT245"/>
    <mergeCell ref="AU239:AV245"/>
    <mergeCell ref="AT204:AT210"/>
    <mergeCell ref="AU204:AV210"/>
    <mergeCell ref="AT211:AT217"/>
    <mergeCell ref="AU211:AV217"/>
    <mergeCell ref="AT218:AT224"/>
    <mergeCell ref="AU218:AV224"/>
    <mergeCell ref="AT183:AT189"/>
    <mergeCell ref="AU183:AV189"/>
    <mergeCell ref="AT190:AT196"/>
    <mergeCell ref="AU190:AV196"/>
    <mergeCell ref="AT197:AT203"/>
    <mergeCell ref="AU197:AV203"/>
    <mergeCell ref="AT162:AT168"/>
    <mergeCell ref="AU162:AV168"/>
    <mergeCell ref="AT169:AT175"/>
    <mergeCell ref="AU169:AV175"/>
    <mergeCell ref="AT176:AT182"/>
    <mergeCell ref="AU176:AV182"/>
    <mergeCell ref="AT141:AT147"/>
    <mergeCell ref="AU141:AV147"/>
    <mergeCell ref="AT148:AT154"/>
    <mergeCell ref="AU148:AV154"/>
    <mergeCell ref="AT155:AT161"/>
    <mergeCell ref="AU155:AV161"/>
    <mergeCell ref="AT120:AT126"/>
    <mergeCell ref="AU120:AV126"/>
    <mergeCell ref="AT127:AT133"/>
    <mergeCell ref="AU127:AV133"/>
    <mergeCell ref="AT134:AT140"/>
    <mergeCell ref="AU134:AV140"/>
    <mergeCell ref="AT99:AT105"/>
    <mergeCell ref="AU99:AV105"/>
    <mergeCell ref="AT106:AT112"/>
    <mergeCell ref="AU106:AV112"/>
    <mergeCell ref="AT113:AT119"/>
    <mergeCell ref="AU113:AV119"/>
    <mergeCell ref="AT78:AT84"/>
    <mergeCell ref="AU78:AV84"/>
    <mergeCell ref="AT85:AT91"/>
    <mergeCell ref="AU85:AV91"/>
    <mergeCell ref="AT92:AT98"/>
    <mergeCell ref="AU92:AV98"/>
    <mergeCell ref="AT57:AT63"/>
    <mergeCell ref="AU57:AV63"/>
    <mergeCell ref="AT64:AT70"/>
    <mergeCell ref="AU64:AV70"/>
    <mergeCell ref="AT71:AT77"/>
    <mergeCell ref="AU71:AV77"/>
    <mergeCell ref="AT36:AT42"/>
    <mergeCell ref="AU36:AV42"/>
    <mergeCell ref="AT43:AT49"/>
    <mergeCell ref="AU43:AV49"/>
    <mergeCell ref="AT50:AT56"/>
    <mergeCell ref="AU50:AV56"/>
    <mergeCell ref="AT15:AT21"/>
    <mergeCell ref="AU15:AV21"/>
    <mergeCell ref="AT22:AT28"/>
    <mergeCell ref="AU22:AV28"/>
    <mergeCell ref="AT29:AT35"/>
    <mergeCell ref="AU29:AV35"/>
    <mergeCell ref="O2:Q10"/>
    <mergeCell ref="O11:Q13"/>
    <mergeCell ref="AH2:AJ10"/>
    <mergeCell ref="AU1:AV7"/>
    <mergeCell ref="AT1:AT7"/>
    <mergeCell ref="AT8:AT14"/>
    <mergeCell ref="AU8:AV14"/>
    <mergeCell ref="S1:AB1"/>
  </mergeCells>
  <conditionalFormatting sqref="S2:AB7">
    <cfRule type="cellIs" dxfId="1" priority="2" operator="equal">
      <formula>$R$2</formula>
    </cfRule>
  </conditionalFormatting>
  <conditionalFormatting sqref="S8:AB13">
    <cfRule type="cellIs" dxfId="0" priority="1" operator="equal">
      <formula>$R$3</formula>
    </cfRule>
  </conditionalFormatting>
  <dataValidations count="2">
    <dataValidation type="list" allowBlank="1" showInputMessage="1" showErrorMessage="1" sqref="O18">
      <formula1>$Q$18:$Q$21</formula1>
    </dataValidation>
    <dataValidation type="list" allowBlank="1" showInputMessage="1" showErrorMessage="1" sqref="O23">
      <formula1>$Q$23:$Q$26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18</xdr:col>
                    <xdr:colOff>28575</xdr:colOff>
                    <xdr:row>13</xdr:row>
                    <xdr:rowOff>9525</xdr:rowOff>
                  </from>
                  <to>
                    <xdr:col>27</xdr:col>
                    <xdr:colOff>276225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17</xdr:col>
                    <xdr:colOff>304800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Scroll Bar 14">
              <controlPr defaultSize="0" autoPict="0">
                <anchor moveWithCells="1">
                  <from>
                    <xdr:col>36</xdr:col>
                    <xdr:colOff>19050</xdr:colOff>
                    <xdr:row>0</xdr:row>
                    <xdr:rowOff>228600</xdr:rowOff>
                  </from>
                  <to>
                    <xdr:col>37</xdr:col>
                    <xdr:colOff>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7" name="Scroll Bar 52">
              <controlPr defaultSize="0" autoPict="0">
                <anchor moveWithCells="1">
                  <from>
                    <xdr:col>35</xdr:col>
                    <xdr:colOff>0</xdr:colOff>
                    <xdr:row>13</xdr:row>
                    <xdr:rowOff>19050</xdr:rowOff>
                  </from>
                  <to>
                    <xdr:col>35</xdr:col>
                    <xdr:colOff>600075</xdr:colOff>
                    <xdr:row>19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Card_DataBase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2017-03-27T00:20:12Z</dcterms:created>
  <dcterms:modified xsi:type="dcterms:W3CDTF">2017-03-28T00:56:04Z</dcterms:modified>
</cp:coreProperties>
</file>