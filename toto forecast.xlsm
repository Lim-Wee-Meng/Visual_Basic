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5" windowWidth="15195" windowHeight="6915"/>
  </bookViews>
  <sheets>
    <sheet name="Main" sheetId="1" r:id="rId1"/>
    <sheet name="Data" sheetId="2" r:id="rId2"/>
    <sheet name="Past Model" sheetId="3" r:id="rId3"/>
  </sheets>
  <definedNames>
    <definedName name="_xlnm.Print_Area" localSheetId="1">Data!$B$1:$I$23</definedName>
  </definedNames>
  <calcPr calcId="125725"/>
</workbook>
</file>

<file path=xl/calcChain.xml><?xml version="1.0" encoding="utf-8"?>
<calcChain xmlns="http://schemas.openxmlformats.org/spreadsheetml/2006/main">
  <c r="B14" i="1"/>
  <c r="N40" i="3"/>
  <c r="M40"/>
  <c r="L40"/>
  <c r="K40"/>
  <c r="J40"/>
  <c r="H40"/>
  <c r="G40"/>
  <c r="E40"/>
  <c r="D40"/>
  <c r="N39"/>
  <c r="M39"/>
  <c r="L39"/>
  <c r="K39"/>
  <c r="J39"/>
  <c r="H39"/>
  <c r="G39"/>
  <c r="E39"/>
  <c r="D39"/>
  <c r="N38"/>
  <c r="M38"/>
  <c r="L38"/>
  <c r="K38"/>
  <c r="J38"/>
  <c r="H38"/>
  <c r="G38"/>
  <c r="E38"/>
  <c r="D38"/>
  <c r="N37"/>
  <c r="M37"/>
  <c r="L37"/>
  <c r="K37"/>
  <c r="J37"/>
  <c r="H37"/>
  <c r="G37"/>
  <c r="E37"/>
  <c r="D37"/>
  <c r="N36"/>
  <c r="M36"/>
  <c r="L36"/>
  <c r="K36"/>
  <c r="J36"/>
  <c r="H36"/>
  <c r="G36"/>
  <c r="E36"/>
  <c r="D36"/>
  <c r="D3" i="1"/>
</calcChain>
</file>

<file path=xl/sharedStrings.xml><?xml version="1.0" encoding="utf-8"?>
<sst xmlns="http://schemas.openxmlformats.org/spreadsheetml/2006/main" count="254" uniqueCount="157">
  <si>
    <t>Odd</t>
  </si>
  <si>
    <t>Even</t>
  </si>
  <si>
    <t>Spot_num1</t>
  </si>
  <si>
    <t>Spot_num2</t>
  </si>
  <si>
    <t>Spot_num3</t>
  </si>
  <si>
    <t>Spot_num4</t>
  </si>
  <si>
    <t>Targetmatch</t>
  </si>
  <si>
    <t>Sum Upp Limit</t>
  </si>
  <si>
    <t>Sum Low Limit</t>
  </si>
  <si>
    <t>1 to  9</t>
  </si>
  <si>
    <t>10 to 19</t>
  </si>
  <si>
    <t>20 to 29</t>
  </si>
  <si>
    <t>30 to 39</t>
  </si>
  <si>
    <t>40 to 49</t>
  </si>
  <si>
    <t>Ball</t>
  </si>
  <si>
    <t>Start</t>
  </si>
  <si>
    <t>Stop</t>
  </si>
  <si>
    <t xml:space="preserve">            </t>
  </si>
  <si>
    <t>Date</t>
  </si>
  <si>
    <t>Grouping</t>
  </si>
  <si>
    <t>Draw_Numbers</t>
  </si>
  <si>
    <t>Min</t>
  </si>
  <si>
    <t>Max</t>
  </si>
  <si>
    <t>Low 1 to 25</t>
  </si>
  <si>
    <t>High 26 to 49</t>
  </si>
  <si>
    <t>1 to 9</t>
  </si>
  <si>
    <t>1-2-2-0-2</t>
  </si>
  <si>
    <t>11, 19, 22, 29, 42, 46, 2</t>
  </si>
  <si>
    <t>1-2-0-2-2</t>
  </si>
  <si>
    <t>11, 12, 30, 38, 45, 47, 6</t>
  </si>
  <si>
    <t>1-0-1-3-2</t>
  </si>
  <si>
    <t>5, 21, 30, 33, 39, 47, 43</t>
  </si>
  <si>
    <t>2-1-1-1-2</t>
  </si>
  <si>
    <t>1, 5, 14, 23, 40, 49, 33</t>
  </si>
  <si>
    <t>1-1-2-1-2</t>
  </si>
  <si>
    <t>3, 15, 26, 29, 38, 45, 49</t>
  </si>
  <si>
    <t>1-2-0-1-3</t>
  </si>
  <si>
    <t>7, 10, 19, 41, 43, 45, 31</t>
  </si>
  <si>
    <t>0-4-1-1-1</t>
  </si>
  <si>
    <t>14, 15, 19, 20, 36, 47, 10</t>
  </si>
  <si>
    <t>2-1-0-2-2</t>
  </si>
  <si>
    <t>9, 11, 38, 39, 44, 47, 3</t>
  </si>
  <si>
    <t>1-2-1-1-2</t>
  </si>
  <si>
    <t>5, 10, 11, 38, 44, 47, 20</t>
  </si>
  <si>
    <t>1-1-3-1-1</t>
  </si>
  <si>
    <t>7, 12, 24, 27, 35, 44, 20</t>
  </si>
  <si>
    <t>1-3-1-0-2</t>
  </si>
  <si>
    <t>2, 13, 19, 28, 41, 42, 14</t>
  </si>
  <si>
    <t>2-2-3-0-0</t>
  </si>
  <si>
    <t>1, 5, 14, 18, 24, 26, 29</t>
  </si>
  <si>
    <t>1-1-2-2-1</t>
  </si>
  <si>
    <t>2, 17, 22, 36, 37, 45, 23</t>
  </si>
  <si>
    <t>1-1-1-3-1</t>
  </si>
  <si>
    <t>19, 22, 33, 36, 37, 46, 8</t>
  </si>
  <si>
    <t>0-2-1-2-2</t>
  </si>
  <si>
    <t>12, 13, 26, 32, 42, 47, 39</t>
  </si>
  <si>
    <t>2-1-1-3-0</t>
  </si>
  <si>
    <t>4, 15, 22, 31, 32, 36, 6</t>
  </si>
  <si>
    <t>8, 10, 25, 31, 45, 48, 2</t>
  </si>
  <si>
    <t>8, 18, 20, 29, 39, 41, 38</t>
  </si>
  <si>
    <t>1-1-1-1-3</t>
  </si>
  <si>
    <t>6, 15, 38, 40, 45, 49, 27</t>
  </si>
  <si>
    <t>1-0-2-3-1</t>
  </si>
  <si>
    <t>6, 23, 24, 30, 36, 46, 31</t>
  </si>
  <si>
    <t>5, 12, 26, 31, 40, 47, 25</t>
  </si>
  <si>
    <t>0-1-3-3-0</t>
  </si>
  <si>
    <t>21, 24, 25, 31, 33, 36, 13</t>
  </si>
  <si>
    <t>3-1-0-2-1</t>
  </si>
  <si>
    <t>2, 3, 9, 16, 33, 37, 46</t>
  </si>
  <si>
    <t>1-0-1-1-4</t>
  </si>
  <si>
    <t>25, 32, 41, 43, 47, 48, 7</t>
  </si>
  <si>
    <t>3-1-1-2-0</t>
  </si>
  <si>
    <t>5, 7, 9, 15, 34, 38, 21</t>
  </si>
  <si>
    <t>1-0-3-3-0</t>
  </si>
  <si>
    <t>1, 22, 27, 34, 35, 37, 20</t>
  </si>
  <si>
    <t>1, 4, 18, 31, 48, 49, 21</t>
  </si>
  <si>
    <t>2-1-1-0-3</t>
  </si>
  <si>
    <t>1, 4, 27, 42, 44, 47, 18</t>
  </si>
  <si>
    <t>2-1-2-0-2</t>
  </si>
  <si>
    <t>1, 5, 15, 24, 25, 42, 46</t>
  </si>
  <si>
    <t>1-3-0-2-1</t>
  </si>
  <si>
    <t>5, 10, 19, 32, 38, 44, 12</t>
  </si>
  <si>
    <t>Mode</t>
  </si>
  <si>
    <t>Median</t>
  </si>
  <si>
    <t>Average</t>
  </si>
  <si>
    <t>30, 47</t>
  </si>
  <si>
    <t>1 pairs</t>
  </si>
  <si>
    <t>5, 33</t>
  </si>
  <si>
    <t>10, 19</t>
  </si>
  <si>
    <t>2 pairs</t>
  </si>
  <si>
    <t>11, 38, 44, 47</t>
  </si>
  <si>
    <t>44, 20</t>
  </si>
  <si>
    <t>22, 36, 37</t>
  </si>
  <si>
    <t>31, 25</t>
  </si>
  <si>
    <t>1, 4, 18</t>
  </si>
  <si>
    <t>1, 42</t>
  </si>
  <si>
    <t>12, 26</t>
  </si>
  <si>
    <t>38, 47</t>
  </si>
  <si>
    <t>3 pairs</t>
  </si>
  <si>
    <t>12, 25, 34</t>
  </si>
  <si>
    <t>21, 12</t>
  </si>
  <si>
    <t>29, 36</t>
  </si>
  <si>
    <t>30, 42</t>
  </si>
  <si>
    <t>16, 18, 19</t>
  </si>
  <si>
    <t>16, 19, 32</t>
  </si>
  <si>
    <t>3, 17</t>
  </si>
  <si>
    <t>3, 37, 17</t>
  </si>
  <si>
    <t>29, 38</t>
  </si>
  <si>
    <t>4, 37</t>
  </si>
  <si>
    <t>19, 41</t>
  </si>
  <si>
    <t>5, 8</t>
  </si>
  <si>
    <t>6, 11, 13</t>
  </si>
  <si>
    <t>Repeat</t>
  </si>
  <si>
    <t>Sum</t>
  </si>
  <si>
    <t>Pairs</t>
  </si>
  <si>
    <t>Spot_num5</t>
  </si>
  <si>
    <t>Toto 7/49 Generator Programmed By Remy Lim 2015 April</t>
  </si>
  <si>
    <t>#1</t>
  </si>
  <si>
    <t>#2</t>
  </si>
  <si>
    <t>#3</t>
  </si>
  <si>
    <t>#4</t>
  </si>
  <si>
    <t>#5</t>
  </si>
  <si>
    <t>#6</t>
  </si>
  <si>
    <t>#7</t>
  </si>
  <si>
    <t>Status</t>
  </si>
  <si>
    <t>Ball1</t>
  </si>
  <si>
    <t>Ball2</t>
  </si>
  <si>
    <t>Ball3</t>
  </si>
  <si>
    <t>Ball4</t>
  </si>
  <si>
    <t>Ball5</t>
  </si>
  <si>
    <t>Ball6</t>
  </si>
  <si>
    <t>Ball7</t>
  </si>
  <si>
    <t>SUM</t>
  </si>
  <si>
    <t># of Sets</t>
  </si>
  <si>
    <t>Match</t>
  </si>
  <si>
    <t xml:space="preserve">           </t>
  </si>
  <si>
    <t xml:space="preserve">         </t>
  </si>
  <si>
    <t>21,25</t>
  </si>
  <si>
    <t>6, 12, 21, 24, 25, 43, 29</t>
  </si>
  <si>
    <t>3, 18, 21, 42, 45, 49, 25</t>
  </si>
  <si>
    <t>1-1-4-0-1</t>
  </si>
  <si>
    <t>1-1-2-0-3</t>
  </si>
  <si>
    <t>Below 25</t>
  </si>
  <si>
    <t>Above 26</t>
  </si>
  <si>
    <t>Parameters</t>
  </si>
  <si>
    <t>Uppsum</t>
  </si>
  <si>
    <t>Lowsum</t>
  </si>
  <si>
    <t>Spot#1</t>
  </si>
  <si>
    <t>Spot#2</t>
  </si>
  <si>
    <t>Spot#3</t>
  </si>
  <si>
    <t>Spot#4</t>
  </si>
  <si>
    <t>Spot#5</t>
  </si>
  <si>
    <t>Small</t>
  </si>
  <si>
    <t>Big</t>
  </si>
  <si>
    <t>\</t>
  </si>
  <si>
    <t>6, 43</t>
  </si>
  <si>
    <t>6, 13, 31, 32, 40, 43, 3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</si>
</sst>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_(* #,##0_);_(* \(#,##0\);_(* &quot;-&quot;??_);_(@_)"/>
  </numFmts>
  <fonts count="11">
    <font>
      <sz val="11"/>
      <color theme="1"/>
      <name val="Calibri"/>
      <family val="2"/>
      <scheme val="minor"/>
    </font>
    <font>
      <b/>
      <i/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Verdana"/>
      <family val="2"/>
    </font>
    <font>
      <u/>
      <sz val="11"/>
      <color theme="10"/>
      <name val="Calibri"/>
      <family val="2"/>
    </font>
    <font>
      <b/>
      <sz val="10"/>
      <color theme="1"/>
      <name val="System"/>
      <family val="2"/>
    </font>
    <font>
      <sz val="28"/>
      <color rgb="FF000000"/>
      <name val="Calibri"/>
      <family val="2"/>
      <scheme val="minor"/>
    </font>
    <font>
      <sz val="8"/>
      <color rgb="FF000000"/>
      <name val="Verdana"/>
      <family val="2"/>
    </font>
    <font>
      <u/>
      <sz val="8"/>
      <color theme="10"/>
      <name val="Verdana"/>
      <family val="2"/>
    </font>
    <font>
      <sz val="10"/>
      <color theme="1"/>
      <name val="System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D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AAAAAA"/>
      </left>
      <right/>
      <top style="thin">
        <color indexed="64"/>
      </top>
      <bottom style="medium">
        <color indexed="64"/>
      </bottom>
      <diagonal/>
    </border>
    <border>
      <left style="thin">
        <color rgb="FFAAAAAA"/>
      </left>
      <right style="thin">
        <color rgb="FFAAAAAA"/>
      </right>
      <top/>
      <bottom style="thin">
        <color rgb="FFAAAAAA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AAAAAA"/>
      </left>
      <right style="thin">
        <color rgb="FFAAAAAA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AAAAAA"/>
      </left>
      <right style="thin">
        <color rgb="FFAAAAAA"/>
      </right>
      <top/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</cellStyleXfs>
  <cellXfs count="85">
    <xf numFmtId="0" fontId="0" fillId="0" borderId="0" xfId="0"/>
    <xf numFmtId="10" fontId="0" fillId="0" borderId="0" xfId="1" applyNumberFormat="1" applyFont="1"/>
    <xf numFmtId="0" fontId="0" fillId="0" borderId="0" xfId="0" applyAlignment="1">
      <alignment horizontal="center"/>
    </xf>
    <xf numFmtId="0" fontId="0" fillId="2" borderId="8" xfId="0" applyFill="1" applyBorder="1"/>
    <xf numFmtId="0" fontId="0" fillId="2" borderId="8" xfId="0" applyFill="1" applyBorder="1" applyAlignment="1">
      <alignment horizontal="center"/>
    </xf>
    <xf numFmtId="0" fontId="4" fillId="3" borderId="9" xfId="0" applyFont="1" applyFill="1" applyBorder="1" applyAlignment="1">
      <alignment horizontal="center" wrapText="1"/>
    </xf>
    <xf numFmtId="0" fontId="4" fillId="4" borderId="9" xfId="0" applyFont="1" applyFill="1" applyBorder="1" applyAlignment="1">
      <alignment horizontal="center" wrapText="1"/>
    </xf>
    <xf numFmtId="0" fontId="0" fillId="0" borderId="8" xfId="0" applyNumberFormat="1" applyBorder="1" applyAlignment="1">
      <alignment horizontal="center"/>
    </xf>
    <xf numFmtId="0" fontId="0" fillId="5" borderId="8" xfId="0" applyNumberFormat="1" applyFill="1" applyBorder="1" applyAlignment="1">
      <alignment horizontal="center"/>
    </xf>
    <xf numFmtId="0" fontId="0" fillId="2" borderId="8" xfId="0" applyNumberFormat="1" applyFill="1" applyBorder="1" applyAlignment="1">
      <alignment horizontal="center"/>
    </xf>
    <xf numFmtId="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4" borderId="11" xfId="0" applyFont="1" applyFill="1" applyBorder="1" applyAlignment="1">
      <alignment horizontal="center" wrapText="1"/>
    </xf>
    <xf numFmtId="0" fontId="6" fillId="3" borderId="13" xfId="0" applyFont="1" applyFill="1" applyBorder="1" applyAlignment="1">
      <alignment horizontal="center" wrapText="1"/>
    </xf>
    <xf numFmtId="0" fontId="6" fillId="0" borderId="14" xfId="0" applyFont="1" applyBorder="1"/>
    <xf numFmtId="0" fontId="6" fillId="3" borderId="10" xfId="0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0" fontId="6" fillId="0" borderId="14" xfId="0" applyFont="1" applyBorder="1" applyAlignment="1">
      <alignment horizontal="center"/>
    </xf>
    <xf numFmtId="0" fontId="0" fillId="6" borderId="0" xfId="0" applyFill="1"/>
    <xf numFmtId="0" fontId="0" fillId="6" borderId="8" xfId="0" applyFill="1" applyBorder="1"/>
    <xf numFmtId="0" fontId="0" fillId="6" borderId="8" xfId="0" applyFill="1" applyBorder="1" applyAlignment="1">
      <alignment horizontal="center"/>
    </xf>
    <xf numFmtId="0" fontId="3" fillId="6" borderId="0" xfId="0" applyFont="1" applyFill="1"/>
    <xf numFmtId="16" fontId="4" fillId="4" borderId="9" xfId="0" applyNumberFormat="1" applyFont="1" applyFill="1" applyBorder="1" applyAlignment="1">
      <alignment horizontal="center" wrapText="1"/>
    </xf>
    <xf numFmtId="16" fontId="4" fillId="4" borderId="11" xfId="0" applyNumberFormat="1" applyFont="1" applyFill="1" applyBorder="1" applyAlignment="1">
      <alignment horizontal="center" wrapText="1"/>
    </xf>
    <xf numFmtId="0" fontId="0" fillId="0" borderId="1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43" fontId="0" fillId="0" borderId="0" xfId="2" applyFont="1"/>
    <xf numFmtId="9" fontId="0" fillId="0" borderId="0" xfId="1" applyFont="1"/>
    <xf numFmtId="164" fontId="0" fillId="0" borderId="0" xfId="2" applyNumberFormat="1" applyFont="1"/>
    <xf numFmtId="0" fontId="0" fillId="3" borderId="25" xfId="0" applyFill="1" applyBorder="1"/>
    <xf numFmtId="0" fontId="0" fillId="2" borderId="24" xfId="0" applyFill="1" applyBorder="1"/>
    <xf numFmtId="0" fontId="0" fillId="3" borderId="26" xfId="0" applyFill="1" applyBorder="1"/>
    <xf numFmtId="0" fontId="1" fillId="6" borderId="1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8" fillId="0" borderId="0" xfId="0" applyFont="1"/>
    <xf numFmtId="16" fontId="9" fillId="0" borderId="0" xfId="3" applyNumberFormat="1" applyFont="1" applyAlignment="1" applyProtection="1"/>
    <xf numFmtId="0" fontId="4" fillId="0" borderId="0" xfId="0" applyFont="1"/>
    <xf numFmtId="0" fontId="4" fillId="0" borderId="0" xfId="0" applyFont="1" applyAlignment="1">
      <alignment horizontal="center"/>
    </xf>
    <xf numFmtId="0" fontId="10" fillId="3" borderId="13" xfId="0" applyFont="1" applyFill="1" applyBorder="1" applyAlignment="1">
      <alignment horizontal="center" wrapText="1"/>
    </xf>
    <xf numFmtId="0" fontId="4" fillId="3" borderId="27" xfId="0" applyFont="1" applyFill="1" applyBorder="1" applyAlignment="1">
      <alignment horizontal="center" wrapText="1"/>
    </xf>
    <xf numFmtId="0" fontId="4" fillId="0" borderId="0" xfId="0" applyFont="1" applyBorder="1"/>
    <xf numFmtId="0" fontId="4" fillId="3" borderId="0" xfId="0" applyFont="1" applyFill="1" applyBorder="1" applyAlignment="1">
      <alignment horizontal="center" wrapText="1"/>
    </xf>
    <xf numFmtId="0" fontId="4" fillId="0" borderId="0" xfId="0" applyFont="1" applyBorder="1" applyAlignment="1">
      <alignment horizontal="center"/>
    </xf>
    <xf numFmtId="0" fontId="6" fillId="3" borderId="16" xfId="0" applyFont="1" applyFill="1" applyBorder="1" applyAlignment="1">
      <alignment wrapText="1"/>
    </xf>
    <xf numFmtId="0" fontId="4" fillId="3" borderId="0" xfId="0" applyFont="1" applyFill="1" applyBorder="1" applyAlignment="1">
      <alignment wrapText="1"/>
    </xf>
    <xf numFmtId="0" fontId="4" fillId="0" borderId="0" xfId="0" applyFont="1" applyAlignment="1"/>
    <xf numFmtId="0" fontId="0" fillId="0" borderId="0" xfId="0" applyAlignment="1"/>
    <xf numFmtId="0" fontId="6" fillId="3" borderId="14" xfId="0" applyFont="1" applyFill="1" applyBorder="1" applyAlignment="1">
      <alignment wrapText="1"/>
    </xf>
    <xf numFmtId="0" fontId="6" fillId="3" borderId="13" xfId="0" applyFont="1" applyFill="1" applyBorder="1" applyAlignment="1">
      <alignment wrapText="1"/>
    </xf>
    <xf numFmtId="164" fontId="0" fillId="0" borderId="0" xfId="2" applyNumberFormat="1" applyFont="1" applyAlignment="1"/>
    <xf numFmtId="0" fontId="0" fillId="0" borderId="0" xfId="0" applyNumberFormat="1" applyAlignment="1"/>
    <xf numFmtId="1" fontId="0" fillId="0" borderId="0" xfId="0" applyNumberFormat="1" applyAlignment="1"/>
    <xf numFmtId="16" fontId="9" fillId="4" borderId="9" xfId="3" applyNumberFormat="1" applyFont="1" applyFill="1" applyBorder="1" applyAlignment="1" applyProtection="1">
      <alignment wrapText="1"/>
    </xf>
    <xf numFmtId="16" fontId="9" fillId="4" borderId="11" xfId="3" applyNumberFormat="1" applyFont="1" applyFill="1" applyBorder="1" applyAlignment="1" applyProtection="1">
      <alignment wrapText="1"/>
    </xf>
    <xf numFmtId="16" fontId="5" fillId="3" borderId="9" xfId="3" applyNumberFormat="1" applyFill="1" applyBorder="1" applyAlignment="1" applyProtection="1">
      <alignment wrapText="1"/>
    </xf>
    <xf numFmtId="16" fontId="5" fillId="4" borderId="9" xfId="3" applyNumberFormat="1" applyFill="1" applyBorder="1" applyAlignment="1" applyProtection="1">
      <alignment wrapText="1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8" xfId="0" applyNumberFormat="1" applyFont="1" applyBorder="1" applyAlignment="1">
      <alignment horizontal="center"/>
    </xf>
    <xf numFmtId="0" fontId="0" fillId="3" borderId="27" xfId="0" applyFont="1" applyFill="1" applyBorder="1" applyAlignment="1">
      <alignment wrapText="1"/>
    </xf>
    <xf numFmtId="0" fontId="0" fillId="0" borderId="0" xfId="0" applyFont="1" applyBorder="1"/>
    <xf numFmtId="0" fontId="0" fillId="0" borderId="0" xfId="0" applyFont="1" applyFill="1" applyBorder="1" applyAlignment="1">
      <alignment horizontal="center" wrapText="1"/>
    </xf>
    <xf numFmtId="0" fontId="0" fillId="0" borderId="12" xfId="0" applyFont="1" applyFill="1" applyBorder="1" applyAlignment="1">
      <alignment horizontal="center" wrapText="1"/>
    </xf>
    <xf numFmtId="0" fontId="0" fillId="0" borderId="9" xfId="0" applyFont="1" applyFill="1" applyBorder="1" applyAlignment="1">
      <alignment wrapText="1"/>
    </xf>
    <xf numFmtId="0" fontId="0" fillId="0" borderId="8" xfId="0" applyFont="1" applyFill="1" applyBorder="1" applyAlignment="1">
      <alignment horizontal="center" wrapText="1"/>
    </xf>
    <xf numFmtId="0" fontId="0" fillId="0" borderId="0" xfId="0" applyFont="1" applyFill="1" applyBorder="1" applyAlignment="1">
      <alignment wrapText="1"/>
    </xf>
    <xf numFmtId="0" fontId="0" fillId="0" borderId="0" xfId="0" applyFont="1" applyFill="1" applyAlignment="1">
      <alignment horizontal="center"/>
    </xf>
    <xf numFmtId="0" fontId="0" fillId="0" borderId="8" xfId="0" applyNumberFormat="1" applyFont="1" applyFill="1" applyBorder="1" applyAlignment="1">
      <alignment horizontal="center"/>
    </xf>
  </cellXfs>
  <cellStyles count="4">
    <cellStyle name="Comma" xfId="2" builtinId="3"/>
    <cellStyle name="Hyperlink" xfId="3" builtinId="8"/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123824</xdr:colOff>
      <xdr:row>10</xdr:row>
      <xdr:rowOff>142876</xdr:rowOff>
    </xdr:from>
    <xdr:to>
      <xdr:col>2</xdr:col>
      <xdr:colOff>774606</xdr:colOff>
      <xdr:row>16</xdr:row>
      <xdr:rowOff>66674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3824" y="2057401"/>
          <a:ext cx="2184307" cy="107632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95250</xdr:rowOff>
    </xdr:from>
    <xdr:to>
      <xdr:col>14</xdr:col>
      <xdr:colOff>266700</xdr:colOff>
      <xdr:row>24</xdr:row>
      <xdr:rowOff>114300</xdr:rowOff>
    </xdr:to>
    <xdr:sp macro="" textlink="">
      <xdr:nvSpPr>
        <xdr:cNvPr id="2" name="Right Bracket 1"/>
        <xdr:cNvSpPr/>
      </xdr:nvSpPr>
      <xdr:spPr>
        <a:xfrm>
          <a:off x="8334375" y="1143000"/>
          <a:ext cx="257175" cy="3257550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13</xdr:col>
      <xdr:colOff>478156</xdr:colOff>
      <xdr:row>16</xdr:row>
      <xdr:rowOff>85725</xdr:rowOff>
    </xdr:from>
    <xdr:to>
      <xdr:col>14</xdr:col>
      <xdr:colOff>152400</xdr:colOff>
      <xdr:row>21</xdr:row>
      <xdr:rowOff>104775</xdr:rowOff>
    </xdr:to>
    <xdr:sp macro="" textlink="">
      <xdr:nvSpPr>
        <xdr:cNvPr id="3" name="Right Bracket 2"/>
        <xdr:cNvSpPr/>
      </xdr:nvSpPr>
      <xdr:spPr>
        <a:xfrm>
          <a:off x="8288656" y="2752725"/>
          <a:ext cx="188594" cy="1066800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381001</xdr:colOff>
      <xdr:row>7</xdr:row>
      <xdr:rowOff>76200</xdr:rowOff>
    </xdr:from>
    <xdr:to>
      <xdr:col>8</xdr:col>
      <xdr:colOff>590551</xdr:colOff>
      <xdr:row>20</xdr:row>
      <xdr:rowOff>123825</xdr:rowOff>
    </xdr:to>
    <xdr:sp macro="" textlink="">
      <xdr:nvSpPr>
        <xdr:cNvPr id="4" name="Left Bracket 3"/>
        <xdr:cNvSpPr/>
      </xdr:nvSpPr>
      <xdr:spPr>
        <a:xfrm>
          <a:off x="5657851" y="933450"/>
          <a:ext cx="209550" cy="2714625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381000</xdr:colOff>
      <xdr:row>20</xdr:row>
      <xdr:rowOff>142875</xdr:rowOff>
    </xdr:from>
    <xdr:to>
      <xdr:col>9</xdr:col>
      <xdr:colOff>9525</xdr:colOff>
      <xdr:row>30</xdr:row>
      <xdr:rowOff>123825</xdr:rowOff>
    </xdr:to>
    <xdr:sp macro="" textlink="">
      <xdr:nvSpPr>
        <xdr:cNvPr id="5" name="Left Bracket 4"/>
        <xdr:cNvSpPr/>
      </xdr:nvSpPr>
      <xdr:spPr>
        <a:xfrm>
          <a:off x="5657850" y="3667125"/>
          <a:ext cx="238125" cy="1981200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sg.myfreepost.com/sgTOTO_get.php?drawdate=09-Mar-2015(Mon)" TargetMode="External"/><Relationship Id="rId13" Type="http://schemas.openxmlformats.org/officeDocument/2006/relationships/hyperlink" Target="http://sg.myfreepost.com/sgTOTO_get.php?drawdate=19-Feb-2015(Thu)" TargetMode="External"/><Relationship Id="rId18" Type="http://schemas.openxmlformats.org/officeDocument/2006/relationships/hyperlink" Target="http://sg.myfreepost.com/sgTOTO_get.php?drawdate=02-Feb-2015(Mon)" TargetMode="External"/><Relationship Id="rId26" Type="http://schemas.openxmlformats.org/officeDocument/2006/relationships/hyperlink" Target="http://sg.myfreepost.com/sgTOTO_get.php?drawdate=05-Jan-2015(Mon)" TargetMode="External"/><Relationship Id="rId3" Type="http://schemas.openxmlformats.org/officeDocument/2006/relationships/hyperlink" Target="http://sg.myfreepost.com/sgTOTO_get.php?drawdate=26-Mar-2015(Thu)" TargetMode="External"/><Relationship Id="rId21" Type="http://schemas.openxmlformats.org/officeDocument/2006/relationships/hyperlink" Target="http://sg.myfreepost.com/sgTOTO_get.php?drawdate=22-Jan-2015(Thu)" TargetMode="External"/><Relationship Id="rId34" Type="http://schemas.openxmlformats.org/officeDocument/2006/relationships/drawing" Target="../drawings/drawing2.xml"/><Relationship Id="rId7" Type="http://schemas.openxmlformats.org/officeDocument/2006/relationships/hyperlink" Target="http://sg.myfreepost.com/sgTOTO_get.php?drawdate=12-Mar-2015(Thu)" TargetMode="External"/><Relationship Id="rId12" Type="http://schemas.openxmlformats.org/officeDocument/2006/relationships/hyperlink" Target="http://sg.myfreepost.com/sgTOTO_get.php?drawdate=23-Feb-2015(Mon)" TargetMode="External"/><Relationship Id="rId17" Type="http://schemas.openxmlformats.org/officeDocument/2006/relationships/hyperlink" Target="http://sg.myfreepost.com/sgTOTO_get.php?drawdate=05-Feb-2015(Thu)" TargetMode="External"/><Relationship Id="rId25" Type="http://schemas.openxmlformats.org/officeDocument/2006/relationships/hyperlink" Target="http://sg.myfreepost.com/sgTOTO_get.php?drawdate=08-Jan-2015(Thu)" TargetMode="External"/><Relationship Id="rId33" Type="http://schemas.openxmlformats.org/officeDocument/2006/relationships/hyperlink" Target="http://sg.myfreepost.com/sgTOTO_get.php?drawdate=13-Apr-2015(Mon)" TargetMode="External"/><Relationship Id="rId2" Type="http://schemas.openxmlformats.org/officeDocument/2006/relationships/hyperlink" Target="http://sg.myfreepost.com/sgTOTO_get.php?drawdate=30-Mar-2015(Mon)" TargetMode="External"/><Relationship Id="rId16" Type="http://schemas.openxmlformats.org/officeDocument/2006/relationships/hyperlink" Target="http://sg.myfreepost.com/sgTOTO_get.php?drawdate=09-Feb-2015(Mon)" TargetMode="External"/><Relationship Id="rId20" Type="http://schemas.openxmlformats.org/officeDocument/2006/relationships/hyperlink" Target="http://sg.myfreepost.com/sgTOTO_get.php?drawdate=26-Jan-2015(Mon)" TargetMode="External"/><Relationship Id="rId29" Type="http://schemas.openxmlformats.org/officeDocument/2006/relationships/hyperlink" Target="http://sg.myfreepost.com/sgTOTO_get.php?drawdate=25-Dec-2014(Thu)" TargetMode="External"/><Relationship Id="rId1" Type="http://schemas.openxmlformats.org/officeDocument/2006/relationships/hyperlink" Target="http://sg.myfreepost.com/sgTOTO_get.php?drawdate=02-Apr-2015(Thu)" TargetMode="External"/><Relationship Id="rId6" Type="http://schemas.openxmlformats.org/officeDocument/2006/relationships/hyperlink" Target="http://sg.myfreepost.com/sgTOTO_get.php?drawdate=16-Mar-2015(Mon)" TargetMode="External"/><Relationship Id="rId11" Type="http://schemas.openxmlformats.org/officeDocument/2006/relationships/hyperlink" Target="http://sg.myfreepost.com/sgTOTO_get.php?drawdate=27-Feb-2015(Fri)" TargetMode="External"/><Relationship Id="rId24" Type="http://schemas.openxmlformats.org/officeDocument/2006/relationships/hyperlink" Target="http://sg.myfreepost.com/sgTOTO_get.php?drawdate=12-Jan-2015(Mon)" TargetMode="External"/><Relationship Id="rId32" Type="http://schemas.openxmlformats.org/officeDocument/2006/relationships/hyperlink" Target="http://sg.myfreepost.com/sgTOTO_get.php?drawdate=06-Apr-2015(Mon)" TargetMode="External"/><Relationship Id="rId5" Type="http://schemas.openxmlformats.org/officeDocument/2006/relationships/hyperlink" Target="http://sg.myfreepost.com/sgTOTO_get.php?drawdate=19-Mar-2015(Thu)" TargetMode="External"/><Relationship Id="rId15" Type="http://schemas.openxmlformats.org/officeDocument/2006/relationships/hyperlink" Target="http://sg.myfreepost.com/sgTOTO_get.php?drawdate=12-Feb-2015(Thu)" TargetMode="External"/><Relationship Id="rId23" Type="http://schemas.openxmlformats.org/officeDocument/2006/relationships/hyperlink" Target="http://sg.myfreepost.com/sgTOTO_get.php?drawdate=15-Jan-2015(Thu)" TargetMode="External"/><Relationship Id="rId28" Type="http://schemas.openxmlformats.org/officeDocument/2006/relationships/hyperlink" Target="http://sg.myfreepost.com/sgTOTO_get.php?drawdate=29-Dec-2014(Mon)" TargetMode="External"/><Relationship Id="rId10" Type="http://schemas.openxmlformats.org/officeDocument/2006/relationships/hyperlink" Target="http://sg.myfreepost.com/sgTOTO_get.php?drawdate=02-Mar-2015(Mon)" TargetMode="External"/><Relationship Id="rId19" Type="http://schemas.openxmlformats.org/officeDocument/2006/relationships/hyperlink" Target="http://sg.myfreepost.com/sgTOTO_get.php?drawdate=29-Jan-2015(Thu)" TargetMode="External"/><Relationship Id="rId31" Type="http://schemas.openxmlformats.org/officeDocument/2006/relationships/hyperlink" Target="http://sg.myfreepost.com/sgTOTO_get.php?drawdate=09-Apr-2015(Thu)" TargetMode="External"/><Relationship Id="rId4" Type="http://schemas.openxmlformats.org/officeDocument/2006/relationships/hyperlink" Target="http://sg.myfreepost.com/sgTOTO_get.php?drawdate=23-Mar-2015(Mon)" TargetMode="External"/><Relationship Id="rId9" Type="http://schemas.openxmlformats.org/officeDocument/2006/relationships/hyperlink" Target="http://sg.myfreepost.com/sgTOTO_get.php?drawdate=05-Mar-2015(Thu)" TargetMode="External"/><Relationship Id="rId14" Type="http://schemas.openxmlformats.org/officeDocument/2006/relationships/hyperlink" Target="http://sg.myfreepost.com/sgTOTO_get.php?drawdate=16-Feb-2015(Mon)" TargetMode="External"/><Relationship Id="rId22" Type="http://schemas.openxmlformats.org/officeDocument/2006/relationships/hyperlink" Target="http://sg.myfreepost.com/sgTOTO_get.php?drawdate=19-Jan-2015(Mon)" TargetMode="External"/><Relationship Id="rId27" Type="http://schemas.openxmlformats.org/officeDocument/2006/relationships/hyperlink" Target="http://sg.myfreepost.com/sgTOTO_get.php?drawdate=01-Jan-2015(Thu)" TargetMode="External"/><Relationship Id="rId30" Type="http://schemas.openxmlformats.org/officeDocument/2006/relationships/hyperlink" Target="http://sg.myfreepost.com/sgTOTO_get.php?drawdate=22-Dec-2014(Mon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21"/>
  <sheetViews>
    <sheetView tabSelected="1" workbookViewId="0">
      <selection activeCell="C17" sqref="C17"/>
    </sheetView>
  </sheetViews>
  <sheetFormatPr defaultColWidth="0" defaultRowHeight="15" zeroHeight="1"/>
  <cols>
    <col min="1" max="1" width="13.85546875" style="21" bestFit="1" customWidth="1"/>
    <col min="2" max="2" width="9.140625" style="21" customWidth="1"/>
    <col min="3" max="3" width="13.7109375" style="21" bestFit="1" customWidth="1"/>
    <col min="4" max="4" width="6.7109375" style="21" customWidth="1"/>
    <col min="5" max="10" width="9.140625" style="21" customWidth="1"/>
    <col min="11" max="12" width="4.140625" style="21" customWidth="1"/>
    <col min="13" max="16" width="9.140625" style="21" customWidth="1"/>
    <col min="17" max="16384" width="9.140625" style="21" hidden="1"/>
  </cols>
  <sheetData>
    <row r="1" spans="1:19">
      <c r="A1" s="21" t="s">
        <v>7</v>
      </c>
      <c r="B1" s="3">
        <v>200</v>
      </c>
      <c r="C1" s="21" t="s">
        <v>8</v>
      </c>
      <c r="D1" s="3">
        <v>180</v>
      </c>
      <c r="F1" s="21" t="s">
        <v>9</v>
      </c>
      <c r="G1" s="21" t="s">
        <v>10</v>
      </c>
      <c r="H1" s="21" t="s">
        <v>11</v>
      </c>
      <c r="I1" s="21" t="s">
        <v>12</v>
      </c>
      <c r="J1" s="21" t="s">
        <v>13</v>
      </c>
      <c r="M1" s="22" t="s">
        <v>14</v>
      </c>
      <c r="N1" s="22" t="s">
        <v>15</v>
      </c>
      <c r="O1" s="22" t="s">
        <v>16</v>
      </c>
    </row>
    <row r="2" spans="1:19" ht="15.75" thickBot="1">
      <c r="A2" s="21" t="s">
        <v>0</v>
      </c>
      <c r="B2" s="3">
        <v>3</v>
      </c>
      <c r="C2" s="24" t="s">
        <v>135</v>
      </c>
      <c r="F2" s="4">
        <v>1</v>
      </c>
      <c r="G2" s="4">
        <v>2</v>
      </c>
      <c r="H2" s="4">
        <v>1</v>
      </c>
      <c r="I2" s="4">
        <v>1</v>
      </c>
      <c r="J2" s="4">
        <v>2</v>
      </c>
      <c r="K2" s="24" t="s">
        <v>17</v>
      </c>
      <c r="M2" s="23">
        <v>1</v>
      </c>
      <c r="N2" s="22">
        <v>1</v>
      </c>
      <c r="O2" s="22">
        <v>9</v>
      </c>
      <c r="P2" s="21">
        <v>0</v>
      </c>
    </row>
    <row r="3" spans="1:19">
      <c r="A3" s="21" t="s">
        <v>1</v>
      </c>
      <c r="B3" s="3">
        <v>4</v>
      </c>
      <c r="D3" s="41" t="str">
        <f>CONCATENATE("TOTO                                         ",
F2,"-",G2,"-",H2,"-",I2,"-",J2)</f>
        <v>TOTO                                         1-2-1-1-2</v>
      </c>
      <c r="E3" s="42"/>
      <c r="F3" s="43"/>
      <c r="G3" s="43"/>
      <c r="H3" s="43"/>
      <c r="I3" s="43"/>
      <c r="J3" s="43"/>
      <c r="K3" s="42"/>
      <c r="L3" s="42"/>
      <c r="M3" s="23">
        <v>2</v>
      </c>
      <c r="N3" s="22">
        <v>10</v>
      </c>
      <c r="O3" s="22">
        <v>18</v>
      </c>
      <c r="P3" s="21">
        <v>1</v>
      </c>
      <c r="R3" s="21" t="s">
        <v>135</v>
      </c>
      <c r="S3" s="21" t="s">
        <v>135</v>
      </c>
    </row>
    <row r="4" spans="1:19">
      <c r="A4" s="21" t="s">
        <v>2</v>
      </c>
      <c r="B4" s="3">
        <v>6</v>
      </c>
      <c r="D4" s="44"/>
      <c r="E4" s="43"/>
      <c r="F4" s="43"/>
      <c r="G4" s="43"/>
      <c r="H4" s="43"/>
      <c r="I4" s="43"/>
      <c r="J4" s="43"/>
      <c r="K4" s="43"/>
      <c r="L4" s="43"/>
      <c r="M4" s="23">
        <v>3</v>
      </c>
      <c r="N4" s="22">
        <v>11</v>
      </c>
      <c r="O4" s="22">
        <v>19</v>
      </c>
      <c r="P4" s="21">
        <v>0</v>
      </c>
    </row>
    <row r="5" spans="1:19">
      <c r="A5" s="21" t="s">
        <v>3</v>
      </c>
      <c r="B5" s="3">
        <v>12</v>
      </c>
      <c r="D5" s="44"/>
      <c r="E5" s="43"/>
      <c r="F5" s="43"/>
      <c r="G5" s="43"/>
      <c r="H5" s="43"/>
      <c r="I5" s="43"/>
      <c r="J5" s="43"/>
      <c r="K5" s="43"/>
      <c r="L5" s="43"/>
      <c r="M5" s="23">
        <v>4</v>
      </c>
      <c r="N5" s="22">
        <v>20</v>
      </c>
      <c r="O5" s="22">
        <v>29</v>
      </c>
      <c r="P5" s="21">
        <v>0</v>
      </c>
    </row>
    <row r="6" spans="1:19">
      <c r="A6" s="21" t="s">
        <v>4</v>
      </c>
      <c r="B6" s="3">
        <v>29</v>
      </c>
      <c r="D6" s="44"/>
      <c r="E6" s="43"/>
      <c r="F6" s="43"/>
      <c r="G6" s="43"/>
      <c r="H6" s="43"/>
      <c r="I6" s="43"/>
      <c r="J6" s="43"/>
      <c r="K6" s="43"/>
      <c r="L6" s="43"/>
      <c r="M6" s="23">
        <v>5</v>
      </c>
      <c r="N6" s="22">
        <v>30</v>
      </c>
      <c r="O6" s="22">
        <v>39</v>
      </c>
      <c r="P6" s="21">
        <v>0</v>
      </c>
    </row>
    <row r="7" spans="1:19">
      <c r="A7" s="21" t="s">
        <v>5</v>
      </c>
      <c r="B7" s="3">
        <v>46</v>
      </c>
      <c r="D7" s="44"/>
      <c r="E7" s="43"/>
      <c r="F7" s="43"/>
      <c r="G7" s="43"/>
      <c r="H7" s="43"/>
      <c r="I7" s="43"/>
      <c r="J7" s="43"/>
      <c r="K7" s="43"/>
      <c r="L7" s="43"/>
      <c r="M7" s="23">
        <v>6</v>
      </c>
      <c r="N7" s="22">
        <v>40</v>
      </c>
      <c r="O7" s="22">
        <v>48</v>
      </c>
      <c r="P7" s="21">
        <v>1</v>
      </c>
    </row>
    <row r="8" spans="1:19">
      <c r="A8" s="21" t="s">
        <v>115</v>
      </c>
      <c r="B8" s="3">
        <v>48</v>
      </c>
      <c r="D8" s="44"/>
      <c r="E8" s="43"/>
      <c r="F8" s="43"/>
      <c r="G8" s="43"/>
      <c r="H8" s="43"/>
      <c r="I8" s="43"/>
      <c r="J8" s="43"/>
      <c r="K8" s="43"/>
      <c r="L8" s="43"/>
      <c r="M8" s="23">
        <v>7</v>
      </c>
      <c r="N8" s="22">
        <v>41</v>
      </c>
      <c r="O8" s="22">
        <v>49</v>
      </c>
      <c r="P8" s="21">
        <v>0</v>
      </c>
    </row>
    <row r="9" spans="1:19">
      <c r="A9" s="21" t="s">
        <v>6</v>
      </c>
      <c r="B9" s="3">
        <v>5</v>
      </c>
      <c r="D9" s="44"/>
      <c r="E9" s="43"/>
      <c r="F9" s="43"/>
      <c r="G9" s="43"/>
      <c r="H9" s="43"/>
      <c r="I9" s="43"/>
      <c r="J9" s="43"/>
      <c r="K9" s="43"/>
      <c r="L9" s="45"/>
    </row>
    <row r="10" spans="1:19">
      <c r="B10" s="24" t="s">
        <v>136</v>
      </c>
      <c r="D10" s="44"/>
      <c r="E10" s="43"/>
      <c r="F10" s="43"/>
      <c r="G10" s="43"/>
      <c r="H10" s="43"/>
      <c r="I10" s="43"/>
      <c r="J10" s="43"/>
      <c r="K10" s="43"/>
      <c r="L10" s="45"/>
    </row>
    <row r="11" spans="1:19">
      <c r="D11" s="44"/>
      <c r="E11" s="43"/>
      <c r="F11" s="43"/>
      <c r="G11" s="43"/>
      <c r="H11" s="43"/>
      <c r="I11" s="43"/>
      <c r="J11" s="43"/>
      <c r="K11" s="43"/>
      <c r="L11" s="45"/>
    </row>
    <row r="12" spans="1:19">
      <c r="D12" s="44"/>
      <c r="E12" s="43"/>
      <c r="F12" s="43"/>
      <c r="G12" s="43"/>
      <c r="H12" s="43"/>
      <c r="I12" s="43"/>
      <c r="J12" s="43"/>
      <c r="K12" s="43"/>
      <c r="L12" s="45"/>
    </row>
    <row r="13" spans="1:19" ht="15.75" thickBot="1">
      <c r="D13" s="46"/>
      <c r="E13" s="47"/>
      <c r="F13" s="47"/>
      <c r="G13" s="47"/>
      <c r="H13" s="47"/>
      <c r="I13" s="47"/>
      <c r="J13" s="47"/>
      <c r="K13" s="47"/>
      <c r="L13" s="48"/>
    </row>
    <row r="14" spans="1:19">
      <c r="B14" s="21">
        <f>COUNTIF(B4:B8,0)</f>
        <v>0</v>
      </c>
    </row>
    <row r="15" spans="1:19"/>
    <row r="16" spans="1:19"/>
    <row r="17" spans="1:10"/>
    <row r="18" spans="1:10">
      <c r="A18" s="21" t="s">
        <v>142</v>
      </c>
      <c r="B18" s="3">
        <v>3</v>
      </c>
    </row>
    <row r="19" spans="1:10">
      <c r="A19" s="21" t="s">
        <v>143</v>
      </c>
      <c r="B19" s="3">
        <v>4</v>
      </c>
    </row>
    <row r="20" spans="1:10"/>
    <row r="21" spans="1:10">
      <c r="J21" s="21" t="s">
        <v>116</v>
      </c>
    </row>
  </sheetData>
  <mergeCells count="1">
    <mergeCell ref="D3:L13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U19"/>
  <sheetViews>
    <sheetView workbookViewId="0">
      <selection activeCell="R19" sqref="R19"/>
    </sheetView>
  </sheetViews>
  <sheetFormatPr defaultRowHeight="15"/>
  <cols>
    <col min="1" max="1" width="3.85546875" customWidth="1"/>
    <col min="2" max="9" width="4.5703125" customWidth="1"/>
    <col min="10" max="10" width="9.5703125" style="1" customWidth="1"/>
    <col min="11" max="11" width="3.28515625" customWidth="1"/>
    <col min="12" max="12" width="7" bestFit="1" customWidth="1"/>
    <col min="13" max="18" width="5.28515625" bestFit="1" customWidth="1"/>
    <col min="19" max="19" width="5" bestFit="1" customWidth="1"/>
    <col min="20" max="20" width="11.42578125" customWidth="1"/>
    <col min="21" max="21" width="26.42578125" customWidth="1"/>
  </cols>
  <sheetData>
    <row r="1" spans="1:21">
      <c r="A1" t="s">
        <v>154</v>
      </c>
      <c r="J1" s="1">
        <v>3.9998315860384825E-2</v>
      </c>
      <c r="L1" t="s">
        <v>125</v>
      </c>
      <c r="M1" t="s">
        <v>126</v>
      </c>
      <c r="N1" t="s">
        <v>127</v>
      </c>
      <c r="O1" t="s">
        <v>128</v>
      </c>
      <c r="P1" t="s">
        <v>129</v>
      </c>
      <c r="Q1" t="s">
        <v>130</v>
      </c>
      <c r="R1" t="s">
        <v>131</v>
      </c>
      <c r="S1" t="s">
        <v>132</v>
      </c>
      <c r="T1" t="s">
        <v>124</v>
      </c>
      <c r="U1" t="s">
        <v>133</v>
      </c>
    </row>
    <row r="2" spans="1:21" ht="15.75" thickBot="1">
      <c r="K2" t="s">
        <v>154</v>
      </c>
      <c r="L2">
        <v>1</v>
      </c>
      <c r="M2">
        <v>10</v>
      </c>
      <c r="N2">
        <v>19</v>
      </c>
      <c r="O2">
        <v>24</v>
      </c>
      <c r="P2">
        <v>38</v>
      </c>
      <c r="Q2">
        <v>42</v>
      </c>
      <c r="R2">
        <v>45</v>
      </c>
      <c r="S2">
        <v>179</v>
      </c>
      <c r="T2" s="36">
        <v>3.9998315860384825E-2</v>
      </c>
      <c r="U2">
        <v>0</v>
      </c>
    </row>
    <row r="3" spans="1:21" ht="15.75" thickBot="1">
      <c r="T3" s="27" t="s">
        <v>144</v>
      </c>
      <c r="U3" s="28"/>
    </row>
    <row r="4" spans="1:21">
      <c r="L4" t="s">
        <v>0</v>
      </c>
      <c r="O4" t="s">
        <v>1</v>
      </c>
      <c r="R4" t="s">
        <v>134</v>
      </c>
      <c r="T4" s="29" t="s">
        <v>145</v>
      </c>
      <c r="U4" s="30">
        <v>200</v>
      </c>
    </row>
    <row r="5" spans="1:21">
      <c r="L5">
        <v>3</v>
      </c>
      <c r="O5">
        <v>5</v>
      </c>
      <c r="R5">
        <v>0</v>
      </c>
      <c r="T5" s="31" t="s">
        <v>146</v>
      </c>
      <c r="U5" s="32">
        <v>180</v>
      </c>
    </row>
    <row r="6" spans="1:21">
      <c r="T6" s="31" t="s">
        <v>0</v>
      </c>
      <c r="U6" s="32">
        <v>3</v>
      </c>
    </row>
    <row r="7" spans="1:21">
      <c r="M7" t="s">
        <v>14</v>
      </c>
      <c r="N7" t="s">
        <v>15</v>
      </c>
      <c r="O7" t="s">
        <v>16</v>
      </c>
      <c r="T7" s="31" t="s">
        <v>1</v>
      </c>
      <c r="U7" s="32">
        <v>4</v>
      </c>
    </row>
    <row r="8" spans="1:21">
      <c r="M8" t="s">
        <v>117</v>
      </c>
      <c r="N8">
        <v>1</v>
      </c>
      <c r="O8">
        <v>9</v>
      </c>
      <c r="T8" s="31" t="s">
        <v>147</v>
      </c>
      <c r="U8" s="32">
        <v>6</v>
      </c>
    </row>
    <row r="9" spans="1:21">
      <c r="M9" t="s">
        <v>118</v>
      </c>
      <c r="N9">
        <v>10</v>
      </c>
      <c r="O9">
        <v>18</v>
      </c>
      <c r="T9" s="31" t="s">
        <v>148</v>
      </c>
      <c r="U9" s="32">
        <v>12</v>
      </c>
    </row>
    <row r="10" spans="1:21">
      <c r="M10" t="s">
        <v>119</v>
      </c>
      <c r="N10">
        <v>19</v>
      </c>
      <c r="O10">
        <v>19</v>
      </c>
      <c r="T10" s="31" t="s">
        <v>149</v>
      </c>
      <c r="U10" s="32">
        <v>29</v>
      </c>
    </row>
    <row r="11" spans="1:21">
      <c r="M11" t="s">
        <v>120</v>
      </c>
      <c r="N11">
        <v>24</v>
      </c>
      <c r="O11">
        <v>29</v>
      </c>
      <c r="T11" s="31" t="s">
        <v>150</v>
      </c>
      <c r="U11" s="32">
        <v>46</v>
      </c>
    </row>
    <row r="12" spans="1:21">
      <c r="M12" t="s">
        <v>121</v>
      </c>
      <c r="N12">
        <v>38</v>
      </c>
      <c r="O12">
        <v>39</v>
      </c>
      <c r="T12" s="31" t="s">
        <v>151</v>
      </c>
      <c r="U12" s="32">
        <v>48</v>
      </c>
    </row>
    <row r="13" spans="1:21">
      <c r="M13" t="s">
        <v>122</v>
      </c>
      <c r="N13">
        <v>42</v>
      </c>
      <c r="O13">
        <v>48</v>
      </c>
      <c r="T13" s="31" t="s">
        <v>134</v>
      </c>
      <c r="U13" s="32">
        <v>5</v>
      </c>
    </row>
    <row r="14" spans="1:21">
      <c r="M14" t="s">
        <v>123</v>
      </c>
      <c r="N14">
        <v>45</v>
      </c>
      <c r="O14">
        <v>49</v>
      </c>
      <c r="T14" s="31" t="s">
        <v>152</v>
      </c>
      <c r="U14" s="32">
        <v>3</v>
      </c>
    </row>
    <row r="15" spans="1:21" ht="15.75" thickBot="1">
      <c r="T15" s="33" t="s">
        <v>153</v>
      </c>
      <c r="U15" s="34">
        <v>4</v>
      </c>
    </row>
    <row r="16" spans="1:21" ht="15.75" thickBot="1"/>
    <row r="17" spans="10:21" ht="15.75" thickBot="1">
      <c r="L17" t="s">
        <v>124</v>
      </c>
      <c r="M17" s="39"/>
      <c r="N17" s="38"/>
      <c r="O17" s="38"/>
      <c r="P17" s="38"/>
      <c r="Q17" s="40"/>
      <c r="R17" s="49"/>
      <c r="S17" s="50"/>
    </row>
    <row r="18" spans="10:21">
      <c r="J18" s="37"/>
      <c r="U18" s="35"/>
    </row>
    <row r="19" spans="10:21">
      <c r="J19" s="37"/>
    </row>
  </sheetData>
  <mergeCells count="1">
    <mergeCell ref="R17:S17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104"/>
  <sheetViews>
    <sheetView workbookViewId="0">
      <selection activeCell="G10" sqref="G10"/>
    </sheetView>
  </sheetViews>
  <sheetFormatPr defaultRowHeight="15"/>
  <cols>
    <col min="1" max="1" width="9.140625" style="63"/>
    <col min="3" max="3" width="21.42578125" customWidth="1"/>
    <col min="4" max="5" width="9.140625" style="63"/>
    <col min="6" max="6" width="2.85546875" customWidth="1"/>
    <col min="7" max="9" width="9.140625" style="2"/>
    <col min="10" max="10" width="5.7109375" style="2" bestFit="1" customWidth="1"/>
    <col min="11" max="14" width="7.7109375" style="2" bestFit="1" customWidth="1"/>
    <col min="16" max="16" width="9.140625" style="63"/>
    <col min="17" max="17" width="12" style="2" bestFit="1" customWidth="1"/>
    <col min="19" max="20" width="9.140625" style="63"/>
  </cols>
  <sheetData>
    <row r="1" spans="1:20" ht="27" thickBot="1">
      <c r="A1" s="65" t="s">
        <v>18</v>
      </c>
      <c r="B1" s="55" t="s">
        <v>19</v>
      </c>
      <c r="C1" s="15" t="s">
        <v>20</v>
      </c>
      <c r="D1" s="65" t="s">
        <v>21</v>
      </c>
      <c r="E1" s="65" t="s">
        <v>22</v>
      </c>
      <c r="F1" s="16"/>
      <c r="G1" s="15" t="s">
        <v>23</v>
      </c>
      <c r="H1" s="17" t="s">
        <v>24</v>
      </c>
      <c r="I1" s="18"/>
      <c r="J1" s="19" t="s">
        <v>25</v>
      </c>
      <c r="K1" s="19" t="s">
        <v>10</v>
      </c>
      <c r="L1" s="19" t="s">
        <v>11</v>
      </c>
      <c r="M1" s="19" t="s">
        <v>12</v>
      </c>
      <c r="N1" s="19" t="s">
        <v>13</v>
      </c>
      <c r="O1" s="16"/>
      <c r="P1" s="60" t="s">
        <v>113</v>
      </c>
      <c r="Q1" s="20" t="s">
        <v>112</v>
      </c>
      <c r="R1" s="18" t="s">
        <v>114</v>
      </c>
      <c r="S1" s="64" t="s">
        <v>0</v>
      </c>
      <c r="T1" s="64" t="s">
        <v>1</v>
      </c>
    </row>
    <row r="2" spans="1:20" s="53" customFormat="1">
      <c r="A2" s="52">
        <v>42107</v>
      </c>
      <c r="B2" s="51" t="s">
        <v>40</v>
      </c>
      <c r="C2" s="56" t="s">
        <v>156</v>
      </c>
      <c r="D2" s="76">
        <v>3</v>
      </c>
      <c r="E2" s="76">
        <v>43</v>
      </c>
      <c r="F2" s="77"/>
      <c r="G2" s="78">
        <v>3</v>
      </c>
      <c r="H2" s="78">
        <v>4</v>
      </c>
      <c r="I2" s="78"/>
      <c r="J2" s="79">
        <v>2</v>
      </c>
      <c r="K2" s="79">
        <v>1</v>
      </c>
      <c r="L2" s="79">
        <v>0</v>
      </c>
      <c r="M2" s="79">
        <v>2</v>
      </c>
      <c r="N2" s="79">
        <v>2</v>
      </c>
      <c r="O2" s="57"/>
      <c r="P2" s="61">
        <v>168</v>
      </c>
      <c r="Q2" s="59" t="s">
        <v>155</v>
      </c>
      <c r="R2" s="58" t="s">
        <v>86</v>
      </c>
      <c r="S2" s="61">
        <v>4</v>
      </c>
      <c r="T2" s="61">
        <v>3</v>
      </c>
    </row>
    <row r="3" spans="1:20" s="53" customFormat="1">
      <c r="A3" s="69">
        <v>42103</v>
      </c>
      <c r="B3" s="6" t="s">
        <v>140</v>
      </c>
      <c r="C3" s="25" t="s">
        <v>138</v>
      </c>
      <c r="D3" s="80">
        <v>6</v>
      </c>
      <c r="E3" s="80">
        <v>43</v>
      </c>
      <c r="F3" s="77"/>
      <c r="G3" s="78">
        <v>5</v>
      </c>
      <c r="H3" s="78">
        <v>2</v>
      </c>
      <c r="I3" s="78"/>
      <c r="J3" s="81">
        <v>1</v>
      </c>
      <c r="K3" s="81">
        <v>1</v>
      </c>
      <c r="L3" s="81">
        <v>4</v>
      </c>
      <c r="M3" s="81">
        <v>0</v>
      </c>
      <c r="N3" s="81">
        <v>1</v>
      </c>
      <c r="O3" s="57"/>
      <c r="P3" s="61">
        <v>160</v>
      </c>
      <c r="Q3" s="59" t="s">
        <v>137</v>
      </c>
      <c r="R3" s="53" t="s">
        <v>86</v>
      </c>
      <c r="S3" s="61">
        <v>4</v>
      </c>
      <c r="T3" s="61">
        <v>3</v>
      </c>
    </row>
    <row r="4" spans="1:20" s="53" customFormat="1">
      <c r="A4" s="52">
        <v>42100</v>
      </c>
      <c r="B4" s="14" t="s">
        <v>141</v>
      </c>
      <c r="C4" s="26" t="s">
        <v>139</v>
      </c>
      <c r="D4" s="82">
        <v>3</v>
      </c>
      <c r="E4" s="82">
        <v>49</v>
      </c>
      <c r="F4" s="77"/>
      <c r="G4" s="78">
        <v>3</v>
      </c>
      <c r="H4" s="78">
        <v>4</v>
      </c>
      <c r="I4" s="78"/>
      <c r="J4" s="81">
        <v>1</v>
      </c>
      <c r="K4" s="81">
        <v>1</v>
      </c>
      <c r="L4" s="81">
        <v>2</v>
      </c>
      <c r="M4" s="81">
        <v>0</v>
      </c>
      <c r="N4" s="81">
        <v>3</v>
      </c>
      <c r="O4" s="57"/>
      <c r="P4" s="61">
        <v>203</v>
      </c>
      <c r="Q4" s="59">
        <v>42</v>
      </c>
      <c r="R4" s="58"/>
      <c r="S4" s="61">
        <v>5</v>
      </c>
      <c r="T4" s="61">
        <v>2</v>
      </c>
    </row>
    <row r="5" spans="1:20" s="53" customFormat="1">
      <c r="A5" s="70">
        <v>42096</v>
      </c>
      <c r="B5" s="14" t="s">
        <v>26</v>
      </c>
      <c r="C5" s="14" t="s">
        <v>27</v>
      </c>
      <c r="D5" s="66">
        <v>2</v>
      </c>
      <c r="E5" s="66">
        <v>46</v>
      </c>
      <c r="F5" s="73"/>
      <c r="G5" s="83">
        <v>4</v>
      </c>
      <c r="H5" s="83">
        <v>3</v>
      </c>
      <c r="I5" s="83"/>
      <c r="J5" s="84">
        <v>1</v>
      </c>
      <c r="K5" s="84">
        <v>2</v>
      </c>
      <c r="L5" s="84">
        <v>2</v>
      </c>
      <c r="M5" s="84">
        <v>0</v>
      </c>
      <c r="N5" s="84">
        <v>2</v>
      </c>
      <c r="P5" s="62">
        <v>171</v>
      </c>
      <c r="Q5" s="54">
        <v>11</v>
      </c>
      <c r="S5" s="62">
        <v>3</v>
      </c>
      <c r="T5" s="62">
        <v>4</v>
      </c>
    </row>
    <row r="6" spans="1:20">
      <c r="A6" s="71">
        <v>42093</v>
      </c>
      <c r="B6" s="5" t="s">
        <v>28</v>
      </c>
      <c r="C6" s="5" t="s">
        <v>29</v>
      </c>
      <c r="D6" s="66">
        <v>6</v>
      </c>
      <c r="E6" s="66">
        <v>47</v>
      </c>
      <c r="F6" s="73"/>
      <c r="G6" s="74">
        <v>3</v>
      </c>
      <c r="H6" s="74">
        <v>4</v>
      </c>
      <c r="I6" s="74"/>
      <c r="J6" s="75">
        <v>1</v>
      </c>
      <c r="K6" s="75">
        <v>2</v>
      </c>
      <c r="L6" s="75">
        <v>0</v>
      </c>
      <c r="M6" s="75">
        <v>2</v>
      </c>
      <c r="N6" s="75">
        <v>2</v>
      </c>
      <c r="P6" s="63">
        <v>189</v>
      </c>
      <c r="Q6" s="2" t="s">
        <v>85</v>
      </c>
      <c r="R6" t="s">
        <v>86</v>
      </c>
      <c r="S6" s="63">
        <v>3</v>
      </c>
      <c r="T6" s="63">
        <v>4</v>
      </c>
    </row>
    <row r="7" spans="1:20">
      <c r="A7" s="72">
        <v>42089</v>
      </c>
      <c r="B7" s="6" t="s">
        <v>30</v>
      </c>
      <c r="C7" s="6" t="s">
        <v>31</v>
      </c>
      <c r="D7" s="66">
        <v>5</v>
      </c>
      <c r="E7" s="66">
        <v>47</v>
      </c>
      <c r="F7" s="73"/>
      <c r="G7" s="74">
        <v>2</v>
      </c>
      <c r="H7" s="74">
        <v>5</v>
      </c>
      <c r="I7" s="74"/>
      <c r="J7" s="75">
        <v>1</v>
      </c>
      <c r="K7" s="75">
        <v>0</v>
      </c>
      <c r="L7" s="75">
        <v>1</v>
      </c>
      <c r="M7" s="75">
        <v>3</v>
      </c>
      <c r="N7" s="75">
        <v>2</v>
      </c>
      <c r="P7" s="63">
        <v>218</v>
      </c>
      <c r="Q7" s="2" t="s">
        <v>87</v>
      </c>
      <c r="S7" s="63">
        <v>6</v>
      </c>
      <c r="T7" s="63">
        <v>1</v>
      </c>
    </row>
    <row r="8" spans="1:20">
      <c r="A8" s="71">
        <v>42086</v>
      </c>
      <c r="B8" s="5" t="s">
        <v>32</v>
      </c>
      <c r="C8" s="5" t="s">
        <v>33</v>
      </c>
      <c r="D8" s="66">
        <v>1</v>
      </c>
      <c r="E8" s="66">
        <v>49</v>
      </c>
      <c r="G8" s="2">
        <v>4</v>
      </c>
      <c r="H8" s="2">
        <v>3</v>
      </c>
      <c r="J8" s="8">
        <v>2</v>
      </c>
      <c r="K8" s="8">
        <v>1</v>
      </c>
      <c r="L8" s="8">
        <v>1</v>
      </c>
      <c r="M8" s="8">
        <v>1</v>
      </c>
      <c r="N8" s="8">
        <v>2</v>
      </c>
      <c r="P8" s="63">
        <v>165</v>
      </c>
      <c r="Q8" s="2">
        <v>49</v>
      </c>
      <c r="S8" s="63">
        <v>5</v>
      </c>
      <c r="T8" s="63">
        <v>2</v>
      </c>
    </row>
    <row r="9" spans="1:20">
      <c r="A9" s="72">
        <v>42082</v>
      </c>
      <c r="B9" s="6" t="s">
        <v>34</v>
      </c>
      <c r="C9" s="6" t="s">
        <v>35</v>
      </c>
      <c r="D9" s="66">
        <v>3</v>
      </c>
      <c r="E9" s="66">
        <v>49</v>
      </c>
      <c r="G9" s="2">
        <v>2</v>
      </c>
      <c r="H9" s="2">
        <v>5</v>
      </c>
      <c r="J9" s="9">
        <v>1</v>
      </c>
      <c r="K9" s="9">
        <v>1</v>
      </c>
      <c r="L9" s="9">
        <v>2</v>
      </c>
      <c r="M9" s="9">
        <v>1</v>
      </c>
      <c r="N9" s="9">
        <v>2</v>
      </c>
      <c r="P9" s="63">
        <v>205</v>
      </c>
      <c r="Q9" s="2">
        <v>45</v>
      </c>
      <c r="S9" s="63">
        <v>5</v>
      </c>
      <c r="T9" s="63">
        <v>2</v>
      </c>
    </row>
    <row r="10" spans="1:20">
      <c r="A10" s="71">
        <v>42079</v>
      </c>
      <c r="B10" s="5" t="s">
        <v>36</v>
      </c>
      <c r="C10" s="5" t="s">
        <v>37</v>
      </c>
      <c r="D10" s="66">
        <v>7</v>
      </c>
      <c r="E10" s="66">
        <v>45</v>
      </c>
      <c r="G10" s="2">
        <v>3</v>
      </c>
      <c r="H10" s="2">
        <v>4</v>
      </c>
      <c r="J10" s="7">
        <v>1</v>
      </c>
      <c r="K10" s="7">
        <v>2</v>
      </c>
      <c r="L10" s="7">
        <v>0</v>
      </c>
      <c r="M10" s="7">
        <v>1</v>
      </c>
      <c r="N10" s="7">
        <v>3</v>
      </c>
      <c r="P10" s="63">
        <v>196</v>
      </c>
      <c r="Q10" s="2" t="s">
        <v>88</v>
      </c>
      <c r="S10" s="63">
        <v>6</v>
      </c>
      <c r="T10" s="63">
        <v>1</v>
      </c>
    </row>
    <row r="11" spans="1:20" ht="22.5">
      <c r="A11" s="72">
        <v>42075</v>
      </c>
      <c r="B11" s="6" t="s">
        <v>38</v>
      </c>
      <c r="C11" s="6" t="s">
        <v>39</v>
      </c>
      <c r="D11" s="66">
        <v>10</v>
      </c>
      <c r="E11" s="66">
        <v>47</v>
      </c>
      <c r="G11" s="2">
        <v>5</v>
      </c>
      <c r="H11" s="2">
        <v>2</v>
      </c>
      <c r="J11" s="7">
        <v>0</v>
      </c>
      <c r="K11" s="7">
        <v>4</v>
      </c>
      <c r="L11" s="7">
        <v>1</v>
      </c>
      <c r="M11" s="7">
        <v>1</v>
      </c>
      <c r="N11" s="7">
        <v>1</v>
      </c>
      <c r="P11" s="63">
        <v>161</v>
      </c>
      <c r="Q11" s="2">
        <v>47</v>
      </c>
      <c r="R11" t="s">
        <v>89</v>
      </c>
      <c r="S11" s="63">
        <v>3</v>
      </c>
      <c r="T11" s="63">
        <v>4</v>
      </c>
    </row>
    <row r="12" spans="1:20">
      <c r="A12" s="71">
        <v>42072</v>
      </c>
      <c r="B12" s="5" t="s">
        <v>40</v>
      </c>
      <c r="C12" s="5" t="s">
        <v>41</v>
      </c>
      <c r="D12" s="66">
        <v>3</v>
      </c>
      <c r="E12" s="66">
        <v>47</v>
      </c>
      <c r="G12" s="2">
        <v>3</v>
      </c>
      <c r="H12" s="2">
        <v>4</v>
      </c>
      <c r="J12" s="7">
        <v>2</v>
      </c>
      <c r="K12" s="7">
        <v>1</v>
      </c>
      <c r="L12" s="7">
        <v>0</v>
      </c>
      <c r="M12" s="7">
        <v>2</v>
      </c>
      <c r="N12" s="7">
        <v>2</v>
      </c>
      <c r="P12" s="63">
        <v>191</v>
      </c>
      <c r="Q12" s="2" t="s">
        <v>90</v>
      </c>
      <c r="R12" t="s">
        <v>86</v>
      </c>
      <c r="S12" s="63">
        <v>5</v>
      </c>
      <c r="T12" s="63">
        <v>2</v>
      </c>
    </row>
    <row r="13" spans="1:20">
      <c r="A13" s="72">
        <v>42068</v>
      </c>
      <c r="B13" s="6" t="s">
        <v>42</v>
      </c>
      <c r="C13" s="6" t="s">
        <v>43</v>
      </c>
      <c r="D13" s="66">
        <v>5</v>
      </c>
      <c r="E13" s="66">
        <v>47</v>
      </c>
      <c r="G13" s="2">
        <v>4</v>
      </c>
      <c r="H13" s="2">
        <v>3</v>
      </c>
      <c r="J13" s="7">
        <v>1</v>
      </c>
      <c r="K13" s="7">
        <v>2</v>
      </c>
      <c r="L13" s="7">
        <v>1</v>
      </c>
      <c r="M13" s="7">
        <v>1</v>
      </c>
      <c r="N13" s="7">
        <v>2</v>
      </c>
      <c r="P13" s="63">
        <v>175</v>
      </c>
      <c r="Q13" s="2" t="s">
        <v>91</v>
      </c>
      <c r="R13" t="s">
        <v>86</v>
      </c>
      <c r="S13" s="63">
        <v>3</v>
      </c>
      <c r="T13" s="63">
        <v>4</v>
      </c>
    </row>
    <row r="14" spans="1:20">
      <c r="A14" s="71">
        <v>42065</v>
      </c>
      <c r="B14" s="5" t="s">
        <v>44</v>
      </c>
      <c r="C14" s="5" t="s">
        <v>45</v>
      </c>
      <c r="D14" s="66">
        <v>7</v>
      </c>
      <c r="E14" s="66">
        <v>44</v>
      </c>
      <c r="G14" s="2">
        <v>4</v>
      </c>
      <c r="H14" s="2">
        <v>3</v>
      </c>
      <c r="J14" s="7">
        <v>1</v>
      </c>
      <c r="K14" s="7">
        <v>1</v>
      </c>
      <c r="L14" s="7">
        <v>3</v>
      </c>
      <c r="M14" s="7">
        <v>1</v>
      </c>
      <c r="N14" s="7">
        <v>1</v>
      </c>
      <c r="P14" s="63">
        <v>169</v>
      </c>
      <c r="S14" s="63">
        <v>3</v>
      </c>
      <c r="T14" s="63">
        <v>4</v>
      </c>
    </row>
    <row r="15" spans="1:20">
      <c r="A15" s="72">
        <v>42062</v>
      </c>
      <c r="B15" s="6" t="s">
        <v>46</v>
      </c>
      <c r="C15" s="6" t="s">
        <v>47</v>
      </c>
      <c r="D15" s="66">
        <v>2</v>
      </c>
      <c r="E15" s="66">
        <v>42</v>
      </c>
      <c r="G15" s="2">
        <v>4</v>
      </c>
      <c r="H15" s="2">
        <v>3</v>
      </c>
      <c r="J15" s="7">
        <v>1</v>
      </c>
      <c r="K15" s="7">
        <v>3</v>
      </c>
      <c r="L15" s="7">
        <v>1</v>
      </c>
      <c r="M15" s="7">
        <v>0</v>
      </c>
      <c r="N15" s="7">
        <v>2</v>
      </c>
      <c r="P15" s="63">
        <v>159</v>
      </c>
      <c r="Q15" s="2">
        <v>14</v>
      </c>
      <c r="R15" t="s">
        <v>89</v>
      </c>
      <c r="S15" s="63">
        <v>3</v>
      </c>
      <c r="T15" s="63">
        <v>4</v>
      </c>
    </row>
    <row r="16" spans="1:20">
      <c r="A16" s="71">
        <v>42058</v>
      </c>
      <c r="B16" s="5" t="s">
        <v>48</v>
      </c>
      <c r="C16" s="5" t="s">
        <v>49</v>
      </c>
      <c r="D16" s="66">
        <v>1</v>
      </c>
      <c r="E16" s="66">
        <v>115</v>
      </c>
      <c r="G16" s="2">
        <v>5</v>
      </c>
      <c r="H16" s="2">
        <v>2</v>
      </c>
      <c r="J16" s="7">
        <v>2</v>
      </c>
      <c r="K16" s="7">
        <v>2</v>
      </c>
      <c r="L16" s="7">
        <v>3</v>
      </c>
      <c r="M16" s="7">
        <v>0</v>
      </c>
      <c r="N16" s="7">
        <v>0</v>
      </c>
      <c r="P16" s="63">
        <v>117</v>
      </c>
      <c r="S16" s="63">
        <v>3</v>
      </c>
      <c r="T16" s="63">
        <v>4</v>
      </c>
    </row>
    <row r="17" spans="1:20">
      <c r="A17" s="72">
        <v>42054</v>
      </c>
      <c r="B17" s="6" t="s">
        <v>50</v>
      </c>
      <c r="C17" s="6" t="s">
        <v>51</v>
      </c>
      <c r="D17" s="66">
        <v>2</v>
      </c>
      <c r="E17" s="66">
        <v>45</v>
      </c>
      <c r="G17" s="2">
        <v>4</v>
      </c>
      <c r="H17" s="2">
        <v>3</v>
      </c>
      <c r="J17" s="9">
        <v>1</v>
      </c>
      <c r="K17" s="9">
        <v>1</v>
      </c>
      <c r="L17" s="9">
        <v>2</v>
      </c>
      <c r="M17" s="9">
        <v>2</v>
      </c>
      <c r="N17" s="9">
        <v>1</v>
      </c>
      <c r="P17" s="63">
        <v>182</v>
      </c>
      <c r="Q17" s="2" t="s">
        <v>92</v>
      </c>
      <c r="R17" t="s">
        <v>89</v>
      </c>
      <c r="S17" s="63">
        <v>4</v>
      </c>
      <c r="T17" s="63">
        <v>3</v>
      </c>
    </row>
    <row r="18" spans="1:20">
      <c r="A18" s="71">
        <v>42051</v>
      </c>
      <c r="B18" s="5" t="s">
        <v>52</v>
      </c>
      <c r="C18" s="5" t="s">
        <v>53</v>
      </c>
      <c r="D18" s="66">
        <v>8</v>
      </c>
      <c r="E18" s="66">
        <v>46</v>
      </c>
      <c r="G18" s="2">
        <v>3</v>
      </c>
      <c r="H18" s="2">
        <v>4</v>
      </c>
      <c r="J18" s="7">
        <v>1</v>
      </c>
      <c r="K18" s="7">
        <v>1</v>
      </c>
      <c r="L18" s="7">
        <v>1</v>
      </c>
      <c r="M18" s="7">
        <v>3</v>
      </c>
      <c r="N18" s="7">
        <v>1</v>
      </c>
      <c r="P18" s="63">
        <v>201</v>
      </c>
      <c r="R18" t="s">
        <v>86</v>
      </c>
      <c r="S18" s="63">
        <v>3</v>
      </c>
      <c r="T18" s="63">
        <v>4</v>
      </c>
    </row>
    <row r="19" spans="1:20" ht="22.5">
      <c r="A19" s="72">
        <v>42047</v>
      </c>
      <c r="B19" s="6" t="s">
        <v>54</v>
      </c>
      <c r="C19" s="6" t="s">
        <v>55</v>
      </c>
      <c r="D19" s="66">
        <v>12</v>
      </c>
      <c r="E19" s="66">
        <v>47</v>
      </c>
      <c r="G19" s="2">
        <v>2</v>
      </c>
      <c r="H19" s="2">
        <v>5</v>
      </c>
      <c r="J19" s="7">
        <v>0</v>
      </c>
      <c r="K19" s="7">
        <v>2</v>
      </c>
      <c r="L19" s="7">
        <v>1</v>
      </c>
      <c r="M19" s="7">
        <v>2</v>
      </c>
      <c r="N19" s="7">
        <v>2</v>
      </c>
      <c r="P19" s="63">
        <v>211</v>
      </c>
      <c r="Q19" s="2">
        <v>32</v>
      </c>
      <c r="R19" t="s">
        <v>86</v>
      </c>
      <c r="S19" s="63">
        <v>3</v>
      </c>
      <c r="T19" s="63">
        <v>4</v>
      </c>
    </row>
    <row r="20" spans="1:20">
      <c r="A20" s="71">
        <v>42044</v>
      </c>
      <c r="B20" s="5" t="s">
        <v>56</v>
      </c>
      <c r="C20" s="5" t="s">
        <v>57</v>
      </c>
      <c r="D20" s="66">
        <v>4</v>
      </c>
      <c r="E20" s="66">
        <v>36</v>
      </c>
      <c r="G20" s="2">
        <v>4</v>
      </c>
      <c r="H20" s="2">
        <v>3</v>
      </c>
      <c r="J20" s="7">
        <v>2</v>
      </c>
      <c r="K20" s="7">
        <v>1</v>
      </c>
      <c r="L20" s="7">
        <v>1</v>
      </c>
      <c r="M20" s="7">
        <v>3</v>
      </c>
      <c r="N20" s="7">
        <v>0</v>
      </c>
      <c r="P20" s="63">
        <v>146</v>
      </c>
      <c r="Q20" s="2">
        <v>31</v>
      </c>
      <c r="R20" t="s">
        <v>86</v>
      </c>
      <c r="S20" s="63">
        <v>2</v>
      </c>
      <c r="T20" s="63">
        <v>5</v>
      </c>
    </row>
    <row r="21" spans="1:20">
      <c r="A21" s="72">
        <v>42040</v>
      </c>
      <c r="B21" s="6" t="s">
        <v>32</v>
      </c>
      <c r="C21" s="6" t="s">
        <v>58</v>
      </c>
      <c r="D21" s="66">
        <v>2</v>
      </c>
      <c r="E21" s="66">
        <v>48</v>
      </c>
      <c r="G21" s="2">
        <v>4</v>
      </c>
      <c r="H21" s="2">
        <v>3</v>
      </c>
      <c r="J21" s="8">
        <v>2</v>
      </c>
      <c r="K21" s="8">
        <v>1</v>
      </c>
      <c r="L21" s="8">
        <v>1</v>
      </c>
      <c r="M21" s="8">
        <v>1</v>
      </c>
      <c r="N21" s="8">
        <v>2</v>
      </c>
      <c r="P21" s="63">
        <v>169</v>
      </c>
      <c r="Q21" s="2">
        <v>8</v>
      </c>
      <c r="S21" s="63">
        <v>3</v>
      </c>
      <c r="T21" s="63">
        <v>4</v>
      </c>
    </row>
    <row r="22" spans="1:20">
      <c r="A22" s="71">
        <v>42037</v>
      </c>
      <c r="B22" s="5" t="s">
        <v>50</v>
      </c>
      <c r="C22" s="5" t="s">
        <v>59</v>
      </c>
      <c r="D22" s="66">
        <v>8</v>
      </c>
      <c r="E22" s="66">
        <v>41</v>
      </c>
      <c r="G22" s="2">
        <v>3</v>
      </c>
      <c r="H22" s="2">
        <v>4</v>
      </c>
      <c r="J22" s="9">
        <v>1</v>
      </c>
      <c r="K22" s="9">
        <v>1</v>
      </c>
      <c r="L22" s="9">
        <v>2</v>
      </c>
      <c r="M22" s="9">
        <v>2</v>
      </c>
      <c r="N22" s="9">
        <v>1</v>
      </c>
      <c r="P22" s="63">
        <v>193</v>
      </c>
      <c r="Q22" s="2">
        <v>38</v>
      </c>
      <c r="R22" t="s">
        <v>86</v>
      </c>
      <c r="S22" s="63">
        <v>3</v>
      </c>
      <c r="T22" s="63">
        <v>4</v>
      </c>
    </row>
    <row r="23" spans="1:20">
      <c r="A23" s="72">
        <v>42033</v>
      </c>
      <c r="B23" s="6" t="s">
        <v>60</v>
      </c>
      <c r="C23" s="6" t="s">
        <v>61</v>
      </c>
      <c r="D23" s="66">
        <v>6</v>
      </c>
      <c r="E23" s="66">
        <v>49</v>
      </c>
      <c r="G23" s="2">
        <v>2</v>
      </c>
      <c r="H23" s="2">
        <v>5</v>
      </c>
      <c r="J23" s="7">
        <v>1</v>
      </c>
      <c r="K23" s="7">
        <v>1</v>
      </c>
      <c r="L23" s="7">
        <v>1</v>
      </c>
      <c r="M23" s="7">
        <v>1</v>
      </c>
      <c r="N23" s="7">
        <v>3</v>
      </c>
      <c r="P23" s="63">
        <v>220</v>
      </c>
      <c r="Q23" s="2">
        <v>6</v>
      </c>
      <c r="S23" s="63">
        <v>4</v>
      </c>
      <c r="T23" s="63">
        <v>3</v>
      </c>
    </row>
    <row r="24" spans="1:20">
      <c r="A24" s="71">
        <v>42030</v>
      </c>
      <c r="B24" s="5" t="s">
        <v>62</v>
      </c>
      <c r="C24" s="5" t="s">
        <v>63</v>
      </c>
      <c r="D24" s="66">
        <v>6</v>
      </c>
      <c r="E24" s="66">
        <v>46</v>
      </c>
      <c r="G24" s="2">
        <v>3</v>
      </c>
      <c r="H24" s="2">
        <v>4</v>
      </c>
      <c r="J24" s="7">
        <v>1</v>
      </c>
      <c r="K24" s="7">
        <v>0</v>
      </c>
      <c r="L24" s="7">
        <v>2</v>
      </c>
      <c r="M24" s="7">
        <v>3</v>
      </c>
      <c r="N24" s="7">
        <v>1</v>
      </c>
      <c r="P24" s="63">
        <v>196</v>
      </c>
      <c r="Q24" s="2">
        <v>31</v>
      </c>
      <c r="R24" t="s">
        <v>89</v>
      </c>
      <c r="S24" s="63">
        <v>2</v>
      </c>
      <c r="T24" s="63">
        <v>5</v>
      </c>
    </row>
    <row r="25" spans="1:20">
      <c r="A25" s="72">
        <v>42026</v>
      </c>
      <c r="B25" s="6" t="s">
        <v>34</v>
      </c>
      <c r="C25" s="6" t="s">
        <v>64</v>
      </c>
      <c r="D25" s="66">
        <v>5</v>
      </c>
      <c r="E25" s="66">
        <v>47</v>
      </c>
      <c r="G25" s="2">
        <v>3</v>
      </c>
      <c r="H25" s="2">
        <v>4</v>
      </c>
      <c r="J25" s="9">
        <v>1</v>
      </c>
      <c r="K25" s="9">
        <v>1</v>
      </c>
      <c r="L25" s="9">
        <v>2</v>
      </c>
      <c r="M25" s="9">
        <v>1</v>
      </c>
      <c r="N25" s="9">
        <v>2</v>
      </c>
      <c r="P25" s="63">
        <v>186</v>
      </c>
      <c r="Q25" s="2" t="s">
        <v>93</v>
      </c>
      <c r="R25" t="s">
        <v>86</v>
      </c>
      <c r="S25" s="63">
        <v>4</v>
      </c>
      <c r="T25" s="63">
        <v>3</v>
      </c>
    </row>
    <row r="26" spans="1:20" ht="22.5">
      <c r="A26" s="71">
        <v>42023</v>
      </c>
      <c r="B26" s="5" t="s">
        <v>65</v>
      </c>
      <c r="C26" s="5" t="s">
        <v>66</v>
      </c>
      <c r="D26" s="66">
        <v>13</v>
      </c>
      <c r="E26" s="66">
        <v>36</v>
      </c>
      <c r="G26" s="2">
        <v>4</v>
      </c>
      <c r="H26" s="2">
        <v>3</v>
      </c>
      <c r="J26" s="7">
        <v>0</v>
      </c>
      <c r="K26" s="7">
        <v>1</v>
      </c>
      <c r="L26" s="7">
        <v>3</v>
      </c>
      <c r="M26" s="7">
        <v>3</v>
      </c>
      <c r="N26" s="7">
        <v>0</v>
      </c>
      <c r="P26" s="63">
        <v>183</v>
      </c>
      <c r="Q26" s="2">
        <v>33</v>
      </c>
      <c r="R26" t="s">
        <v>86</v>
      </c>
      <c r="S26" s="63">
        <v>5</v>
      </c>
      <c r="T26" s="63">
        <v>2</v>
      </c>
    </row>
    <row r="27" spans="1:20">
      <c r="A27" s="72">
        <v>42019</v>
      </c>
      <c r="B27" s="6" t="s">
        <v>67</v>
      </c>
      <c r="C27" s="6" t="s">
        <v>68</v>
      </c>
      <c r="D27" s="66">
        <v>2</v>
      </c>
      <c r="E27" s="66">
        <v>46</v>
      </c>
      <c r="G27" s="2">
        <v>4</v>
      </c>
      <c r="H27" s="2">
        <v>3</v>
      </c>
      <c r="J27" s="7">
        <v>3</v>
      </c>
      <c r="K27" s="7">
        <v>1</v>
      </c>
      <c r="L27" s="7">
        <v>0</v>
      </c>
      <c r="M27" s="7">
        <v>2</v>
      </c>
      <c r="N27" s="7">
        <v>1</v>
      </c>
      <c r="P27" s="63">
        <v>146</v>
      </c>
      <c r="R27" t="s">
        <v>86</v>
      </c>
      <c r="S27" s="63">
        <v>4</v>
      </c>
      <c r="T27" s="63">
        <v>3</v>
      </c>
    </row>
    <row r="28" spans="1:20">
      <c r="A28" s="71">
        <v>42016</v>
      </c>
      <c r="B28" s="5" t="s">
        <v>69</v>
      </c>
      <c r="C28" s="5" t="s">
        <v>70</v>
      </c>
      <c r="D28" s="66">
        <v>7</v>
      </c>
      <c r="E28" s="66">
        <v>48</v>
      </c>
      <c r="G28" s="2">
        <v>2</v>
      </c>
      <c r="H28" s="2">
        <v>5</v>
      </c>
      <c r="J28" s="7">
        <v>1</v>
      </c>
      <c r="K28" s="7">
        <v>0</v>
      </c>
      <c r="L28" s="7">
        <v>1</v>
      </c>
      <c r="M28" s="7">
        <v>1</v>
      </c>
      <c r="N28" s="7">
        <v>4</v>
      </c>
      <c r="P28" s="63">
        <v>243</v>
      </c>
      <c r="Q28" s="2">
        <v>7</v>
      </c>
      <c r="R28" t="s">
        <v>86</v>
      </c>
      <c r="S28" s="63">
        <v>5</v>
      </c>
      <c r="T28" s="63">
        <v>2</v>
      </c>
    </row>
    <row r="29" spans="1:20">
      <c r="A29" s="72">
        <v>42012</v>
      </c>
      <c r="B29" s="6" t="s">
        <v>71</v>
      </c>
      <c r="C29" s="6" t="s">
        <v>72</v>
      </c>
      <c r="D29" s="66">
        <v>5</v>
      </c>
      <c r="E29" s="66">
        <v>38</v>
      </c>
      <c r="G29" s="2">
        <v>5</v>
      </c>
      <c r="H29" s="2">
        <v>2</v>
      </c>
      <c r="J29" s="7">
        <v>3</v>
      </c>
      <c r="K29" s="7">
        <v>1</v>
      </c>
      <c r="L29" s="7">
        <v>1</v>
      </c>
      <c r="M29" s="7">
        <v>2</v>
      </c>
      <c r="N29" s="7">
        <v>0</v>
      </c>
      <c r="P29" s="63">
        <v>129</v>
      </c>
      <c r="Q29" s="2">
        <v>34</v>
      </c>
      <c r="S29" s="63">
        <v>5</v>
      </c>
      <c r="T29" s="63">
        <v>2</v>
      </c>
    </row>
    <row r="30" spans="1:20">
      <c r="A30" s="71">
        <v>42009</v>
      </c>
      <c r="B30" s="5" t="s">
        <v>73</v>
      </c>
      <c r="C30" s="5" t="s">
        <v>74</v>
      </c>
      <c r="D30" s="66">
        <v>1</v>
      </c>
      <c r="E30" s="66">
        <v>37</v>
      </c>
      <c r="G30" s="2">
        <v>3</v>
      </c>
      <c r="H30" s="2">
        <v>4</v>
      </c>
      <c r="J30" s="7">
        <v>1</v>
      </c>
      <c r="K30" s="7">
        <v>0</v>
      </c>
      <c r="L30" s="7">
        <v>3</v>
      </c>
      <c r="M30" s="7">
        <v>3</v>
      </c>
      <c r="N30" s="7">
        <v>0</v>
      </c>
      <c r="P30" s="63">
        <v>176</v>
      </c>
      <c r="Q30" s="2">
        <v>1</v>
      </c>
      <c r="R30" t="s">
        <v>86</v>
      </c>
      <c r="S30" s="63">
        <v>4</v>
      </c>
      <c r="T30" s="63">
        <v>3</v>
      </c>
    </row>
    <row r="31" spans="1:20">
      <c r="A31" s="72">
        <v>42005</v>
      </c>
      <c r="B31" s="6" t="s">
        <v>32</v>
      </c>
      <c r="C31" s="6" t="s">
        <v>75</v>
      </c>
      <c r="D31" s="66">
        <v>1</v>
      </c>
      <c r="E31" s="66">
        <v>49</v>
      </c>
      <c r="G31" s="2">
        <v>4</v>
      </c>
      <c r="H31" s="2">
        <v>3</v>
      </c>
      <c r="J31" s="8">
        <v>2</v>
      </c>
      <c r="K31" s="8">
        <v>1</v>
      </c>
      <c r="L31" s="8">
        <v>1</v>
      </c>
      <c r="M31" s="8">
        <v>1</v>
      </c>
      <c r="N31" s="8">
        <v>2</v>
      </c>
      <c r="P31" s="63">
        <v>172</v>
      </c>
      <c r="Q31" s="2" t="s">
        <v>94</v>
      </c>
      <c r="R31" t="s">
        <v>86</v>
      </c>
      <c r="S31" s="63">
        <v>4</v>
      </c>
      <c r="T31" s="63">
        <v>3</v>
      </c>
    </row>
    <row r="32" spans="1:20">
      <c r="A32" s="71">
        <v>42367</v>
      </c>
      <c r="B32" s="5" t="s">
        <v>76</v>
      </c>
      <c r="C32" s="5" t="s">
        <v>77</v>
      </c>
      <c r="D32" s="66">
        <v>1</v>
      </c>
      <c r="E32" s="66">
        <v>47</v>
      </c>
      <c r="G32" s="2">
        <v>3</v>
      </c>
      <c r="H32" s="2">
        <v>4</v>
      </c>
      <c r="J32" s="7">
        <v>2</v>
      </c>
      <c r="K32" s="7">
        <v>1</v>
      </c>
      <c r="L32" s="7">
        <v>1</v>
      </c>
      <c r="M32" s="7">
        <v>0</v>
      </c>
      <c r="N32" s="7">
        <v>3</v>
      </c>
      <c r="P32" s="63">
        <v>183</v>
      </c>
      <c r="Q32" s="2" t="s">
        <v>95</v>
      </c>
      <c r="S32" s="63">
        <v>3</v>
      </c>
      <c r="T32" s="63">
        <v>4</v>
      </c>
    </row>
    <row r="33" spans="1:20">
      <c r="A33" s="72">
        <v>42363</v>
      </c>
      <c r="B33" s="6" t="s">
        <v>78</v>
      </c>
      <c r="C33" s="6" t="s">
        <v>79</v>
      </c>
      <c r="D33" s="66">
        <v>1</v>
      </c>
      <c r="E33" s="66">
        <v>46</v>
      </c>
      <c r="G33" s="2">
        <v>5</v>
      </c>
      <c r="H33" s="2">
        <v>2</v>
      </c>
      <c r="J33" s="7">
        <v>2</v>
      </c>
      <c r="K33" s="7">
        <v>1</v>
      </c>
      <c r="L33" s="7">
        <v>2</v>
      </c>
      <c r="M33" s="7">
        <v>0</v>
      </c>
      <c r="N33" s="7">
        <v>2</v>
      </c>
      <c r="P33" s="63">
        <v>158</v>
      </c>
      <c r="Q33" s="2">
        <v>5</v>
      </c>
      <c r="R33" t="s">
        <v>86</v>
      </c>
      <c r="S33" s="63">
        <v>4</v>
      </c>
      <c r="T33" s="63">
        <v>3</v>
      </c>
    </row>
    <row r="34" spans="1:20">
      <c r="A34" s="71">
        <v>42360</v>
      </c>
      <c r="B34" s="5" t="s">
        <v>80</v>
      </c>
      <c r="C34" s="5" t="s">
        <v>81</v>
      </c>
      <c r="D34" s="66">
        <v>5</v>
      </c>
      <c r="E34" s="66">
        <v>44</v>
      </c>
      <c r="G34" s="2">
        <v>4</v>
      </c>
      <c r="H34" s="2">
        <v>3</v>
      </c>
      <c r="J34" s="7">
        <v>1</v>
      </c>
      <c r="K34" s="7">
        <v>3</v>
      </c>
      <c r="L34" s="7">
        <v>0</v>
      </c>
      <c r="M34" s="7">
        <v>2</v>
      </c>
      <c r="N34" s="7">
        <v>1</v>
      </c>
      <c r="P34" s="63">
        <v>160</v>
      </c>
      <c r="S34" s="63">
        <v>2</v>
      </c>
      <c r="T34" s="63">
        <v>5</v>
      </c>
    </row>
    <row r="35" spans="1:20">
      <c r="P35" s="63">
        <v>153</v>
      </c>
      <c r="S35" s="63">
        <v>5</v>
      </c>
      <c r="T35" s="63">
        <v>2</v>
      </c>
    </row>
    <row r="36" spans="1:20">
      <c r="C36" t="s">
        <v>22</v>
      </c>
      <c r="D36" s="67">
        <f>MAX(D5:D34)</f>
        <v>13</v>
      </c>
      <c r="E36" s="67">
        <f t="shared" ref="E36:N36" si="0">MAX(E5:E34)</f>
        <v>115</v>
      </c>
      <c r="F36" s="10"/>
      <c r="G36" s="10">
        <f t="shared" si="0"/>
        <v>5</v>
      </c>
      <c r="H36" s="10">
        <f t="shared" si="0"/>
        <v>5</v>
      </c>
      <c r="I36" s="10"/>
      <c r="J36" s="10">
        <f t="shared" si="0"/>
        <v>3</v>
      </c>
      <c r="K36" s="10">
        <f t="shared" si="0"/>
        <v>4</v>
      </c>
      <c r="L36" s="10">
        <f t="shared" si="0"/>
        <v>3</v>
      </c>
      <c r="M36" s="10">
        <f t="shared" si="0"/>
        <v>3</v>
      </c>
      <c r="N36" s="10">
        <f t="shared" si="0"/>
        <v>4</v>
      </c>
      <c r="P36" s="63">
        <v>150</v>
      </c>
      <c r="Q36" s="2" t="s">
        <v>96</v>
      </c>
      <c r="R36" t="s">
        <v>86</v>
      </c>
      <c r="S36" s="63">
        <v>2</v>
      </c>
      <c r="T36" s="63">
        <v>5</v>
      </c>
    </row>
    <row r="37" spans="1:20">
      <c r="C37" t="s">
        <v>82</v>
      </c>
      <c r="D37" s="67">
        <f>MODE(D5:D34)</f>
        <v>1</v>
      </c>
      <c r="E37" s="67">
        <f>MODE(E5:E34)</f>
        <v>47</v>
      </c>
      <c r="F37" s="10"/>
      <c r="G37" s="10">
        <f>MODE(G5:G34)</f>
        <v>4</v>
      </c>
      <c r="H37" s="10">
        <f>MODE(H5:H34)</f>
        <v>3</v>
      </c>
      <c r="I37" s="10"/>
      <c r="J37" s="10">
        <f>MODE(J5:J34)</f>
        <v>1</v>
      </c>
      <c r="K37" s="10">
        <f>MODE(K5:K34)</f>
        <v>1</v>
      </c>
      <c r="L37" s="10">
        <f>MODE(L5:L34)</f>
        <v>1</v>
      </c>
      <c r="M37" s="10">
        <f>MODE(M5:M34)</f>
        <v>1</v>
      </c>
      <c r="N37" s="10">
        <f>MODE(N5:N34)</f>
        <v>2</v>
      </c>
      <c r="P37" s="63">
        <v>205</v>
      </c>
      <c r="R37" t="s">
        <v>86</v>
      </c>
      <c r="S37" s="63">
        <v>3</v>
      </c>
      <c r="T37" s="63">
        <v>4</v>
      </c>
    </row>
    <row r="38" spans="1:20">
      <c r="C38" t="s">
        <v>83</v>
      </c>
      <c r="D38" s="67">
        <f>MEDIAN(D5:D34)</f>
        <v>5</v>
      </c>
      <c r="E38" s="68">
        <f>MEDIAN(E5:E34)</f>
        <v>46.5</v>
      </c>
      <c r="F38" s="10"/>
      <c r="G38" s="10">
        <f>MEDIAN(G5:G34)</f>
        <v>4</v>
      </c>
      <c r="H38" s="10">
        <f>MEDIAN(H5:H34)</f>
        <v>3</v>
      </c>
      <c r="I38" s="10"/>
      <c r="J38" s="10">
        <f>MEDIAN(J5:J34)</f>
        <v>1</v>
      </c>
      <c r="K38" s="10">
        <f>MEDIAN(K5:K34)</f>
        <v>1</v>
      </c>
      <c r="L38" s="10">
        <f>MEDIAN(L5:L34)</f>
        <v>1</v>
      </c>
      <c r="M38" s="10">
        <f>MEDIAN(M5:M34)</f>
        <v>1</v>
      </c>
      <c r="N38" s="10">
        <f>MEDIAN(N5:N34)</f>
        <v>2</v>
      </c>
      <c r="P38" s="63">
        <v>227</v>
      </c>
      <c r="Q38" s="2">
        <v>17</v>
      </c>
      <c r="R38" t="s">
        <v>89</v>
      </c>
      <c r="S38" s="63">
        <v>5</v>
      </c>
      <c r="T38" s="63">
        <v>2</v>
      </c>
    </row>
    <row r="39" spans="1:20">
      <c r="C39" t="s">
        <v>84</v>
      </c>
      <c r="D39" s="68">
        <f>AVERAGE(D5:D34)</f>
        <v>4.7</v>
      </c>
      <c r="E39" s="68">
        <f>AVERAGE(E5:E34)</f>
        <v>47.366666666666667</v>
      </c>
      <c r="F39" s="11"/>
      <c r="G39" s="11">
        <f>AVERAGE(G5:G34)</f>
        <v>3.5</v>
      </c>
      <c r="H39" s="11">
        <f>AVERAGE(H5:H34)</f>
        <v>3.5</v>
      </c>
      <c r="I39" s="11"/>
      <c r="J39" s="11">
        <f>AVERAGE(J5:J34)</f>
        <v>1.3</v>
      </c>
      <c r="K39" s="11">
        <f>AVERAGE(K5:K34)</f>
        <v>1.3</v>
      </c>
      <c r="L39" s="11">
        <f>AVERAGE(L5:L34)</f>
        <v>1.3333333333333333</v>
      </c>
      <c r="M39" s="11">
        <f>AVERAGE(M5:M34)</f>
        <v>1.5</v>
      </c>
      <c r="N39" s="11">
        <f>AVERAGE(N5:N34)</f>
        <v>1.5666666666666667</v>
      </c>
      <c r="P39" s="63">
        <v>194</v>
      </c>
      <c r="S39" s="63">
        <v>4</v>
      </c>
      <c r="T39" s="63">
        <v>3</v>
      </c>
    </row>
    <row r="40" spans="1:20">
      <c r="C40" t="s">
        <v>21</v>
      </c>
      <c r="D40" s="67">
        <f>MIN(D5:D34)</f>
        <v>1</v>
      </c>
      <c r="E40" s="67">
        <f t="shared" ref="E40:N40" si="1">MIN(E5:E34)</f>
        <v>36</v>
      </c>
      <c r="F40" s="10"/>
      <c r="G40" s="10">
        <f t="shared" si="1"/>
        <v>2</v>
      </c>
      <c r="H40" s="10">
        <f t="shared" si="1"/>
        <v>2</v>
      </c>
      <c r="I40" s="10"/>
      <c r="J40" s="10">
        <f t="shared" si="1"/>
        <v>0</v>
      </c>
      <c r="K40" s="10">
        <f t="shared" si="1"/>
        <v>0</v>
      </c>
      <c r="L40" s="10">
        <f t="shared" si="1"/>
        <v>0</v>
      </c>
      <c r="M40" s="10">
        <f t="shared" si="1"/>
        <v>0</v>
      </c>
      <c r="N40" s="10">
        <f t="shared" si="1"/>
        <v>0</v>
      </c>
      <c r="P40" s="63">
        <v>128</v>
      </c>
      <c r="R40" t="s">
        <v>86</v>
      </c>
      <c r="S40" s="63">
        <v>4</v>
      </c>
      <c r="T40" s="63">
        <v>3</v>
      </c>
    </row>
    <row r="41" spans="1:20">
      <c r="P41" s="63">
        <v>177</v>
      </c>
      <c r="S41" s="63">
        <v>3</v>
      </c>
      <c r="T41" s="63">
        <v>4</v>
      </c>
    </row>
    <row r="42" spans="1:20">
      <c r="J42" s="2">
        <v>1</v>
      </c>
      <c r="K42" s="2">
        <v>0</v>
      </c>
      <c r="M42" s="12">
        <v>0</v>
      </c>
      <c r="N42" s="2">
        <v>0</v>
      </c>
      <c r="P42" s="63">
        <v>158</v>
      </c>
      <c r="Q42" s="2">
        <v>36</v>
      </c>
      <c r="R42" t="s">
        <v>86</v>
      </c>
      <c r="S42" s="63">
        <v>2</v>
      </c>
      <c r="T42" s="63">
        <v>5</v>
      </c>
    </row>
    <row r="43" spans="1:20">
      <c r="J43" s="13">
        <v>2</v>
      </c>
      <c r="K43" s="13">
        <v>1</v>
      </c>
      <c r="L43" s="13">
        <v>2</v>
      </c>
      <c r="M43" s="13">
        <v>1</v>
      </c>
      <c r="N43" s="13">
        <v>1</v>
      </c>
      <c r="P43" s="63">
        <v>106</v>
      </c>
      <c r="Q43" s="2">
        <v>2</v>
      </c>
      <c r="R43" t="s">
        <v>86</v>
      </c>
      <c r="S43" s="63">
        <v>4</v>
      </c>
      <c r="T43" s="63">
        <v>3</v>
      </c>
    </row>
    <row r="44" spans="1:20">
      <c r="M44" s="2">
        <v>3</v>
      </c>
      <c r="N44" s="12">
        <v>2</v>
      </c>
      <c r="P44" s="63">
        <v>132</v>
      </c>
      <c r="Q44" s="2">
        <v>15</v>
      </c>
      <c r="R44" t="s">
        <v>86</v>
      </c>
      <c r="S44" s="63">
        <v>2</v>
      </c>
      <c r="T44" s="63">
        <v>5</v>
      </c>
    </row>
    <row r="45" spans="1:20">
      <c r="P45" s="63">
        <v>143</v>
      </c>
      <c r="S45" s="63">
        <v>7</v>
      </c>
      <c r="T45" s="63">
        <v>1</v>
      </c>
    </row>
    <row r="46" spans="1:20">
      <c r="P46" s="63">
        <v>175</v>
      </c>
      <c r="Q46" s="2">
        <v>2</v>
      </c>
      <c r="R46" t="s">
        <v>86</v>
      </c>
      <c r="S46" s="63">
        <v>3</v>
      </c>
      <c r="T46" s="63">
        <v>4</v>
      </c>
    </row>
    <row r="47" spans="1:20">
      <c r="P47" s="63">
        <v>188</v>
      </c>
      <c r="Q47" s="2" t="s">
        <v>97</v>
      </c>
      <c r="R47" t="s">
        <v>86</v>
      </c>
      <c r="S47" s="63">
        <v>2</v>
      </c>
      <c r="T47" s="63">
        <v>5</v>
      </c>
    </row>
    <row r="48" spans="1:20">
      <c r="P48" s="63">
        <v>234</v>
      </c>
      <c r="R48" t="s">
        <v>98</v>
      </c>
      <c r="S48" s="63">
        <v>4</v>
      </c>
      <c r="T48" s="63">
        <v>3</v>
      </c>
    </row>
    <row r="49" spans="16:20">
      <c r="P49" s="63">
        <v>213</v>
      </c>
      <c r="Q49" s="2">
        <v>42</v>
      </c>
      <c r="R49" t="s">
        <v>86</v>
      </c>
      <c r="S49" s="63">
        <v>3</v>
      </c>
      <c r="T49" s="63">
        <v>4</v>
      </c>
    </row>
    <row r="50" spans="16:20">
      <c r="P50" s="63">
        <v>217</v>
      </c>
      <c r="Q50" s="2">
        <v>5</v>
      </c>
      <c r="R50" t="s">
        <v>86</v>
      </c>
      <c r="S50" s="63">
        <v>3</v>
      </c>
      <c r="T50" s="63">
        <v>4</v>
      </c>
    </row>
    <row r="51" spans="16:20">
      <c r="P51" s="63">
        <v>179</v>
      </c>
      <c r="R51" t="s">
        <v>89</v>
      </c>
      <c r="S51" s="63">
        <v>3</v>
      </c>
      <c r="T51" s="63">
        <v>4</v>
      </c>
    </row>
    <row r="52" spans="16:20">
      <c r="P52" s="63">
        <v>182</v>
      </c>
      <c r="Q52" s="2">
        <v>35</v>
      </c>
      <c r="S52" s="63">
        <v>6</v>
      </c>
      <c r="T52" s="63">
        <v>1</v>
      </c>
    </row>
    <row r="53" spans="16:20">
      <c r="P53" s="63">
        <v>197</v>
      </c>
      <c r="Q53" s="2">
        <v>31</v>
      </c>
      <c r="R53" t="s">
        <v>86</v>
      </c>
      <c r="S53" s="63">
        <v>3</v>
      </c>
      <c r="T53" s="63">
        <v>4</v>
      </c>
    </row>
    <row r="54" spans="16:20">
      <c r="P54" s="63">
        <v>255</v>
      </c>
      <c r="Q54" s="2">
        <v>28</v>
      </c>
      <c r="S54" s="63">
        <v>5</v>
      </c>
      <c r="T54" s="63">
        <v>2</v>
      </c>
    </row>
    <row r="55" spans="16:20">
      <c r="P55" s="63">
        <v>172</v>
      </c>
      <c r="Q55" s="2" t="s">
        <v>99</v>
      </c>
      <c r="R55" t="s">
        <v>86</v>
      </c>
      <c r="S55" s="63">
        <v>4</v>
      </c>
      <c r="T55" s="63">
        <v>3</v>
      </c>
    </row>
    <row r="56" spans="16:20">
      <c r="P56" s="63">
        <v>167</v>
      </c>
      <c r="Q56" s="2">
        <v>45</v>
      </c>
      <c r="R56" t="s">
        <v>89</v>
      </c>
      <c r="S56" s="63">
        <v>5</v>
      </c>
      <c r="T56" s="63">
        <v>2</v>
      </c>
    </row>
    <row r="57" spans="16:20">
      <c r="P57" s="63">
        <v>169</v>
      </c>
      <c r="R57" t="s">
        <v>86</v>
      </c>
      <c r="S57" s="63">
        <v>3</v>
      </c>
      <c r="T57" s="63">
        <v>4</v>
      </c>
    </row>
    <row r="58" spans="16:20">
      <c r="P58" s="63">
        <v>141</v>
      </c>
      <c r="Q58" s="2" t="s">
        <v>100</v>
      </c>
      <c r="R58" t="s">
        <v>89</v>
      </c>
      <c r="S58" s="63">
        <v>3</v>
      </c>
      <c r="T58" s="63">
        <v>4</v>
      </c>
    </row>
    <row r="59" spans="16:20">
      <c r="P59" s="63">
        <v>146</v>
      </c>
      <c r="Q59" s="2" t="s">
        <v>101</v>
      </c>
      <c r="S59" s="63">
        <v>4</v>
      </c>
      <c r="T59" s="63">
        <v>3</v>
      </c>
    </row>
    <row r="60" spans="16:20">
      <c r="P60" s="63">
        <v>167</v>
      </c>
      <c r="R60" t="s">
        <v>86</v>
      </c>
      <c r="S60" s="63">
        <v>5</v>
      </c>
      <c r="T60" s="63">
        <v>2</v>
      </c>
    </row>
    <row r="61" spans="16:20">
      <c r="P61" s="63">
        <v>124</v>
      </c>
      <c r="Q61" s="2">
        <v>6</v>
      </c>
      <c r="R61" t="s">
        <v>86</v>
      </c>
      <c r="S61" s="63">
        <v>2</v>
      </c>
      <c r="T61" s="63">
        <v>5</v>
      </c>
    </row>
    <row r="62" spans="16:20">
      <c r="P62" s="63">
        <v>134</v>
      </c>
      <c r="Q62" s="2">
        <v>18</v>
      </c>
      <c r="R62" t="s">
        <v>86</v>
      </c>
      <c r="S62" s="63">
        <v>2</v>
      </c>
      <c r="T62" s="63">
        <v>5</v>
      </c>
    </row>
    <row r="63" spans="16:20">
      <c r="P63" s="63">
        <v>144</v>
      </c>
      <c r="R63" t="s">
        <v>86</v>
      </c>
      <c r="S63" s="63">
        <v>4</v>
      </c>
      <c r="T63" s="63">
        <v>3</v>
      </c>
    </row>
    <row r="64" spans="16:20">
      <c r="P64" s="63">
        <v>189</v>
      </c>
      <c r="Q64" s="2" t="s">
        <v>102</v>
      </c>
      <c r="R64" t="s">
        <v>86</v>
      </c>
      <c r="S64" s="63">
        <v>3</v>
      </c>
      <c r="T64" s="63">
        <v>4</v>
      </c>
    </row>
    <row r="65" spans="16:20">
      <c r="P65" s="63">
        <v>178</v>
      </c>
      <c r="R65" t="s">
        <v>98</v>
      </c>
      <c r="S65" s="63">
        <v>4</v>
      </c>
      <c r="T65" s="63">
        <v>3</v>
      </c>
    </row>
    <row r="66" spans="16:20">
      <c r="P66" s="63">
        <v>176</v>
      </c>
      <c r="R66" t="s">
        <v>86</v>
      </c>
      <c r="S66" s="63">
        <v>2</v>
      </c>
      <c r="T66" s="63">
        <v>5</v>
      </c>
    </row>
    <row r="67" spans="16:20">
      <c r="P67" s="63">
        <v>175</v>
      </c>
      <c r="Q67" s="2">
        <v>20</v>
      </c>
      <c r="R67" t="s">
        <v>86</v>
      </c>
      <c r="S67" s="63">
        <v>5</v>
      </c>
      <c r="T67" s="63">
        <v>2</v>
      </c>
    </row>
    <row r="68" spans="16:20">
      <c r="P68" s="63">
        <v>145</v>
      </c>
      <c r="Q68" s="2">
        <v>42</v>
      </c>
      <c r="R68" t="s">
        <v>86</v>
      </c>
      <c r="S68" s="63">
        <v>1</v>
      </c>
      <c r="T68" s="63">
        <v>6</v>
      </c>
    </row>
    <row r="69" spans="16:20">
      <c r="P69" s="63">
        <v>115</v>
      </c>
      <c r="Q69" s="2" t="s">
        <v>103</v>
      </c>
      <c r="R69" t="s">
        <v>89</v>
      </c>
      <c r="S69" s="63">
        <v>3</v>
      </c>
      <c r="T69" s="63">
        <v>4</v>
      </c>
    </row>
    <row r="70" spans="16:20">
      <c r="P70" s="63">
        <v>182</v>
      </c>
      <c r="Q70" s="2" t="s">
        <v>104</v>
      </c>
      <c r="R70" t="s">
        <v>86</v>
      </c>
      <c r="S70" s="63">
        <v>4</v>
      </c>
      <c r="T70" s="63">
        <v>3</v>
      </c>
    </row>
    <row r="71" spans="16:20">
      <c r="P71" s="63">
        <v>201</v>
      </c>
      <c r="R71" t="s">
        <v>86</v>
      </c>
      <c r="S71" s="63">
        <v>3</v>
      </c>
      <c r="T71" s="63">
        <v>4</v>
      </c>
    </row>
    <row r="72" spans="16:20">
      <c r="P72" s="63">
        <v>125</v>
      </c>
      <c r="Q72" s="2">
        <v>9</v>
      </c>
      <c r="R72" t="s">
        <v>86</v>
      </c>
      <c r="S72" s="63">
        <v>5</v>
      </c>
      <c r="T72" s="63">
        <v>2</v>
      </c>
    </row>
    <row r="73" spans="16:20">
      <c r="P73" s="63">
        <v>93</v>
      </c>
      <c r="Q73" s="2" t="s">
        <v>105</v>
      </c>
      <c r="R73" t="s">
        <v>89</v>
      </c>
      <c r="S73" s="63">
        <v>5</v>
      </c>
      <c r="T73" s="63">
        <v>2</v>
      </c>
    </row>
    <row r="74" spans="16:20">
      <c r="P74" s="63">
        <v>156</v>
      </c>
      <c r="Q74" s="2" t="s">
        <v>106</v>
      </c>
      <c r="R74" t="s">
        <v>86</v>
      </c>
      <c r="S74" s="63">
        <v>4</v>
      </c>
      <c r="T74" s="63">
        <v>3</v>
      </c>
    </row>
    <row r="75" spans="16:20">
      <c r="P75" s="63">
        <v>195</v>
      </c>
      <c r="R75" t="s">
        <v>89</v>
      </c>
      <c r="S75" s="63">
        <v>5</v>
      </c>
      <c r="T75" s="63">
        <v>2</v>
      </c>
    </row>
    <row r="76" spans="16:20">
      <c r="P76" s="63">
        <v>121</v>
      </c>
      <c r="Q76" s="2">
        <v>16</v>
      </c>
      <c r="R76" t="s">
        <v>98</v>
      </c>
      <c r="S76" s="63">
        <v>3</v>
      </c>
      <c r="T76" s="63">
        <v>4</v>
      </c>
    </row>
    <row r="77" spans="16:20">
      <c r="P77" s="63">
        <v>152</v>
      </c>
      <c r="S77" s="63">
        <v>4</v>
      </c>
      <c r="T77" s="63">
        <v>3</v>
      </c>
    </row>
    <row r="78" spans="16:20">
      <c r="P78" s="63">
        <v>209</v>
      </c>
      <c r="R78" t="s">
        <v>89</v>
      </c>
      <c r="S78" s="63">
        <v>3</v>
      </c>
      <c r="T78" s="63">
        <v>4</v>
      </c>
    </row>
    <row r="79" spans="16:20">
      <c r="P79" s="63">
        <v>172</v>
      </c>
      <c r="Q79" s="2">
        <v>6</v>
      </c>
      <c r="R79" t="s">
        <v>86</v>
      </c>
      <c r="S79" s="63">
        <v>2</v>
      </c>
      <c r="T79" s="63">
        <v>5</v>
      </c>
    </row>
    <row r="80" spans="16:20">
      <c r="P80" s="63">
        <v>108</v>
      </c>
      <c r="R80" t="s">
        <v>89</v>
      </c>
      <c r="S80" s="63">
        <v>4</v>
      </c>
      <c r="T80" s="63">
        <v>3</v>
      </c>
    </row>
    <row r="81" spans="16:20">
      <c r="P81" s="63">
        <v>159</v>
      </c>
      <c r="R81" t="s">
        <v>86</v>
      </c>
      <c r="S81" s="63">
        <v>5</v>
      </c>
      <c r="T81" s="63">
        <v>2</v>
      </c>
    </row>
    <row r="82" spans="16:20">
      <c r="P82" s="63">
        <v>196</v>
      </c>
      <c r="Q82" s="2">
        <v>29</v>
      </c>
      <c r="R82" t="s">
        <v>89</v>
      </c>
      <c r="S82" s="63">
        <v>4</v>
      </c>
      <c r="T82" s="63">
        <v>3</v>
      </c>
    </row>
    <row r="83" spans="16:20">
      <c r="P83" s="63">
        <v>198</v>
      </c>
      <c r="Q83" s="2">
        <v>26</v>
      </c>
      <c r="R83" t="s">
        <v>86</v>
      </c>
      <c r="S83" s="63">
        <v>2</v>
      </c>
      <c r="T83" s="63">
        <v>5</v>
      </c>
    </row>
    <row r="84" spans="16:20">
      <c r="P84" s="63">
        <v>119</v>
      </c>
      <c r="R84" t="s">
        <v>86</v>
      </c>
      <c r="S84" s="63">
        <v>3</v>
      </c>
      <c r="T84" s="63">
        <v>4</v>
      </c>
    </row>
    <row r="85" spans="16:20">
      <c r="P85" s="63">
        <v>226</v>
      </c>
      <c r="Q85" s="2" t="s">
        <v>107</v>
      </c>
      <c r="R85" t="s">
        <v>86</v>
      </c>
      <c r="S85" s="63">
        <v>4</v>
      </c>
      <c r="T85" s="63">
        <v>3</v>
      </c>
    </row>
    <row r="86" spans="16:20">
      <c r="P86" s="63">
        <v>183</v>
      </c>
      <c r="Q86" s="2" t="s">
        <v>108</v>
      </c>
      <c r="R86" t="s">
        <v>89</v>
      </c>
      <c r="S86" s="63">
        <v>3</v>
      </c>
      <c r="T86" s="63">
        <v>4</v>
      </c>
    </row>
    <row r="87" spans="16:20">
      <c r="P87" s="63">
        <v>168</v>
      </c>
      <c r="Q87" s="2">
        <v>43</v>
      </c>
      <c r="S87" s="63">
        <v>6</v>
      </c>
      <c r="T87" s="63">
        <v>1</v>
      </c>
    </row>
    <row r="88" spans="16:20">
      <c r="P88" s="63">
        <v>194</v>
      </c>
      <c r="Q88" s="2">
        <v>31</v>
      </c>
      <c r="R88" t="s">
        <v>86</v>
      </c>
      <c r="S88" s="63">
        <v>4</v>
      </c>
      <c r="T88" s="63">
        <v>3</v>
      </c>
    </row>
    <row r="89" spans="16:20">
      <c r="P89" s="63">
        <v>181</v>
      </c>
      <c r="Q89" s="2">
        <v>40</v>
      </c>
      <c r="R89" t="s">
        <v>86</v>
      </c>
      <c r="S89" s="63">
        <v>5</v>
      </c>
      <c r="T89" s="63">
        <v>2</v>
      </c>
    </row>
    <row r="90" spans="16:20">
      <c r="P90" s="63">
        <v>141</v>
      </c>
      <c r="S90" s="63">
        <v>1</v>
      </c>
      <c r="T90" s="63">
        <v>6</v>
      </c>
    </row>
    <row r="91" spans="16:20">
      <c r="P91" s="63">
        <v>132</v>
      </c>
      <c r="Q91" s="2">
        <v>19</v>
      </c>
      <c r="R91" t="s">
        <v>89</v>
      </c>
      <c r="S91" s="63">
        <v>4</v>
      </c>
      <c r="T91" s="63">
        <v>3</v>
      </c>
    </row>
    <row r="92" spans="16:20">
      <c r="P92" s="63">
        <v>211</v>
      </c>
      <c r="Q92" s="2" t="s">
        <v>109</v>
      </c>
      <c r="S92" s="63">
        <v>7</v>
      </c>
      <c r="T92" s="63">
        <v>1</v>
      </c>
    </row>
    <row r="93" spans="16:20">
      <c r="P93" s="63">
        <v>225</v>
      </c>
      <c r="Q93" s="2">
        <v>17</v>
      </c>
      <c r="R93" t="s">
        <v>89</v>
      </c>
      <c r="S93" s="63">
        <v>3</v>
      </c>
      <c r="T93" s="63">
        <v>4</v>
      </c>
    </row>
    <row r="94" spans="16:20">
      <c r="P94" s="63">
        <v>152</v>
      </c>
      <c r="Q94" s="2">
        <v>32</v>
      </c>
      <c r="S94" s="63">
        <v>2</v>
      </c>
      <c r="T94" s="63">
        <v>5</v>
      </c>
    </row>
    <row r="95" spans="16:20">
      <c r="P95" s="63">
        <v>143</v>
      </c>
      <c r="Q95" s="2">
        <v>32</v>
      </c>
      <c r="S95" s="63">
        <v>3</v>
      </c>
      <c r="T95" s="63">
        <v>4</v>
      </c>
    </row>
    <row r="96" spans="16:20">
      <c r="P96" s="63">
        <v>170</v>
      </c>
      <c r="Q96" s="2" t="s">
        <v>110</v>
      </c>
      <c r="R96" t="s">
        <v>86</v>
      </c>
      <c r="S96" s="63">
        <v>2</v>
      </c>
      <c r="T96" s="63">
        <v>5</v>
      </c>
    </row>
    <row r="97" spans="16:20">
      <c r="P97" s="63">
        <v>145</v>
      </c>
      <c r="Q97" s="2">
        <v>43</v>
      </c>
      <c r="R97" t="s">
        <v>86</v>
      </c>
      <c r="S97" s="63">
        <v>5</v>
      </c>
      <c r="T97" s="63">
        <v>2</v>
      </c>
    </row>
    <row r="98" spans="16:20">
      <c r="P98" s="63">
        <v>149</v>
      </c>
      <c r="Q98" s="2">
        <v>41</v>
      </c>
      <c r="R98" t="s">
        <v>86</v>
      </c>
      <c r="S98" s="63">
        <v>5</v>
      </c>
      <c r="T98" s="63">
        <v>2</v>
      </c>
    </row>
    <row r="99" spans="16:20">
      <c r="P99" s="63">
        <v>182</v>
      </c>
      <c r="S99" s="63">
        <v>4</v>
      </c>
      <c r="T99" s="63">
        <v>3</v>
      </c>
    </row>
    <row r="100" spans="16:20">
      <c r="P100" s="63">
        <v>135</v>
      </c>
      <c r="R100" t="s">
        <v>86</v>
      </c>
      <c r="S100" s="63">
        <v>5</v>
      </c>
      <c r="T100" s="63">
        <v>2</v>
      </c>
    </row>
    <row r="101" spans="16:20">
      <c r="P101" s="63">
        <v>137</v>
      </c>
      <c r="Q101" s="2" t="s">
        <v>111</v>
      </c>
      <c r="R101" t="s">
        <v>86</v>
      </c>
      <c r="S101" s="63">
        <v>5</v>
      </c>
      <c r="T101" s="63">
        <v>2</v>
      </c>
    </row>
    <row r="102" spans="16:20">
      <c r="P102" s="63">
        <v>118</v>
      </c>
      <c r="S102" s="63">
        <v>4</v>
      </c>
      <c r="T102" s="63">
        <v>3</v>
      </c>
    </row>
    <row r="103" spans="16:20">
      <c r="P103" s="63">
        <v>181</v>
      </c>
      <c r="R103" t="s">
        <v>86</v>
      </c>
      <c r="S103" s="63">
        <v>3</v>
      </c>
      <c r="T103" s="63">
        <v>4</v>
      </c>
    </row>
    <row r="104" spans="16:20">
      <c r="P104" s="63">
        <v>133</v>
      </c>
      <c r="Q104" s="2">
        <v>21</v>
      </c>
      <c r="R104" t="s">
        <v>86</v>
      </c>
      <c r="S104" s="63">
        <v>3</v>
      </c>
      <c r="T104" s="63">
        <v>4</v>
      </c>
    </row>
  </sheetData>
  <hyperlinks>
    <hyperlink ref="A5" r:id="rId1" display="http://sg.myfreepost.com/sgTOTO_get.php?drawdate=02-Apr-2015(Thu)"/>
    <hyperlink ref="A6" r:id="rId2" display="http://sg.myfreepost.com/sgTOTO_get.php?drawdate=30-Mar-2015(Mon)"/>
    <hyperlink ref="A7" r:id="rId3" display="http://sg.myfreepost.com/sgTOTO_get.php?drawdate=26-Mar-2015(Thu)"/>
    <hyperlink ref="A8" r:id="rId4" display="http://sg.myfreepost.com/sgTOTO_get.php?drawdate=23-Mar-2015(Mon)"/>
    <hyperlink ref="A9" r:id="rId5" display="http://sg.myfreepost.com/sgTOTO_get.php?drawdate=19-Mar-2015(Thu)"/>
    <hyperlink ref="A10" r:id="rId6" display="http://sg.myfreepost.com/sgTOTO_get.php?drawdate=16-Mar-2015(Mon)"/>
    <hyperlink ref="A11" r:id="rId7" display="http://sg.myfreepost.com/sgTOTO_get.php?drawdate=12-Mar-2015(Thu)"/>
    <hyperlink ref="A12" r:id="rId8" display="http://sg.myfreepost.com/sgTOTO_get.php?drawdate=09-Mar-2015(Mon)"/>
    <hyperlink ref="A13" r:id="rId9" display="http://sg.myfreepost.com/sgTOTO_get.php?drawdate=05-Mar-2015(Thu)"/>
    <hyperlink ref="A14" r:id="rId10" display="http://sg.myfreepost.com/sgTOTO_get.php?drawdate=02-Mar-2015(Mon)"/>
    <hyperlink ref="A15" r:id="rId11" display="http://sg.myfreepost.com/sgTOTO_get.php?drawdate=27-Feb-2015(Fri)"/>
    <hyperlink ref="A16" r:id="rId12" display="http://sg.myfreepost.com/sgTOTO_get.php?drawdate=23-Feb-2015(Mon)"/>
    <hyperlink ref="A17" r:id="rId13" display="http://sg.myfreepost.com/sgTOTO_get.php?drawdate=19-Feb-2015(Thu)"/>
    <hyperlink ref="A18" r:id="rId14" display="http://sg.myfreepost.com/sgTOTO_get.php?drawdate=16-Feb-2015(Mon)"/>
    <hyperlink ref="A19" r:id="rId15" display="http://sg.myfreepost.com/sgTOTO_get.php?drawdate=12-Feb-2015(Thu)"/>
    <hyperlink ref="A20" r:id="rId16" display="http://sg.myfreepost.com/sgTOTO_get.php?drawdate=09-Feb-2015(Mon)"/>
    <hyperlink ref="A21" r:id="rId17" display="http://sg.myfreepost.com/sgTOTO_get.php?drawdate=05-Feb-2015(Thu)"/>
    <hyperlink ref="A22" r:id="rId18" display="http://sg.myfreepost.com/sgTOTO_get.php?drawdate=02-Feb-2015(Mon)"/>
    <hyperlink ref="A23" r:id="rId19" display="http://sg.myfreepost.com/sgTOTO_get.php?drawdate=29-Jan-2015(Thu)"/>
    <hyperlink ref="A24" r:id="rId20" display="http://sg.myfreepost.com/sgTOTO_get.php?drawdate=26-Jan-2015(Mon)"/>
    <hyperlink ref="A25" r:id="rId21" display="http://sg.myfreepost.com/sgTOTO_get.php?drawdate=22-Jan-2015(Thu)"/>
    <hyperlink ref="A26" r:id="rId22" display="http://sg.myfreepost.com/sgTOTO_get.php?drawdate=19-Jan-2015(Mon)"/>
    <hyperlink ref="A27" r:id="rId23" display="http://sg.myfreepost.com/sgTOTO_get.php?drawdate=15-Jan-2015(Thu)"/>
    <hyperlink ref="A28" r:id="rId24" display="http://sg.myfreepost.com/sgTOTO_get.php?drawdate=12-Jan-2015(Mon)"/>
    <hyperlink ref="A29" r:id="rId25" display="http://sg.myfreepost.com/sgTOTO_get.php?drawdate=08-Jan-2015(Thu)"/>
    <hyperlink ref="A30" r:id="rId26" display="http://sg.myfreepost.com/sgTOTO_get.php?drawdate=05-Jan-2015(Mon)"/>
    <hyperlink ref="A31" r:id="rId27" display="http://sg.myfreepost.com/sgTOTO_get.php?drawdate=01-Jan-2015(Thu)"/>
    <hyperlink ref="A32" r:id="rId28" display="http://sg.myfreepost.com/sgTOTO_get.php?drawdate=29-Dec-2014(Mon)"/>
    <hyperlink ref="A33" r:id="rId29" display="http://sg.myfreepost.com/sgTOTO_get.php?drawdate=25-Dec-2014(Thu)"/>
    <hyperlink ref="A34" r:id="rId30" display="http://sg.myfreepost.com/sgTOTO_get.php?drawdate=22-Dec-2014(Mon)"/>
    <hyperlink ref="A3" r:id="rId31" display="http://sg.myfreepost.com/sgTOTO_get.php?drawdate=09-Apr-2015(Thu)"/>
    <hyperlink ref="A4" r:id="rId32" display="http://sg.myfreepost.com/sgTOTO_get.php?drawdate=06-Apr-2015(Mon)"/>
    <hyperlink ref="A2" r:id="rId33" display="http://sg.myfreepost.com/sgTOTO_get.php?drawdate=13-Apr-2015(Mon)"/>
  </hyperlinks>
  <pageMargins left="0.7" right="0.7" top="0.75" bottom="0.75" header="0.3" footer="0.3"/>
  <drawing r:id="rId3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Main</vt:lpstr>
      <vt:lpstr>Data</vt:lpstr>
      <vt:lpstr>Past Model</vt:lpstr>
      <vt:lpstr>Data!Print_Area</vt:lpstr>
    </vt:vector>
  </TitlesOfParts>
  <Company>Lenovo (Beijing) Limited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Lenovo User</cp:lastModifiedBy>
  <cp:lastPrinted>2015-04-05T03:02:09Z</cp:lastPrinted>
  <dcterms:created xsi:type="dcterms:W3CDTF">2015-04-04T02:51:06Z</dcterms:created>
  <dcterms:modified xsi:type="dcterms:W3CDTF">2015-04-13T11:26:19Z</dcterms:modified>
</cp:coreProperties>
</file>