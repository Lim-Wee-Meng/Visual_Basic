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67006b469a4455b3/Documents/"/>
    </mc:Choice>
  </mc:AlternateContent>
  <bookViews>
    <workbookView xWindow="0" yWindow="0" windowWidth="20490" windowHeight="8910"/>
  </bookViews>
  <sheets>
    <sheet name="Main" sheetId="2" r:id="rId1"/>
    <sheet name="Game Rules" sheetId="3" r:id="rId2"/>
    <sheet name="Card_DataBase" sheetId="1" r:id="rId3"/>
  </sheets>
  <definedNames>
    <definedName name="D1HPic">INDEX(Card_DataBase!$H$1:$H$371,MATCH(Main!$M$28,Card_DataBase!$F$1:$F$371,0))</definedName>
    <definedName name="D1Pic">INDEX(Card_DataBase!$H$1:$H$371,MATCH(Main!$M$30,Card_DataBase!$F$1:$F$371,0))</definedName>
    <definedName name="D2HPic">INDEX(Card_DataBase!$H$1:$H$371,MATCH(Main!$O$28,Card_DataBase!$F$1:$F$371,0))</definedName>
    <definedName name="D2Pic">INDEX(Card_DataBase!$H$1:$H$371,MATCH(Main!$O$30,Card_DataBase!$F$1:$F$371,0))</definedName>
    <definedName name="D3Pic">INDEX(Card_DataBase!$H$1:$H$371,MATCH(Main!$Q$30,Card_DataBase!$F$1:$F$371,0))</definedName>
    <definedName name="P1Pic">INDEX(Card_DataBase!$H$1:$H$371,MATCH(Main!$D$30,Card_DataBase!$F$1:$F$371,0))</definedName>
    <definedName name="P2Pic">INDEX(Card_DataBase!$H$1:$H$371,MATCH(Main!$F$30,Card_DataBase!$F$1:$F$371,0))</definedName>
    <definedName name="P3Pic">INDEX(Card_DataBase!$H$1:$H$371,MATCH(Main!$H$30,Card_DataBase!$F$1:$F$371,0))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9" i="2" l="1"/>
  <c r="H70" i="2"/>
  <c r="I70" i="2" s="1"/>
  <c r="H69" i="2"/>
  <c r="H68" i="2"/>
  <c r="M28" i="2"/>
  <c r="O28" i="2"/>
  <c r="Q40" i="2"/>
  <c r="O40" i="2"/>
  <c r="M40" i="2"/>
  <c r="H40" i="2"/>
  <c r="F40" i="2"/>
  <c r="D40" i="2"/>
  <c r="Q39" i="2"/>
  <c r="O39" i="2"/>
  <c r="M39" i="2"/>
  <c r="H39" i="2"/>
  <c r="F39" i="2"/>
  <c r="D39" i="2"/>
  <c r="O42" i="2" l="1"/>
  <c r="Q42" i="2"/>
  <c r="M42" i="2"/>
  <c r="O48" i="2"/>
  <c r="O41" i="2"/>
  <c r="M48" i="2"/>
  <c r="Q48" i="2"/>
  <c r="M41" i="2"/>
  <c r="Q41" i="2"/>
  <c r="Q43" i="2" s="1"/>
  <c r="D48" i="2"/>
  <c r="H48" i="2"/>
  <c r="F48" i="2"/>
  <c r="H41" i="2"/>
  <c r="F41" i="2"/>
  <c r="D41" i="2"/>
  <c r="F63" i="2" l="1"/>
  <c r="M65" i="2"/>
  <c r="M66" i="2" s="1"/>
  <c r="H63" i="2"/>
  <c r="D65" i="2"/>
  <c r="D66" i="2" s="1"/>
  <c r="C42" i="2"/>
  <c r="L61" i="2"/>
  <c r="K60" i="2" s="1"/>
  <c r="K58" i="2"/>
  <c r="C61" i="2"/>
  <c r="B60" i="2" s="1"/>
  <c r="B54" i="2"/>
  <c r="K51" i="2"/>
  <c r="K56" i="2" s="1"/>
  <c r="K54" i="2"/>
  <c r="K52" i="2"/>
  <c r="B51" i="2"/>
  <c r="L55" i="2"/>
  <c r="K55" i="2" s="1"/>
  <c r="K61" i="2" s="1"/>
  <c r="B57" i="2"/>
  <c r="D63" i="2"/>
  <c r="C55" i="2"/>
  <c r="B55" i="2" s="1"/>
  <c r="B61" i="2" s="1"/>
  <c r="K57" i="2"/>
  <c r="Q45" i="2"/>
  <c r="Q44" i="2"/>
  <c r="O44" i="2"/>
  <c r="O43" i="2"/>
  <c r="O45" i="2"/>
  <c r="M43" i="2"/>
  <c r="L43" i="2" s="1"/>
  <c r="M49" i="2" s="1"/>
  <c r="M45" i="2"/>
  <c r="M44" i="2"/>
  <c r="F44" i="2"/>
  <c r="F45" i="2"/>
  <c r="F43" i="2"/>
  <c r="D45" i="2"/>
  <c r="D44" i="2"/>
  <c r="D43" i="2"/>
  <c r="H45" i="2"/>
  <c r="H43" i="2"/>
  <c r="H44" i="2"/>
  <c r="B63" i="2" l="1"/>
  <c r="K62" i="2"/>
  <c r="B52" i="2"/>
  <c r="B56" i="2"/>
  <c r="L45" i="2"/>
  <c r="Q49" i="2" s="1"/>
  <c r="L44" i="2"/>
  <c r="O49" i="2" s="1"/>
  <c r="C45" i="2"/>
  <c r="H49" i="2" s="1"/>
  <c r="C43" i="2"/>
  <c r="D49" i="2" s="1"/>
  <c r="C44" i="2"/>
  <c r="F49" i="2" s="1"/>
  <c r="C59" i="2" l="1"/>
  <c r="B59" i="2" s="1"/>
  <c r="B53" i="2" s="1"/>
  <c r="L59" i="2"/>
  <c r="K59" i="2" s="1"/>
  <c r="K53" i="2" l="1"/>
  <c r="K65" i="2" s="1"/>
  <c r="L67" i="2" s="1"/>
  <c r="M67" i="2" s="1"/>
  <c r="M2" i="2" s="1"/>
  <c r="B58" i="2"/>
  <c r="B42" i="2" s="1"/>
  <c r="B62" i="2" l="1"/>
  <c r="B65" i="2" s="1"/>
  <c r="C67" i="2" l="1"/>
  <c r="D67" i="2" s="1"/>
  <c r="D2" i="2" s="1"/>
  <c r="J66" i="2"/>
  <c r="J2" i="2" s="1"/>
  <c r="I68" i="2"/>
  <c r="J68" i="2" s="1"/>
  <c r="J70" i="2" l="1"/>
  <c r="J69" i="2"/>
</calcChain>
</file>

<file path=xl/sharedStrings.xml><?xml version="1.0" encoding="utf-8"?>
<sst xmlns="http://schemas.openxmlformats.org/spreadsheetml/2006/main" count="240" uniqueCount="123">
  <si>
    <t>A</t>
  </si>
  <si>
    <t>K</t>
  </si>
  <si>
    <t>Q</t>
  </si>
  <si>
    <t>J</t>
  </si>
  <si>
    <t>T</t>
  </si>
  <si>
    <t>P</t>
  </si>
  <si>
    <t>S</t>
  </si>
  <si>
    <t>D</t>
  </si>
  <si>
    <t>H</t>
  </si>
  <si>
    <t>C</t>
  </si>
  <si>
    <t>?</t>
  </si>
  <si>
    <t>3A</t>
  </si>
  <si>
    <t>Player</t>
  </si>
  <si>
    <t>Hand Ranks of Three Card Poker</t>
  </si>
  <si>
    <t>Rank</t>
  </si>
  <si>
    <t>Description</t>
  </si>
  <si>
    <t>Frequency</t>
  </si>
  <si>
    <t>Probability</t>
  </si>
  <si>
    <t>Straight flush</t>
  </si>
  <si>
    <t>Three suited cards in sequence</t>
  </si>
  <si>
    <t>Three of a kind</t>
  </si>
  <si>
    <t>Three cards of same rank</t>
  </si>
  <si>
    <t>Straight</t>
  </si>
  <si>
    <t>Three cards in sequence</t>
  </si>
  <si>
    <t>Flush</t>
  </si>
  <si>
    <t>Three suited cards</t>
  </si>
  <si>
    <t>Pair</t>
  </si>
  <si>
    <t>Two cards of same rank</t>
  </si>
  <si>
    <t>High card</t>
  </si>
  <si>
    <t>None of the above</t>
  </si>
  <si>
    <t>Total hands</t>
  </si>
  <si>
    <t>-</t>
  </si>
  <si>
    <t>The modern casino game of Three Card Poker is played with a 52-card pack at a special table on which the cards are dealt and bets placed. There are two bet types available.</t>
  </si>
  <si>
    <t>The ranking of hands for Three Card Poker from lowest to highest is:</t>
  </si>
  <si>
    <t>Note that there is no ranking among suits. Hands that have the same combination and equally high cards, differing only in suit, are tied.</t>
  </si>
  <si>
    <r>
      <rPr>
        <b/>
        <sz val="11"/>
        <color theme="1"/>
        <rFont val="Calibri"/>
        <family val="2"/>
        <scheme val="minor"/>
      </rPr>
      <t xml:space="preserve">Ante and Play </t>
    </r>
    <r>
      <rPr>
        <sz val="11"/>
        <color theme="1"/>
        <rFont val="Calibri"/>
        <family val="2"/>
        <scheme val="minor"/>
      </rPr>
      <t>- a bet that the player's hand will beat the dealer's</t>
    </r>
  </si>
  <si>
    <r>
      <rPr>
        <b/>
        <sz val="11"/>
        <color theme="1"/>
        <rFont val="Calibri"/>
        <family val="2"/>
        <scheme val="minor"/>
      </rPr>
      <t>Pair Plus®</t>
    </r>
    <r>
      <rPr>
        <sz val="11"/>
        <color theme="1"/>
        <rFont val="Calibri"/>
        <family val="2"/>
        <scheme val="minor"/>
      </rPr>
      <t> - a bet on the quality of the player's hand, paid independently of what the dealer is dealt.</t>
    </r>
  </si>
  <si>
    <r>
      <rPr>
        <b/>
        <sz val="11"/>
        <color theme="1"/>
        <rFont val="Calibri"/>
        <family val="2"/>
        <scheme val="minor"/>
      </rPr>
      <t>High Card</t>
    </r>
    <r>
      <rPr>
        <sz val="11"/>
        <color theme="1"/>
        <rFont val="Calibri"/>
        <family val="2"/>
        <scheme val="minor"/>
      </rPr>
      <t> - three cards of different ranks, not consecutive and not all the same suit, such as spadeQ-clubJ-spade9. When comparing two such hands, the highest cards are compared first; if they are equal the middle cards are compared and finally the lowest cards. For example K-4-2 beats Q-10-9, which beats Q-10-7.</t>
    </r>
  </si>
  <si>
    <r>
      <rPr>
        <b/>
        <sz val="11"/>
        <color theme="1"/>
        <rFont val="Calibri"/>
        <family val="2"/>
        <scheme val="minor"/>
      </rPr>
      <t>Pair</t>
    </r>
    <r>
      <rPr>
        <sz val="11"/>
        <color theme="1"/>
        <rFont val="Calibri"/>
        <family val="2"/>
        <scheme val="minor"/>
      </rPr>
      <t> - two cards of equal rank and one of a different rank, such as 6-6-Q. When comparing two hands with a pair, the rank of the pair decides; if both hands have the equal pairs, the hand with the better odd card ("kicker") wins.</t>
    </r>
  </si>
  <si>
    <r>
      <rPr>
        <b/>
        <sz val="11"/>
        <color theme="1"/>
        <rFont val="Calibri"/>
        <family val="2"/>
        <scheme val="minor"/>
      </rPr>
      <t>Flush</t>
    </r>
    <r>
      <rPr>
        <sz val="11"/>
        <color theme="1"/>
        <rFont val="Calibri"/>
        <family val="2"/>
        <scheme val="minor"/>
      </rPr>
      <t> - three cards of the same suit. These are compared in the same way as "high card" hands.</t>
    </r>
  </si>
  <si>
    <r>
      <rPr>
        <b/>
        <sz val="11"/>
        <color theme="1"/>
        <rFont val="Calibri"/>
        <family val="2"/>
        <scheme val="minor"/>
      </rPr>
      <t>Straight</t>
    </r>
    <r>
      <rPr>
        <sz val="11"/>
        <color theme="1"/>
        <rFont val="Calibri"/>
        <family val="2"/>
        <scheme val="minor"/>
      </rPr>
      <t> - three consecutive cards of mixed suits. Between two straights the one with the higher ranked cards wins. Ace can count high or low: A-K-Q is the highest type of straight and 3-2-A is the lowest. 
2-A-K is not a straight.</t>
    </r>
  </si>
  <si>
    <r>
      <rPr>
        <b/>
        <sz val="11"/>
        <color theme="1"/>
        <rFont val="Calibri"/>
        <family val="2"/>
        <scheme val="minor"/>
      </rPr>
      <t>Three of a Kind </t>
    </r>
    <r>
      <rPr>
        <sz val="11"/>
        <color theme="1"/>
        <rFont val="Calibri"/>
        <family val="2"/>
        <scheme val="minor"/>
      </rPr>
      <t>- three cards of the same rank, higher ranks beating lower ranks.</t>
    </r>
  </si>
  <si>
    <r>
      <rPr>
        <b/>
        <sz val="11"/>
        <color theme="1"/>
        <rFont val="Calibri"/>
        <family val="2"/>
        <scheme val="minor"/>
      </rPr>
      <t>Straight Flush</t>
    </r>
    <r>
      <rPr>
        <sz val="11"/>
        <color theme="1"/>
        <rFont val="Calibri"/>
        <family val="2"/>
        <scheme val="minor"/>
      </rPr>
      <t> - three consecutive cards of the same suit. These are compared in the same way as straights, ace counting high or low.</t>
    </r>
  </si>
  <si>
    <t>Before the deal, in order to receive cards each player must place an Ante bet.</t>
  </si>
  <si>
    <t>Ante and Play</t>
  </si>
  <si>
    <t>Three cards are dealt to each player who has placed an ante bet and three cards to the dealer. After viewing his three cards the player must decide to either:</t>
  </si>
  <si>
    <t>1. make a play bet, placing an additional amount equal to the ante bet, or</t>
  </si>
  <si>
    <t>2. fold, losing the ante bet.</t>
  </si>
  <si>
    <t>Following this decision, the dealer's hand is revealed and there is a showdown.</t>
  </si>
  <si>
    <t>If the dealer does not have Queen high or better, the ante bet is paid even money and the play bet is returned.</t>
  </si>
  <si>
    <t>If the dealer does have Queen high or better and the player's hand beats the dealer's hand the ante bet and play bet are paid even money.</t>
  </si>
  <si>
    <t>If the dealer does have Queen high or better and the player's hand is equal to the dealer's hand the player's ante and play bets are returned.</t>
  </si>
  <si>
    <t>If the dealer does have Queen high or better and the player's hand is worse than the dealer's hand the ante and play bet are lost.</t>
  </si>
  <si>
    <t>An additional bonus is also payed on the ante bet irrespective of dealer's hand or outcome of the hand if the player holds a strong hand</t>
  </si>
  <si>
    <t>Even money for a straight</t>
  </si>
  <si>
    <t>4 to 1 for three of a kind</t>
  </si>
  <si>
    <t>5 to 1 for a straight flush</t>
  </si>
  <si>
    <t>Pair Plus®</t>
  </si>
  <si>
    <t>The name of this special side bet, which has been a part of the game since its invention in the 1990's, was registered as a trade mark of SHFL Entertainment, Inc. in 2012.</t>
  </si>
  <si>
    <t>The result of a Pair Plus® bet depends only on the three cards dealt to the player - the dealer's cards are irrelevant. The Pair Plus® bet is lost if the player does not hold a pair or better. Winning hands are paid as follows:</t>
  </si>
  <si>
    <t>Even money for a pair</t>
  </si>
  <si>
    <t>4 to 1 for a flush</t>
  </si>
  <si>
    <t>6 to 1 for a straight</t>
  </si>
  <si>
    <t>30 to 1 for three of a kind</t>
  </si>
  <si>
    <t>40 to 1 for a straight flush</t>
  </si>
  <si>
    <t>A winning Pair Plus® hand is paid out even if the player folds, though in fact this situation rarely occurs, since with any such hand the correct strategy is to place a Play bet.</t>
  </si>
  <si>
    <t>Three of a Kind</t>
  </si>
  <si>
    <t>Straight Flush</t>
  </si>
  <si>
    <t>Bet</t>
  </si>
  <si>
    <t>Pay</t>
  </si>
  <si>
    <t>Payout</t>
  </si>
  <si>
    <t>Winning Hands</t>
  </si>
  <si>
    <t>Even money for a flush</t>
  </si>
  <si>
    <t>Dealer</t>
  </si>
  <si>
    <t>3 Card Poker Game Programmed By Remy Lim 2017 Ver 1.0</t>
  </si>
  <si>
    <t>Pair Plus Payout</t>
  </si>
  <si>
    <t>Ante Payout (Dealer must have atleast one Queen)</t>
  </si>
  <si>
    <t>TOTAL:</t>
  </si>
  <si>
    <t>Credits</t>
  </si>
  <si>
    <t>Card Pic Size 1.5" x 1.1"</t>
  </si>
  <si>
    <t>P1</t>
  </si>
  <si>
    <t>P2</t>
  </si>
  <si>
    <t>P3</t>
  </si>
  <si>
    <t>D1</t>
  </si>
  <si>
    <t>D2</t>
  </si>
  <si>
    <t>D3</t>
  </si>
  <si>
    <t>Suit</t>
  </si>
  <si>
    <t>Highest</t>
  </si>
  <si>
    <t xml:space="preserve">Royal </t>
  </si>
  <si>
    <t>R.Straight Flush</t>
  </si>
  <si>
    <t>Payout]</t>
  </si>
  <si>
    <t>Ante</t>
  </si>
  <si>
    <t>Pair Plus</t>
  </si>
  <si>
    <t>R.Straight</t>
  </si>
  <si>
    <t>A. Flush</t>
  </si>
  <si>
    <t>Ace Pair</t>
  </si>
  <si>
    <t>Ace High</t>
  </si>
  <si>
    <t>Dealer Qualify</t>
  </si>
  <si>
    <t>Pay Ratio</t>
  </si>
  <si>
    <t>Play</t>
  </si>
  <si>
    <t>Royal Straight flush</t>
  </si>
  <si>
    <t>Three ACEs</t>
  </si>
  <si>
    <t>Straight with Ace High</t>
  </si>
  <si>
    <t>Flush with Ace High</t>
  </si>
  <si>
    <t xml:space="preserve">Flush </t>
  </si>
  <si>
    <t>High Card</t>
  </si>
  <si>
    <t>Ace</t>
  </si>
  <si>
    <t>Jack</t>
  </si>
  <si>
    <t>Queen</t>
  </si>
  <si>
    <t>King</t>
  </si>
  <si>
    <t>if Dealer did not qualify</t>
  </si>
  <si>
    <t>and the play bet is returned.</t>
  </si>
  <si>
    <t xml:space="preserve">Ante bet is paid even money </t>
  </si>
  <si>
    <t>If Dealer Qualify</t>
  </si>
  <si>
    <t xml:space="preserve">Ante and Play bet is returned </t>
  </si>
  <si>
    <t>If Dealer &amp; Player Tie,</t>
  </si>
  <si>
    <t xml:space="preserve">if  Player win ,Ante bet pays </t>
  </si>
  <si>
    <t>according to table, Play bet</t>
  </si>
  <si>
    <t>paid even money.</t>
  </si>
  <si>
    <t>Player Win !</t>
  </si>
  <si>
    <t>Dealer Win !</t>
  </si>
  <si>
    <t>It's A Tie !</t>
  </si>
  <si>
    <t xml:space="preserve">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</si>
</sst>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1B780E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/>
    <xf numFmtId="0" fontId="0" fillId="3" borderId="0" xfId="0" applyFill="1"/>
    <xf numFmtId="0" fontId="3" fillId="4" borderId="0" xfId="0" applyFont="1" applyFill="1"/>
    <xf numFmtId="10" fontId="3" fillId="4" borderId="0" xfId="0" applyNumberFormat="1" applyFont="1" applyFill="1" applyAlignment="1">
      <alignment horizontal="center"/>
    </xf>
    <xf numFmtId="0" fontId="3" fillId="4" borderId="0" xfId="0" applyFont="1" applyFill="1" applyAlignment="1">
      <alignment horizontal="center"/>
    </xf>
    <xf numFmtId="3" fontId="3" fillId="4" borderId="0" xfId="0" applyNumberFormat="1" applyFont="1" applyFill="1" applyAlignment="1">
      <alignment horizontal="center"/>
    </xf>
    <xf numFmtId="0" fontId="3" fillId="4" borderId="0" xfId="0" applyFont="1" applyFill="1" applyAlignment="1"/>
    <xf numFmtId="0" fontId="1" fillId="4" borderId="10" xfId="0" applyFont="1" applyFill="1" applyBorder="1"/>
    <xf numFmtId="0" fontId="1" fillId="4" borderId="10" xfId="0" applyFont="1" applyFill="1" applyBorder="1" applyAlignment="1">
      <alignment horizontal="center"/>
    </xf>
    <xf numFmtId="0" fontId="0" fillId="0" borderId="0" xfId="0" applyAlignment="1">
      <alignment vertical="top"/>
    </xf>
    <xf numFmtId="0" fontId="3" fillId="4" borderId="0" xfId="0" applyFont="1" applyFill="1" applyAlignment="1">
      <alignment vertical="top"/>
    </xf>
    <xf numFmtId="0" fontId="3" fillId="4" borderId="0" xfId="0" applyFont="1" applyFill="1" applyAlignment="1">
      <alignment horizontal="center" vertical="top"/>
    </xf>
    <xf numFmtId="0" fontId="3" fillId="4" borderId="10" xfId="0" applyFont="1" applyFill="1" applyBorder="1" applyAlignment="1">
      <alignment vertical="top"/>
    </xf>
    <xf numFmtId="0" fontId="3" fillId="4" borderId="10" xfId="0" applyFont="1" applyFill="1" applyBorder="1" applyAlignment="1">
      <alignment horizontal="center" vertical="top"/>
    </xf>
    <xf numFmtId="0" fontId="0" fillId="0" borderId="0" xfId="0" applyFill="1"/>
    <xf numFmtId="0" fontId="0" fillId="5" borderId="0" xfId="0" applyFill="1"/>
    <xf numFmtId="0" fontId="0" fillId="5" borderId="0" xfId="0" applyFill="1" applyAlignment="1"/>
    <xf numFmtId="0" fontId="3" fillId="5" borderId="0" xfId="0" applyFont="1" applyFill="1"/>
    <xf numFmtId="0" fontId="4" fillId="5" borderId="0" xfId="0" applyFont="1" applyFill="1"/>
    <xf numFmtId="0" fontId="4" fillId="5" borderId="0" xfId="0" applyFont="1" applyFill="1" applyAlignment="1"/>
    <xf numFmtId="0" fontId="3" fillId="5" borderId="0" xfId="0" applyFont="1" applyFill="1" applyAlignment="1"/>
    <xf numFmtId="164" fontId="0" fillId="0" borderId="0" xfId="0" applyNumberFormat="1" applyFill="1"/>
    <xf numFmtId="0" fontId="3" fillId="5" borderId="11" xfId="0" applyFont="1" applyFill="1" applyBorder="1" applyAlignment="1">
      <alignment horizontal="center"/>
    </xf>
    <xf numFmtId="164" fontId="0" fillId="0" borderId="12" xfId="0" applyNumberFormat="1" applyFill="1" applyBorder="1"/>
    <xf numFmtId="0" fontId="0" fillId="5" borderId="12" xfId="0" applyFill="1" applyBorder="1"/>
    <xf numFmtId="164" fontId="0" fillId="3" borderId="12" xfId="0" applyNumberFormat="1" applyFill="1" applyBorder="1"/>
    <xf numFmtId="164" fontId="0" fillId="2" borderId="12" xfId="0" applyNumberFormat="1" applyFill="1" applyBorder="1"/>
    <xf numFmtId="164" fontId="0" fillId="2" borderId="13" xfId="0" applyNumberFormat="1" applyFill="1" applyBorder="1"/>
    <xf numFmtId="164" fontId="0" fillId="0" borderId="13" xfId="0" applyNumberFormat="1" applyFill="1" applyBorder="1"/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2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C6A0E"/>
      <color rgb="FF3CA616"/>
      <color rgb="FF0E7811"/>
      <color rgb="FF338F13"/>
      <color rgb="FF1B780E"/>
      <color rgb="FF1F8A10"/>
      <color rgb="FF108A2D"/>
      <color rgb="FF3EAD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fmlaLink="$K$27" lockText="1"/>
</file>

<file path=xl/ctrlProps/ctrlProp2.xml><?xml version="1.0" encoding="utf-8"?>
<formControlPr xmlns="http://schemas.microsoft.com/office/spreadsheetml/2009/9/main" objectType="Radio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gi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4.png"/><Relationship Id="rId18" Type="http://schemas.openxmlformats.org/officeDocument/2006/relationships/image" Target="../media/image29.png"/><Relationship Id="rId26" Type="http://schemas.openxmlformats.org/officeDocument/2006/relationships/image" Target="../media/image37.png"/><Relationship Id="rId39" Type="http://schemas.openxmlformats.org/officeDocument/2006/relationships/image" Target="../media/image50.png"/><Relationship Id="rId21" Type="http://schemas.openxmlformats.org/officeDocument/2006/relationships/image" Target="../media/image32.png"/><Relationship Id="rId34" Type="http://schemas.openxmlformats.org/officeDocument/2006/relationships/image" Target="../media/image45.png"/><Relationship Id="rId42" Type="http://schemas.openxmlformats.org/officeDocument/2006/relationships/image" Target="../media/image53.png"/><Relationship Id="rId47" Type="http://schemas.openxmlformats.org/officeDocument/2006/relationships/image" Target="../media/image58.png"/><Relationship Id="rId50" Type="http://schemas.openxmlformats.org/officeDocument/2006/relationships/image" Target="../media/image61.png"/><Relationship Id="rId55" Type="http://schemas.openxmlformats.org/officeDocument/2006/relationships/image" Target="../media/image66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6" Type="http://schemas.openxmlformats.org/officeDocument/2006/relationships/image" Target="../media/image27.png"/><Relationship Id="rId29" Type="http://schemas.openxmlformats.org/officeDocument/2006/relationships/image" Target="../media/image40.png"/><Relationship Id="rId11" Type="http://schemas.openxmlformats.org/officeDocument/2006/relationships/image" Target="../media/image22.png"/><Relationship Id="rId24" Type="http://schemas.openxmlformats.org/officeDocument/2006/relationships/image" Target="../media/image35.png"/><Relationship Id="rId32" Type="http://schemas.openxmlformats.org/officeDocument/2006/relationships/image" Target="../media/image43.png"/><Relationship Id="rId37" Type="http://schemas.openxmlformats.org/officeDocument/2006/relationships/image" Target="../media/image48.png"/><Relationship Id="rId40" Type="http://schemas.openxmlformats.org/officeDocument/2006/relationships/image" Target="../media/image51.png"/><Relationship Id="rId45" Type="http://schemas.openxmlformats.org/officeDocument/2006/relationships/image" Target="../media/image56.png"/><Relationship Id="rId53" Type="http://schemas.openxmlformats.org/officeDocument/2006/relationships/image" Target="../media/image64.png"/><Relationship Id="rId5" Type="http://schemas.openxmlformats.org/officeDocument/2006/relationships/image" Target="../media/image16.png"/><Relationship Id="rId10" Type="http://schemas.openxmlformats.org/officeDocument/2006/relationships/image" Target="../media/image21.png"/><Relationship Id="rId19" Type="http://schemas.openxmlformats.org/officeDocument/2006/relationships/image" Target="../media/image30.png"/><Relationship Id="rId31" Type="http://schemas.openxmlformats.org/officeDocument/2006/relationships/image" Target="../media/image42.png"/><Relationship Id="rId44" Type="http://schemas.openxmlformats.org/officeDocument/2006/relationships/image" Target="../media/image55.png"/><Relationship Id="rId52" Type="http://schemas.openxmlformats.org/officeDocument/2006/relationships/image" Target="../media/image63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Relationship Id="rId14" Type="http://schemas.openxmlformats.org/officeDocument/2006/relationships/image" Target="../media/image25.png"/><Relationship Id="rId22" Type="http://schemas.openxmlformats.org/officeDocument/2006/relationships/image" Target="../media/image33.png"/><Relationship Id="rId27" Type="http://schemas.openxmlformats.org/officeDocument/2006/relationships/image" Target="../media/image38.png"/><Relationship Id="rId30" Type="http://schemas.openxmlformats.org/officeDocument/2006/relationships/image" Target="../media/image41.png"/><Relationship Id="rId35" Type="http://schemas.openxmlformats.org/officeDocument/2006/relationships/image" Target="../media/image46.png"/><Relationship Id="rId43" Type="http://schemas.openxmlformats.org/officeDocument/2006/relationships/image" Target="../media/image54.png"/><Relationship Id="rId48" Type="http://schemas.openxmlformats.org/officeDocument/2006/relationships/image" Target="../media/image59.png"/><Relationship Id="rId56" Type="http://schemas.openxmlformats.org/officeDocument/2006/relationships/image" Target="../media/image67.png"/><Relationship Id="rId8" Type="http://schemas.openxmlformats.org/officeDocument/2006/relationships/image" Target="../media/image19.png"/><Relationship Id="rId51" Type="http://schemas.openxmlformats.org/officeDocument/2006/relationships/image" Target="../media/image62.png"/><Relationship Id="rId3" Type="http://schemas.openxmlformats.org/officeDocument/2006/relationships/image" Target="../media/image14.png"/><Relationship Id="rId12" Type="http://schemas.openxmlformats.org/officeDocument/2006/relationships/image" Target="../media/image23.png"/><Relationship Id="rId17" Type="http://schemas.openxmlformats.org/officeDocument/2006/relationships/image" Target="../media/image28.png"/><Relationship Id="rId25" Type="http://schemas.openxmlformats.org/officeDocument/2006/relationships/image" Target="../media/image36.png"/><Relationship Id="rId33" Type="http://schemas.openxmlformats.org/officeDocument/2006/relationships/image" Target="../media/image44.png"/><Relationship Id="rId38" Type="http://schemas.openxmlformats.org/officeDocument/2006/relationships/image" Target="../media/image49.png"/><Relationship Id="rId46" Type="http://schemas.openxmlformats.org/officeDocument/2006/relationships/image" Target="../media/image57.png"/><Relationship Id="rId20" Type="http://schemas.openxmlformats.org/officeDocument/2006/relationships/image" Target="../media/image31.png"/><Relationship Id="rId41" Type="http://schemas.openxmlformats.org/officeDocument/2006/relationships/image" Target="../media/image52.png"/><Relationship Id="rId54" Type="http://schemas.openxmlformats.org/officeDocument/2006/relationships/image" Target="../media/image65.png"/><Relationship Id="rId1" Type="http://schemas.openxmlformats.org/officeDocument/2006/relationships/image" Target="../media/image12.emf"/><Relationship Id="rId6" Type="http://schemas.openxmlformats.org/officeDocument/2006/relationships/image" Target="../media/image17.png"/><Relationship Id="rId15" Type="http://schemas.openxmlformats.org/officeDocument/2006/relationships/image" Target="../media/image26.png"/><Relationship Id="rId23" Type="http://schemas.openxmlformats.org/officeDocument/2006/relationships/image" Target="../media/image34.png"/><Relationship Id="rId28" Type="http://schemas.openxmlformats.org/officeDocument/2006/relationships/image" Target="../media/image39.png"/><Relationship Id="rId36" Type="http://schemas.openxmlformats.org/officeDocument/2006/relationships/image" Target="../media/image47.png"/><Relationship Id="rId49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601252</xdr:colOff>
      <xdr:row>12</xdr:row>
      <xdr:rowOff>1392</xdr:rowOff>
    </xdr:from>
    <xdr:to>
      <xdr:col>6</xdr:col>
      <xdr:colOff>363128</xdr:colOff>
      <xdr:row>22</xdr:row>
      <xdr:rowOff>60682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3836" y="2313077"/>
          <a:ext cx="981932" cy="19856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180975</xdr:rowOff>
        </xdr:from>
        <xdr:to>
          <xdr:col>7</xdr:col>
          <xdr:colOff>57150</xdr:colOff>
          <xdr:row>14</xdr:row>
          <xdr:rowOff>57150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353174</xdr:colOff>
          <xdr:row>15</xdr:row>
          <xdr:rowOff>122648</xdr:rowOff>
        </xdr:from>
        <xdr:to>
          <xdr:col>7</xdr:col>
          <xdr:colOff>42808</xdr:colOff>
          <xdr:row>17</xdr:row>
          <xdr:rowOff>65498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14</xdr:row>
      <xdr:rowOff>114300</xdr:rowOff>
    </xdr:from>
    <xdr:to>
      <xdr:col>4</xdr:col>
      <xdr:colOff>0</xdr:colOff>
      <xdr:row>15</xdr:row>
      <xdr:rowOff>161925</xdr:rowOff>
    </xdr:to>
    <xdr:sp macro="[0]!one_dollar" textlink="">
      <xdr:nvSpPr>
        <xdr:cNvPr id="7" name="Rounded Rectangle 6"/>
        <xdr:cNvSpPr/>
      </xdr:nvSpPr>
      <xdr:spPr>
        <a:xfrm>
          <a:off x="1847850" y="2781300"/>
          <a:ext cx="590550" cy="238125"/>
        </a:xfrm>
        <a:prstGeom prst="roundRect">
          <a:avLst/>
        </a:prstGeom>
        <a:solidFill>
          <a:srgbClr val="00B050"/>
        </a:solidFill>
        <a:ln>
          <a:solidFill>
            <a:srgbClr val="0C6A0E"/>
          </a:solidFill>
        </a:ln>
        <a:scene3d>
          <a:camera prst="orthographicFront"/>
          <a:lightRig rig="threePt" dir="t"/>
        </a:scene3d>
        <a:sp3d>
          <a:bevelT w="57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$1</a:t>
          </a:r>
        </a:p>
      </xdr:txBody>
    </xdr:sp>
    <xdr:clientData/>
  </xdr:twoCellAnchor>
  <xdr:twoCellAnchor>
    <xdr:from>
      <xdr:col>3</xdr:col>
      <xdr:colOff>19050</xdr:colOff>
      <xdr:row>16</xdr:row>
      <xdr:rowOff>64294</xdr:rowOff>
    </xdr:from>
    <xdr:to>
      <xdr:col>4</xdr:col>
      <xdr:colOff>0</xdr:colOff>
      <xdr:row>17</xdr:row>
      <xdr:rowOff>111919</xdr:rowOff>
    </xdr:to>
    <xdr:sp macro="[0]!ten_dollar" textlink="">
      <xdr:nvSpPr>
        <xdr:cNvPr id="16" name="Rounded Rectangle 15"/>
        <xdr:cNvSpPr/>
      </xdr:nvSpPr>
      <xdr:spPr>
        <a:xfrm>
          <a:off x="1847850" y="3112294"/>
          <a:ext cx="590550" cy="238125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rgbClr val="0C6A0E"/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w="5715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$10</a:t>
          </a:r>
        </a:p>
      </xdr:txBody>
    </xdr:sp>
    <xdr:clientData/>
  </xdr:twoCellAnchor>
  <xdr:twoCellAnchor>
    <xdr:from>
      <xdr:col>3</xdr:col>
      <xdr:colOff>19050</xdr:colOff>
      <xdr:row>19</xdr:row>
      <xdr:rowOff>154782</xdr:rowOff>
    </xdr:from>
    <xdr:to>
      <xdr:col>4</xdr:col>
      <xdr:colOff>0</xdr:colOff>
      <xdr:row>21</xdr:row>
      <xdr:rowOff>11907</xdr:rowOff>
    </xdr:to>
    <xdr:sp macro="[0]!hundred_dollar" textlink="">
      <xdr:nvSpPr>
        <xdr:cNvPr id="19" name="Rounded Rectangle 18"/>
        <xdr:cNvSpPr/>
      </xdr:nvSpPr>
      <xdr:spPr>
        <a:xfrm>
          <a:off x="1847850" y="3774282"/>
          <a:ext cx="590550" cy="238125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rgbClr val="0C6A0E"/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w="5715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$100</a:t>
          </a:r>
        </a:p>
      </xdr:txBody>
    </xdr:sp>
    <xdr:clientData/>
  </xdr:twoCellAnchor>
  <xdr:twoCellAnchor>
    <xdr:from>
      <xdr:col>3</xdr:col>
      <xdr:colOff>19050</xdr:colOff>
      <xdr:row>18</xdr:row>
      <xdr:rowOff>14288</xdr:rowOff>
    </xdr:from>
    <xdr:to>
      <xdr:col>4</xdr:col>
      <xdr:colOff>0</xdr:colOff>
      <xdr:row>19</xdr:row>
      <xdr:rowOff>61913</xdr:rowOff>
    </xdr:to>
    <xdr:sp macro="[0]!fifty_dollar" textlink="">
      <xdr:nvSpPr>
        <xdr:cNvPr id="20" name="Rounded Rectangle 19"/>
        <xdr:cNvSpPr/>
      </xdr:nvSpPr>
      <xdr:spPr>
        <a:xfrm>
          <a:off x="1847850" y="3443288"/>
          <a:ext cx="590550" cy="238125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rgbClr val="0C6A0E"/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w="5715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$50</a:t>
          </a:r>
        </a:p>
      </xdr:txBody>
    </xdr:sp>
    <xdr:clientData/>
  </xdr:twoCellAnchor>
  <xdr:twoCellAnchor>
    <xdr:from>
      <xdr:col>3</xdr:col>
      <xdr:colOff>19050</xdr:colOff>
      <xdr:row>21</xdr:row>
      <xdr:rowOff>104775</xdr:rowOff>
    </xdr:from>
    <xdr:to>
      <xdr:col>4</xdr:col>
      <xdr:colOff>0</xdr:colOff>
      <xdr:row>22</xdr:row>
      <xdr:rowOff>152400</xdr:rowOff>
    </xdr:to>
    <xdr:sp macro="[0]!fivehundred_dollar" textlink="">
      <xdr:nvSpPr>
        <xdr:cNvPr id="21" name="Rounded Rectangle 20"/>
        <xdr:cNvSpPr/>
      </xdr:nvSpPr>
      <xdr:spPr>
        <a:xfrm>
          <a:off x="1847850" y="4105275"/>
          <a:ext cx="590550" cy="238125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rgbClr val="0C6A0E"/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w="5715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$500</a:t>
          </a:r>
        </a:p>
      </xdr:txBody>
    </xdr:sp>
    <xdr:clientData/>
  </xdr:twoCellAnchor>
  <xdr:twoCellAnchor>
    <xdr:from>
      <xdr:col>2</xdr:col>
      <xdr:colOff>491490</xdr:colOff>
      <xdr:row>23</xdr:row>
      <xdr:rowOff>49530</xdr:rowOff>
    </xdr:from>
    <xdr:to>
      <xdr:col>4</xdr:col>
      <xdr:colOff>163830</xdr:colOff>
      <xdr:row>24</xdr:row>
      <xdr:rowOff>121920</xdr:rowOff>
    </xdr:to>
    <xdr:sp macro="[0]!Undo_Button" textlink="">
      <xdr:nvSpPr>
        <xdr:cNvPr id="13" name="Flowchart: Preparation 12"/>
        <xdr:cNvSpPr/>
      </xdr:nvSpPr>
      <xdr:spPr>
        <a:xfrm>
          <a:off x="1710690" y="4431030"/>
          <a:ext cx="891540" cy="262890"/>
        </a:xfrm>
        <a:prstGeom prst="flowChartPreparation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0000"/>
              </a:solidFill>
            </a:rPr>
            <a:t>UNDO</a:t>
          </a:r>
        </a:p>
      </xdr:txBody>
    </xdr:sp>
    <xdr:clientData/>
  </xdr:twoCellAnchor>
  <xdr:twoCellAnchor>
    <xdr:from>
      <xdr:col>4</xdr:col>
      <xdr:colOff>64213</xdr:colOff>
      <xdr:row>16</xdr:row>
      <xdr:rowOff>107022</xdr:rowOff>
    </xdr:from>
    <xdr:to>
      <xdr:col>5</xdr:col>
      <xdr:colOff>171236</xdr:colOff>
      <xdr:row>18</xdr:row>
      <xdr:rowOff>96319</xdr:rowOff>
    </xdr:to>
    <xdr:sp macro="[0]!Fold" textlink="">
      <xdr:nvSpPr>
        <xdr:cNvPr id="14" name="Oval 13"/>
        <xdr:cNvSpPr/>
      </xdr:nvSpPr>
      <xdr:spPr>
        <a:xfrm>
          <a:off x="2504325" y="3189269"/>
          <a:ext cx="717051" cy="374578"/>
        </a:xfrm>
        <a:prstGeom prst="ellipse">
          <a:avLst/>
        </a:prstGeom>
        <a:scene3d>
          <a:camera prst="orthographicFront"/>
          <a:lightRig rig="threePt" dir="t"/>
        </a:scene3d>
        <a:sp3d>
          <a:bevelT w="825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FOLD</a:t>
          </a:r>
        </a:p>
      </xdr:txBody>
    </xdr:sp>
    <xdr:clientData/>
  </xdr:twoCellAnchor>
  <xdr:twoCellAnchor>
    <xdr:from>
      <xdr:col>5</xdr:col>
      <xdr:colOff>42809</xdr:colOff>
      <xdr:row>18</xdr:row>
      <xdr:rowOff>117725</xdr:rowOff>
    </xdr:from>
    <xdr:to>
      <xdr:col>6</xdr:col>
      <xdr:colOff>288960</xdr:colOff>
      <xdr:row>21</xdr:row>
      <xdr:rowOff>181939</xdr:rowOff>
    </xdr:to>
    <xdr:grpSp>
      <xdr:nvGrpSpPr>
        <xdr:cNvPr id="26" name="Group 25"/>
        <xdr:cNvGrpSpPr/>
      </xdr:nvGrpSpPr>
      <xdr:grpSpPr>
        <a:xfrm>
          <a:off x="2482921" y="3585253"/>
          <a:ext cx="856179" cy="642135"/>
          <a:chOff x="3092949" y="3585253"/>
          <a:chExt cx="856180" cy="642135"/>
        </a:xfrm>
      </xdr:grpSpPr>
      <xdr:sp macro="[0]!Play_Button" textlink="">
        <xdr:nvSpPr>
          <xdr:cNvPr id="22" name="Rectangle 21"/>
          <xdr:cNvSpPr/>
        </xdr:nvSpPr>
        <xdr:spPr>
          <a:xfrm>
            <a:off x="3092949" y="3585253"/>
            <a:ext cx="856180" cy="642135"/>
          </a:xfrm>
          <a:prstGeom prst="rect">
            <a:avLst/>
          </a:prstGeom>
          <a:solidFill>
            <a:srgbClr val="0E7811"/>
          </a:solidFill>
          <a:ln>
            <a:solidFill>
              <a:srgbClr val="338F13"/>
            </a:solidFill>
          </a:ln>
          <a:scene3d>
            <a:camera prst="orthographicFront"/>
            <a:lightRig rig="threePt" dir="t"/>
          </a:scene3d>
          <a:sp3d>
            <a:bevelT w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lay_Button" textlink="">
        <xdr:nvSpPr>
          <xdr:cNvPr id="23" name="Rectangle 22"/>
          <xdr:cNvSpPr/>
        </xdr:nvSpPr>
        <xdr:spPr>
          <a:xfrm>
            <a:off x="3167865" y="3660169"/>
            <a:ext cx="695646" cy="492303"/>
          </a:xfrm>
          <a:prstGeom prst="rect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lay_Button" textlink="">
        <xdr:nvSpPr>
          <xdr:cNvPr id="24" name="Diamond 23"/>
          <xdr:cNvSpPr/>
        </xdr:nvSpPr>
        <xdr:spPr>
          <a:xfrm>
            <a:off x="3178567" y="3638765"/>
            <a:ext cx="652837" cy="535112"/>
          </a:xfrm>
          <a:prstGeom prst="diamond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lay_Button" textlink="">
        <xdr:nvSpPr>
          <xdr:cNvPr id="25" name="TextBox 24"/>
          <xdr:cNvSpPr txBox="1"/>
        </xdr:nvSpPr>
        <xdr:spPr>
          <a:xfrm>
            <a:off x="3210675" y="3735084"/>
            <a:ext cx="611578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bg1"/>
                </a:solidFill>
              </a:rPr>
              <a:t>PLAY</a:t>
            </a:r>
          </a:p>
        </xdr:txBody>
      </xdr:sp>
    </xdr:grpSp>
    <xdr:clientData/>
  </xdr:twoCellAnchor>
  <xdr:twoCellAnchor>
    <xdr:from>
      <xdr:col>4</xdr:col>
      <xdr:colOff>288961</xdr:colOff>
      <xdr:row>22</xdr:row>
      <xdr:rowOff>181939</xdr:rowOff>
    </xdr:from>
    <xdr:to>
      <xdr:col>5</xdr:col>
      <xdr:colOff>545815</xdr:colOff>
      <xdr:row>24</xdr:row>
      <xdr:rowOff>74916</xdr:rowOff>
    </xdr:to>
    <xdr:sp macro="[0]!Deal_Card" textlink="">
      <xdr:nvSpPr>
        <xdr:cNvPr id="27" name="Rounded Rectangle 26"/>
        <xdr:cNvSpPr/>
      </xdr:nvSpPr>
      <xdr:spPr>
        <a:xfrm>
          <a:off x="2729073" y="4420029"/>
          <a:ext cx="866882" cy="278258"/>
        </a:xfrm>
        <a:prstGeom prst="roundRect">
          <a:avLst/>
        </a:prstGeom>
        <a:solidFill>
          <a:srgbClr val="3CA616"/>
        </a:solidFill>
        <a:ln>
          <a:solidFill>
            <a:srgbClr val="3CA616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DEAL CARD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</xdr:rowOff>
        </xdr:from>
        <xdr:to>
          <xdr:col>4</xdr:col>
          <xdr:colOff>610027</xdr:colOff>
          <xdr:row>11</xdr:row>
          <xdr:rowOff>4600</xdr:rowOff>
        </xdr:to>
        <xdr:pic>
          <xdr:nvPicPr>
            <xdr:cNvPr id="44" name="Picture 43"/>
            <xdr:cNvPicPr>
              <a:picLocks noChangeAspect="1" noChangeArrowheads="1"/>
              <a:extLst>
                <a:ext uri="{84589F7E-364E-4C9E-8A38-B11213B215E9}">
                  <a14:cameraTool cellRange="P1Pic" spid="_x0000_s252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830084" y="770563"/>
              <a:ext cx="1220055" cy="135308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1</xdr:rowOff>
        </xdr:from>
        <xdr:to>
          <xdr:col>6</xdr:col>
          <xdr:colOff>599326</xdr:colOff>
          <xdr:row>10</xdr:row>
          <xdr:rowOff>182997</xdr:rowOff>
        </xdr:to>
        <xdr:pic>
          <xdr:nvPicPr>
            <xdr:cNvPr id="45" name="Picture 44"/>
            <xdr:cNvPicPr>
              <a:picLocks noChangeAspect="1" noChangeArrowheads="1"/>
              <a:extLst>
                <a:ext uri="{84589F7E-364E-4C9E-8A38-B11213B215E9}">
                  <a14:cameraTool cellRange="P2Pic" spid="_x0000_s252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050140" y="770563"/>
              <a:ext cx="1209354" cy="133883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620730</xdr:colOff>
          <xdr:row>10</xdr:row>
          <xdr:rowOff>181939</xdr:rowOff>
        </xdr:to>
        <xdr:pic>
          <xdr:nvPicPr>
            <xdr:cNvPr id="46" name="Picture 45"/>
            <xdr:cNvPicPr>
              <a:picLocks noChangeAspect="1" noChangeArrowheads="1"/>
              <a:extLst>
                <a:ext uri="{84589F7E-364E-4C9E-8A38-B11213B215E9}">
                  <a14:cameraTool cellRange="P3Pic" spid="_x0000_s252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4270197" y="770562"/>
              <a:ext cx="1230758" cy="133778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1</xdr:rowOff>
        </xdr:from>
        <xdr:to>
          <xdr:col>14</xdr:col>
          <xdr:colOff>0</xdr:colOff>
          <xdr:row>10</xdr:row>
          <xdr:rowOff>171237</xdr:rowOff>
        </xdr:to>
        <xdr:pic>
          <xdr:nvPicPr>
            <xdr:cNvPr id="47" name="Picture 46"/>
            <xdr:cNvPicPr>
              <a:picLocks noChangeAspect="1" noChangeArrowheads="1"/>
              <a:extLst>
                <a:ext uri="{84589F7E-364E-4C9E-8A38-B11213B215E9}">
                  <a14:cameraTool cellRange="D1HPic" spid="_x0000_s252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7405955" y="770563"/>
              <a:ext cx="1220056" cy="132707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1</xdr:rowOff>
        </xdr:from>
        <xdr:to>
          <xdr:col>16</xdr:col>
          <xdr:colOff>0</xdr:colOff>
          <xdr:row>10</xdr:row>
          <xdr:rowOff>171237</xdr:rowOff>
        </xdr:to>
        <xdr:pic>
          <xdr:nvPicPr>
            <xdr:cNvPr id="48" name="Picture 47"/>
            <xdr:cNvPicPr>
              <a:picLocks noChangeAspect="1" noChangeArrowheads="1"/>
              <a:extLst>
                <a:ext uri="{84589F7E-364E-4C9E-8A38-B11213B215E9}">
                  <a14:cameraTool cellRange="D2HPic" spid="_x0000_s252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626011" y="770563"/>
              <a:ext cx="1220056" cy="132707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610027</xdr:colOff>
          <xdr:row>4</xdr:row>
          <xdr:rowOff>1</xdr:rowOff>
        </xdr:from>
        <xdr:to>
          <xdr:col>18</xdr:col>
          <xdr:colOff>-1</xdr:colOff>
          <xdr:row>10</xdr:row>
          <xdr:rowOff>171237</xdr:rowOff>
        </xdr:to>
        <xdr:pic>
          <xdr:nvPicPr>
            <xdr:cNvPr id="49" name="Picture 48"/>
            <xdr:cNvPicPr>
              <a:picLocks noChangeAspect="1" noChangeArrowheads="1"/>
              <a:extLst>
                <a:ext uri="{84589F7E-364E-4C9E-8A38-B11213B215E9}">
                  <a14:cameraTool cellRange="D3Pic" spid="_x0000_s2525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846066" y="770563"/>
              <a:ext cx="1220057" cy="132707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107023</xdr:colOff>
      <xdr:row>13</xdr:row>
      <xdr:rowOff>42809</xdr:rowOff>
    </xdr:from>
    <xdr:to>
      <xdr:col>5</xdr:col>
      <xdr:colOff>64214</xdr:colOff>
      <xdr:row>14</xdr:row>
      <xdr:rowOff>21405</xdr:rowOff>
    </xdr:to>
    <xdr:sp macro="[0]!Reset_Button" textlink="">
      <xdr:nvSpPr>
        <xdr:cNvPr id="30" name="Rounded Rectangle 29"/>
        <xdr:cNvSpPr/>
      </xdr:nvSpPr>
      <xdr:spPr>
        <a:xfrm>
          <a:off x="2889607" y="2547135"/>
          <a:ext cx="567219" cy="171236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 w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11339</xdr:rowOff>
        </xdr:from>
        <xdr:to>
          <xdr:col>0</xdr:col>
          <xdr:colOff>342900</xdr:colOff>
          <xdr:row>24</xdr:row>
          <xdr:rowOff>54883</xdr:rowOff>
        </xdr:to>
        <xdr:pic>
          <xdr:nvPicPr>
            <xdr:cNvPr id="33" name="Picture 32"/>
            <xdr:cNvPicPr>
              <a:picLocks noChangeAspect="1" noChangeArrowheads="1"/>
              <a:extLst>
                <a:ext uri="{84589F7E-364E-4C9E-8A38-B11213B215E9}">
                  <a14:cameraTool cellRange="CardPic" spid="_x0000_s11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554104" y="5261428"/>
              <a:ext cx="342900" cy="23631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11</xdr:col>
      <xdr:colOff>113393</xdr:colOff>
      <xdr:row>0</xdr:row>
      <xdr:rowOff>33386</xdr:rowOff>
    </xdr:from>
    <xdr:to>
      <xdr:col>35</xdr:col>
      <xdr:colOff>406040</xdr:colOff>
      <xdr:row>29</xdr:row>
      <xdr:rowOff>180797</xdr:rowOff>
    </xdr:to>
    <xdr:pic>
      <xdr:nvPicPr>
        <xdr:cNvPr id="42" name="Picture 41" descr="Image result for playing card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929" y="33386"/>
          <a:ext cx="14988361" cy="6168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68077</xdr:colOff>
      <xdr:row>84</xdr:row>
      <xdr:rowOff>81931</xdr:rowOff>
    </xdr:from>
    <xdr:to>
      <xdr:col>8</xdr:col>
      <xdr:colOff>203077</xdr:colOff>
      <xdr:row>89</xdr:row>
      <xdr:rowOff>120089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54327" y="16705324"/>
          <a:ext cx="747321" cy="1001997"/>
        </a:xfrm>
        <a:prstGeom prst="rect">
          <a:avLst/>
        </a:prstGeom>
      </xdr:spPr>
    </xdr:pic>
    <xdr:clientData/>
  </xdr:twoCellAnchor>
  <xdr:twoCellAnchor editAs="oneCell">
    <xdr:from>
      <xdr:col>7</xdr:col>
      <xdr:colOff>56738</xdr:colOff>
      <xdr:row>77</xdr:row>
      <xdr:rowOff>106184</xdr:rowOff>
    </xdr:from>
    <xdr:to>
      <xdr:col>8</xdr:col>
      <xdr:colOff>191738</xdr:colOff>
      <xdr:row>82</xdr:row>
      <xdr:rowOff>125240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988" y="15380202"/>
          <a:ext cx="747321" cy="982895"/>
        </a:xfrm>
        <a:prstGeom prst="rect">
          <a:avLst/>
        </a:prstGeom>
      </xdr:spPr>
    </xdr:pic>
    <xdr:clientData/>
  </xdr:twoCellAnchor>
  <xdr:twoCellAnchor editAs="oneCell">
    <xdr:from>
      <xdr:col>7</xdr:col>
      <xdr:colOff>56738</xdr:colOff>
      <xdr:row>70</xdr:row>
      <xdr:rowOff>34673</xdr:rowOff>
    </xdr:from>
    <xdr:to>
      <xdr:col>8</xdr:col>
      <xdr:colOff>191738</xdr:colOff>
      <xdr:row>75</xdr:row>
      <xdr:rowOff>58780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42988" y="13959316"/>
          <a:ext cx="747321" cy="987946"/>
        </a:xfrm>
        <a:prstGeom prst="rect">
          <a:avLst/>
        </a:prstGeom>
      </xdr:spPr>
    </xdr:pic>
    <xdr:clientData/>
  </xdr:twoCellAnchor>
  <xdr:twoCellAnchor editAs="oneCell">
    <xdr:from>
      <xdr:col>7</xdr:col>
      <xdr:colOff>56738</xdr:colOff>
      <xdr:row>63</xdr:row>
      <xdr:rowOff>46976</xdr:rowOff>
    </xdr:from>
    <xdr:to>
      <xdr:col>8</xdr:col>
      <xdr:colOff>191738</xdr:colOff>
      <xdr:row>68</xdr:row>
      <xdr:rowOff>89322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42988" y="12622244"/>
          <a:ext cx="747321" cy="1006185"/>
        </a:xfrm>
        <a:prstGeom prst="rect">
          <a:avLst/>
        </a:prstGeom>
      </xdr:spPr>
    </xdr:pic>
    <xdr:clientData/>
  </xdr:twoCellAnchor>
  <xdr:twoCellAnchor editAs="oneCell">
    <xdr:from>
      <xdr:col>7</xdr:col>
      <xdr:colOff>90756</xdr:colOff>
      <xdr:row>56</xdr:row>
      <xdr:rowOff>52782</xdr:rowOff>
    </xdr:from>
    <xdr:to>
      <xdr:col>8</xdr:col>
      <xdr:colOff>225756</xdr:colOff>
      <xdr:row>61</xdr:row>
      <xdr:rowOff>90285</xdr:rowOff>
    </xdr:to>
    <xdr:pic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377006" y="11278675"/>
          <a:ext cx="747321" cy="1001342"/>
        </a:xfrm>
        <a:prstGeom prst="rect">
          <a:avLst/>
        </a:prstGeom>
      </xdr:spPr>
    </xdr:pic>
    <xdr:clientData/>
  </xdr:twoCellAnchor>
  <xdr:twoCellAnchor editAs="oneCell">
    <xdr:from>
      <xdr:col>7</xdr:col>
      <xdr:colOff>79417</xdr:colOff>
      <xdr:row>49</xdr:row>
      <xdr:rowOff>39923</xdr:rowOff>
    </xdr:from>
    <xdr:to>
      <xdr:col>8</xdr:col>
      <xdr:colOff>214417</xdr:colOff>
      <xdr:row>54</xdr:row>
      <xdr:rowOff>62074</xdr:rowOff>
    </xdr:to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365667" y="9916441"/>
          <a:ext cx="747321" cy="985990"/>
        </a:xfrm>
        <a:prstGeom prst="rect">
          <a:avLst/>
        </a:prstGeom>
      </xdr:spPr>
    </xdr:pic>
    <xdr:clientData/>
  </xdr:twoCellAnchor>
  <xdr:twoCellAnchor editAs="oneCell">
    <xdr:from>
      <xdr:col>7</xdr:col>
      <xdr:colOff>79416</xdr:colOff>
      <xdr:row>42</xdr:row>
      <xdr:rowOff>77393</xdr:rowOff>
    </xdr:from>
    <xdr:to>
      <xdr:col>8</xdr:col>
      <xdr:colOff>214416</xdr:colOff>
      <xdr:row>47</xdr:row>
      <xdr:rowOff>94571</xdr:rowOff>
    </xdr:to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65666" y="8604536"/>
          <a:ext cx="747321" cy="981017"/>
        </a:xfrm>
        <a:prstGeom prst="rect">
          <a:avLst/>
        </a:prstGeom>
      </xdr:spPr>
    </xdr:pic>
    <xdr:clientData/>
  </xdr:twoCellAnchor>
  <xdr:twoCellAnchor editAs="oneCell">
    <xdr:from>
      <xdr:col>7</xdr:col>
      <xdr:colOff>56738</xdr:colOff>
      <xdr:row>35</xdr:row>
      <xdr:rowOff>52728</xdr:rowOff>
    </xdr:from>
    <xdr:to>
      <xdr:col>8</xdr:col>
      <xdr:colOff>191738</xdr:colOff>
      <xdr:row>40</xdr:row>
      <xdr:rowOff>86686</xdr:rowOff>
    </xdr:to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42988" y="7230496"/>
          <a:ext cx="747321" cy="997797"/>
        </a:xfrm>
        <a:prstGeom prst="rect">
          <a:avLst/>
        </a:prstGeom>
      </xdr:spPr>
    </xdr:pic>
    <xdr:clientData/>
  </xdr:twoCellAnchor>
  <xdr:twoCellAnchor editAs="oneCell">
    <xdr:from>
      <xdr:col>7</xdr:col>
      <xdr:colOff>34059</xdr:colOff>
      <xdr:row>28</xdr:row>
      <xdr:rowOff>46540</xdr:rowOff>
    </xdr:from>
    <xdr:to>
      <xdr:col>8</xdr:col>
      <xdr:colOff>169059</xdr:colOff>
      <xdr:row>33</xdr:row>
      <xdr:rowOff>73358</xdr:rowOff>
    </xdr:to>
    <xdr:pic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20309" y="5874933"/>
          <a:ext cx="747321" cy="990657"/>
        </a:xfrm>
        <a:prstGeom prst="rect">
          <a:avLst/>
        </a:prstGeom>
      </xdr:spPr>
    </xdr:pic>
    <xdr:clientData/>
  </xdr:twoCellAnchor>
  <xdr:twoCellAnchor editAs="oneCell">
    <xdr:from>
      <xdr:col>7</xdr:col>
      <xdr:colOff>56738</xdr:colOff>
      <xdr:row>21</xdr:row>
      <xdr:rowOff>60761</xdr:rowOff>
    </xdr:from>
    <xdr:to>
      <xdr:col>8</xdr:col>
      <xdr:colOff>191738</xdr:colOff>
      <xdr:row>26</xdr:row>
      <xdr:rowOff>101189</xdr:rowOff>
    </xdr:to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342988" y="4539779"/>
          <a:ext cx="747321" cy="1004267"/>
        </a:xfrm>
        <a:prstGeom prst="rect">
          <a:avLst/>
        </a:prstGeom>
      </xdr:spPr>
    </xdr:pic>
    <xdr:clientData/>
  </xdr:twoCellAnchor>
  <xdr:twoCellAnchor editAs="oneCell">
    <xdr:from>
      <xdr:col>7</xdr:col>
      <xdr:colOff>68078</xdr:colOff>
      <xdr:row>14</xdr:row>
      <xdr:rowOff>64781</xdr:rowOff>
    </xdr:from>
    <xdr:to>
      <xdr:col>8</xdr:col>
      <xdr:colOff>203078</xdr:colOff>
      <xdr:row>19</xdr:row>
      <xdr:rowOff>92732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354328" y="3194424"/>
          <a:ext cx="747321" cy="991790"/>
        </a:xfrm>
        <a:prstGeom prst="rect">
          <a:avLst/>
        </a:prstGeom>
      </xdr:spPr>
    </xdr:pic>
    <xdr:clientData/>
  </xdr:twoCellAnchor>
  <xdr:twoCellAnchor editAs="oneCell">
    <xdr:from>
      <xdr:col>7</xdr:col>
      <xdr:colOff>22720</xdr:colOff>
      <xdr:row>7</xdr:row>
      <xdr:rowOff>43914</xdr:rowOff>
    </xdr:from>
    <xdr:to>
      <xdr:col>8</xdr:col>
      <xdr:colOff>157720</xdr:colOff>
      <xdr:row>11</xdr:row>
      <xdr:rowOff>142108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308970" y="1597396"/>
          <a:ext cx="747321" cy="1016676"/>
        </a:xfrm>
        <a:prstGeom prst="rect">
          <a:avLst/>
        </a:prstGeom>
      </xdr:spPr>
    </xdr:pic>
    <xdr:clientData/>
  </xdr:twoCellAnchor>
  <xdr:twoCellAnchor editAs="oneCell">
    <xdr:from>
      <xdr:col>7</xdr:col>
      <xdr:colOff>22720</xdr:colOff>
      <xdr:row>0</xdr:row>
      <xdr:rowOff>22680</xdr:rowOff>
    </xdr:from>
    <xdr:to>
      <xdr:col>8</xdr:col>
      <xdr:colOff>157720</xdr:colOff>
      <xdr:row>4</xdr:row>
      <xdr:rowOff>121241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308970" y="22680"/>
          <a:ext cx="747321" cy="971686"/>
        </a:xfrm>
        <a:prstGeom prst="rect">
          <a:avLst/>
        </a:prstGeom>
      </xdr:spPr>
    </xdr:pic>
    <xdr:clientData/>
  </xdr:twoCellAnchor>
  <xdr:twoCellAnchor editAs="oneCell">
    <xdr:from>
      <xdr:col>7</xdr:col>
      <xdr:colOff>56738</xdr:colOff>
      <xdr:row>91</xdr:row>
      <xdr:rowOff>42761</xdr:rowOff>
    </xdr:from>
    <xdr:to>
      <xdr:col>8</xdr:col>
      <xdr:colOff>191738</xdr:colOff>
      <xdr:row>96</xdr:row>
      <xdr:rowOff>51040</xdr:rowOff>
    </xdr:to>
    <xdr:pic>
      <xdr:nvPicPr>
        <xdr:cNvPr id="53" name="Picture 52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42988" y="18015529"/>
          <a:ext cx="747321" cy="972118"/>
        </a:xfrm>
        <a:prstGeom prst="rect">
          <a:avLst/>
        </a:prstGeom>
      </xdr:spPr>
    </xdr:pic>
    <xdr:clientData/>
  </xdr:twoCellAnchor>
  <xdr:twoCellAnchor editAs="oneCell">
    <xdr:from>
      <xdr:col>7</xdr:col>
      <xdr:colOff>90755</xdr:colOff>
      <xdr:row>98</xdr:row>
      <xdr:rowOff>64427</xdr:rowOff>
    </xdr:from>
    <xdr:to>
      <xdr:col>8</xdr:col>
      <xdr:colOff>225755</xdr:colOff>
      <xdr:row>103</xdr:row>
      <xdr:rowOff>94819</xdr:rowOff>
    </xdr:to>
    <xdr:pic>
      <xdr:nvPicPr>
        <xdr:cNvPr id="54" name="Picture 53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377005" y="19386570"/>
          <a:ext cx="747321" cy="994231"/>
        </a:xfrm>
        <a:prstGeom prst="rect">
          <a:avLst/>
        </a:prstGeom>
      </xdr:spPr>
    </xdr:pic>
    <xdr:clientData/>
  </xdr:twoCellAnchor>
  <xdr:twoCellAnchor editAs="oneCell">
    <xdr:from>
      <xdr:col>7</xdr:col>
      <xdr:colOff>102095</xdr:colOff>
      <xdr:row>105</xdr:row>
      <xdr:rowOff>62849</xdr:rowOff>
    </xdr:from>
    <xdr:to>
      <xdr:col>8</xdr:col>
      <xdr:colOff>237095</xdr:colOff>
      <xdr:row>110</xdr:row>
      <xdr:rowOff>88401</xdr:rowOff>
    </xdr:to>
    <xdr:pic>
      <xdr:nvPicPr>
        <xdr:cNvPr id="55" name="Picture 54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388345" y="20734367"/>
          <a:ext cx="747321" cy="989391"/>
        </a:xfrm>
        <a:prstGeom prst="rect">
          <a:avLst/>
        </a:prstGeom>
      </xdr:spPr>
    </xdr:pic>
    <xdr:clientData/>
  </xdr:twoCellAnchor>
  <xdr:twoCellAnchor editAs="oneCell">
    <xdr:from>
      <xdr:col>7</xdr:col>
      <xdr:colOff>90756</xdr:colOff>
      <xdr:row>112</xdr:row>
      <xdr:rowOff>56431</xdr:rowOff>
    </xdr:from>
    <xdr:to>
      <xdr:col>8</xdr:col>
      <xdr:colOff>225756</xdr:colOff>
      <xdr:row>117</xdr:row>
      <xdr:rowOff>91785</xdr:rowOff>
    </xdr:to>
    <xdr:pic>
      <xdr:nvPicPr>
        <xdr:cNvPr id="56" name="Picture 55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4377006" y="22077324"/>
          <a:ext cx="747321" cy="999193"/>
        </a:xfrm>
        <a:prstGeom prst="rect">
          <a:avLst/>
        </a:prstGeom>
      </xdr:spPr>
    </xdr:pic>
    <xdr:clientData/>
  </xdr:twoCellAnchor>
  <xdr:twoCellAnchor editAs="oneCell">
    <xdr:from>
      <xdr:col>7</xdr:col>
      <xdr:colOff>90756</xdr:colOff>
      <xdr:row>119</xdr:row>
      <xdr:rowOff>59814</xdr:rowOff>
    </xdr:from>
    <xdr:to>
      <xdr:col>8</xdr:col>
      <xdr:colOff>225756</xdr:colOff>
      <xdr:row>124</xdr:row>
      <xdr:rowOff>98051</xdr:rowOff>
    </xdr:to>
    <xdr:pic>
      <xdr:nvPicPr>
        <xdr:cNvPr id="57" name="Picture 56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377006" y="23430082"/>
          <a:ext cx="747321" cy="1002076"/>
        </a:xfrm>
        <a:prstGeom prst="rect">
          <a:avLst/>
        </a:prstGeom>
      </xdr:spPr>
    </xdr:pic>
    <xdr:clientData/>
  </xdr:twoCellAnchor>
  <xdr:twoCellAnchor editAs="oneCell">
    <xdr:from>
      <xdr:col>7</xdr:col>
      <xdr:colOff>113434</xdr:colOff>
      <xdr:row>126</xdr:row>
      <xdr:rowOff>77420</xdr:rowOff>
    </xdr:from>
    <xdr:to>
      <xdr:col>8</xdr:col>
      <xdr:colOff>248434</xdr:colOff>
      <xdr:row>131</xdr:row>
      <xdr:rowOff>125769</xdr:rowOff>
    </xdr:to>
    <xdr:pic>
      <xdr:nvPicPr>
        <xdr:cNvPr id="58" name="Picture 57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399684" y="24797063"/>
          <a:ext cx="747321" cy="1012188"/>
        </a:xfrm>
        <a:prstGeom prst="rect">
          <a:avLst/>
        </a:prstGeom>
      </xdr:spPr>
    </xdr:pic>
    <xdr:clientData/>
  </xdr:twoCellAnchor>
  <xdr:twoCellAnchor editAs="oneCell">
    <xdr:from>
      <xdr:col>7</xdr:col>
      <xdr:colOff>102095</xdr:colOff>
      <xdr:row>133</xdr:row>
      <xdr:rowOff>82460</xdr:rowOff>
    </xdr:from>
    <xdr:to>
      <xdr:col>8</xdr:col>
      <xdr:colOff>237095</xdr:colOff>
      <xdr:row>138</xdr:row>
      <xdr:rowOff>113222</xdr:rowOff>
    </xdr:to>
    <xdr:pic>
      <xdr:nvPicPr>
        <xdr:cNvPr id="60" name="Picture 59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388345" y="26151478"/>
          <a:ext cx="747321" cy="994601"/>
        </a:xfrm>
        <a:prstGeom prst="rect">
          <a:avLst/>
        </a:prstGeom>
      </xdr:spPr>
    </xdr:pic>
    <xdr:clientData/>
  </xdr:twoCellAnchor>
  <xdr:twoCellAnchor editAs="oneCell">
    <xdr:from>
      <xdr:col>7</xdr:col>
      <xdr:colOff>102095</xdr:colOff>
      <xdr:row>140</xdr:row>
      <xdr:rowOff>58573</xdr:rowOff>
    </xdr:from>
    <xdr:to>
      <xdr:col>8</xdr:col>
      <xdr:colOff>237095</xdr:colOff>
      <xdr:row>145</xdr:row>
      <xdr:rowOff>61037</xdr:rowOff>
    </xdr:to>
    <xdr:pic>
      <xdr:nvPicPr>
        <xdr:cNvPr id="61" name="Picture 60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388345" y="27476966"/>
          <a:ext cx="747321" cy="966303"/>
        </a:xfrm>
        <a:prstGeom prst="rect">
          <a:avLst/>
        </a:prstGeom>
      </xdr:spPr>
    </xdr:pic>
    <xdr:clientData/>
  </xdr:twoCellAnchor>
  <xdr:twoCellAnchor editAs="oneCell">
    <xdr:from>
      <xdr:col>7</xdr:col>
      <xdr:colOff>90756</xdr:colOff>
      <xdr:row>147</xdr:row>
      <xdr:rowOff>97102</xdr:rowOff>
    </xdr:from>
    <xdr:to>
      <xdr:col>8</xdr:col>
      <xdr:colOff>225756</xdr:colOff>
      <xdr:row>152</xdr:row>
      <xdr:rowOff>124253</xdr:rowOff>
    </xdr:to>
    <xdr:pic>
      <xdr:nvPicPr>
        <xdr:cNvPr id="62" name="Picture 61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377006" y="28864870"/>
          <a:ext cx="747321" cy="990990"/>
        </a:xfrm>
        <a:prstGeom prst="rect">
          <a:avLst/>
        </a:prstGeom>
      </xdr:spPr>
    </xdr:pic>
    <xdr:clientData/>
  </xdr:twoCellAnchor>
  <xdr:twoCellAnchor editAs="oneCell">
    <xdr:from>
      <xdr:col>7</xdr:col>
      <xdr:colOff>113434</xdr:colOff>
      <xdr:row>154</xdr:row>
      <xdr:rowOff>69604</xdr:rowOff>
    </xdr:from>
    <xdr:to>
      <xdr:col>8</xdr:col>
      <xdr:colOff>248434</xdr:colOff>
      <xdr:row>159</xdr:row>
      <xdr:rowOff>104586</xdr:rowOff>
    </xdr:to>
    <xdr:pic>
      <xdr:nvPicPr>
        <xdr:cNvPr id="63" name="Picture 62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399684" y="30186747"/>
          <a:ext cx="747321" cy="998821"/>
        </a:xfrm>
        <a:prstGeom prst="rect">
          <a:avLst/>
        </a:prstGeom>
      </xdr:spPr>
    </xdr:pic>
    <xdr:clientData/>
  </xdr:twoCellAnchor>
  <xdr:twoCellAnchor editAs="oneCell">
    <xdr:from>
      <xdr:col>7</xdr:col>
      <xdr:colOff>90755</xdr:colOff>
      <xdr:row>161</xdr:row>
      <xdr:rowOff>72616</xdr:rowOff>
    </xdr:from>
    <xdr:to>
      <xdr:col>8</xdr:col>
      <xdr:colOff>225755</xdr:colOff>
      <xdr:row>166</xdr:row>
      <xdr:rowOff>105136</xdr:rowOff>
    </xdr:to>
    <xdr:pic>
      <xdr:nvPicPr>
        <xdr:cNvPr id="1024" name="Picture 1023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77005" y="31539134"/>
          <a:ext cx="747321" cy="996359"/>
        </a:xfrm>
        <a:prstGeom prst="rect">
          <a:avLst/>
        </a:prstGeom>
      </xdr:spPr>
    </xdr:pic>
    <xdr:clientData/>
  </xdr:twoCellAnchor>
  <xdr:twoCellAnchor editAs="oneCell">
    <xdr:from>
      <xdr:col>7</xdr:col>
      <xdr:colOff>102095</xdr:colOff>
      <xdr:row>168</xdr:row>
      <xdr:rowOff>61827</xdr:rowOff>
    </xdr:from>
    <xdr:to>
      <xdr:col>8</xdr:col>
      <xdr:colOff>237095</xdr:colOff>
      <xdr:row>173</xdr:row>
      <xdr:rowOff>97182</xdr:rowOff>
    </xdr:to>
    <xdr:pic>
      <xdr:nvPicPr>
        <xdr:cNvPr id="1027" name="Picture 1026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88345" y="32877720"/>
          <a:ext cx="747321" cy="999194"/>
        </a:xfrm>
        <a:prstGeom prst="rect">
          <a:avLst/>
        </a:prstGeom>
      </xdr:spPr>
    </xdr:pic>
    <xdr:clientData/>
  </xdr:twoCellAnchor>
  <xdr:twoCellAnchor editAs="oneCell">
    <xdr:from>
      <xdr:col>7</xdr:col>
      <xdr:colOff>113434</xdr:colOff>
      <xdr:row>175</xdr:row>
      <xdr:rowOff>87890</xdr:rowOff>
    </xdr:from>
    <xdr:to>
      <xdr:col>8</xdr:col>
      <xdr:colOff>248434</xdr:colOff>
      <xdr:row>180</xdr:row>
      <xdr:rowOff>108816</xdr:rowOff>
    </xdr:to>
    <xdr:pic>
      <xdr:nvPicPr>
        <xdr:cNvPr id="1028" name="Picture 1027"/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99684" y="34253158"/>
          <a:ext cx="747321" cy="984765"/>
        </a:xfrm>
        <a:prstGeom prst="rect">
          <a:avLst/>
        </a:prstGeom>
      </xdr:spPr>
    </xdr:pic>
    <xdr:clientData/>
  </xdr:twoCellAnchor>
  <xdr:twoCellAnchor editAs="oneCell">
    <xdr:from>
      <xdr:col>7</xdr:col>
      <xdr:colOff>90756</xdr:colOff>
      <xdr:row>182</xdr:row>
      <xdr:rowOff>65506</xdr:rowOff>
    </xdr:from>
    <xdr:to>
      <xdr:col>8</xdr:col>
      <xdr:colOff>225756</xdr:colOff>
      <xdr:row>187</xdr:row>
      <xdr:rowOff>88355</xdr:rowOff>
    </xdr:to>
    <xdr:pic>
      <xdr:nvPicPr>
        <xdr:cNvPr id="1029" name="Picture 1028"/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4377006" y="35580149"/>
          <a:ext cx="747321" cy="986688"/>
        </a:xfrm>
        <a:prstGeom prst="rect">
          <a:avLst/>
        </a:prstGeom>
      </xdr:spPr>
    </xdr:pic>
    <xdr:clientData/>
  </xdr:twoCellAnchor>
  <xdr:twoCellAnchor editAs="oneCell">
    <xdr:from>
      <xdr:col>7</xdr:col>
      <xdr:colOff>90755</xdr:colOff>
      <xdr:row>189</xdr:row>
      <xdr:rowOff>79064</xdr:rowOff>
    </xdr:from>
    <xdr:to>
      <xdr:col>8</xdr:col>
      <xdr:colOff>225755</xdr:colOff>
      <xdr:row>194</xdr:row>
      <xdr:rowOff>116567</xdr:rowOff>
    </xdr:to>
    <xdr:pic>
      <xdr:nvPicPr>
        <xdr:cNvPr id="1030" name="Picture 1029"/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4377005" y="36943082"/>
          <a:ext cx="747321" cy="1001342"/>
        </a:xfrm>
        <a:prstGeom prst="rect">
          <a:avLst/>
        </a:prstGeom>
      </xdr:spPr>
    </xdr:pic>
    <xdr:clientData/>
  </xdr:twoCellAnchor>
  <xdr:twoCellAnchor editAs="oneCell">
    <xdr:from>
      <xdr:col>7</xdr:col>
      <xdr:colOff>113434</xdr:colOff>
      <xdr:row>196</xdr:row>
      <xdr:rowOff>61918</xdr:rowOff>
    </xdr:from>
    <xdr:to>
      <xdr:col>8</xdr:col>
      <xdr:colOff>248434</xdr:colOff>
      <xdr:row>201</xdr:row>
      <xdr:rowOff>86786</xdr:rowOff>
    </xdr:to>
    <xdr:pic>
      <xdr:nvPicPr>
        <xdr:cNvPr id="1031" name="Picture 1030"/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399684" y="38275311"/>
          <a:ext cx="747321" cy="988707"/>
        </a:xfrm>
        <a:prstGeom prst="rect">
          <a:avLst/>
        </a:prstGeom>
      </xdr:spPr>
    </xdr:pic>
    <xdr:clientData/>
  </xdr:twoCellAnchor>
  <xdr:twoCellAnchor editAs="oneCell">
    <xdr:from>
      <xdr:col>7</xdr:col>
      <xdr:colOff>124773</xdr:colOff>
      <xdr:row>203</xdr:row>
      <xdr:rowOff>54816</xdr:rowOff>
    </xdr:from>
    <xdr:to>
      <xdr:col>8</xdr:col>
      <xdr:colOff>259773</xdr:colOff>
      <xdr:row>208</xdr:row>
      <xdr:rowOff>90621</xdr:rowOff>
    </xdr:to>
    <xdr:pic>
      <xdr:nvPicPr>
        <xdr:cNvPr id="1032" name="Picture 1031"/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4411023" y="39617584"/>
          <a:ext cx="747321" cy="999644"/>
        </a:xfrm>
        <a:prstGeom prst="rect">
          <a:avLst/>
        </a:prstGeom>
      </xdr:spPr>
    </xdr:pic>
    <xdr:clientData/>
  </xdr:twoCellAnchor>
  <xdr:twoCellAnchor editAs="oneCell">
    <xdr:from>
      <xdr:col>7</xdr:col>
      <xdr:colOff>124774</xdr:colOff>
      <xdr:row>210</xdr:row>
      <xdr:rowOff>92668</xdr:rowOff>
    </xdr:from>
    <xdr:to>
      <xdr:col>8</xdr:col>
      <xdr:colOff>259774</xdr:colOff>
      <xdr:row>215</xdr:row>
      <xdr:rowOff>152598</xdr:rowOff>
    </xdr:to>
    <xdr:pic>
      <xdr:nvPicPr>
        <xdr:cNvPr id="1033" name="Picture 1032"/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4411024" y="41004811"/>
          <a:ext cx="747321" cy="1023769"/>
        </a:xfrm>
        <a:prstGeom prst="rect">
          <a:avLst/>
        </a:prstGeom>
      </xdr:spPr>
    </xdr:pic>
    <xdr:clientData/>
  </xdr:twoCellAnchor>
  <xdr:twoCellAnchor editAs="oneCell">
    <xdr:from>
      <xdr:col>7</xdr:col>
      <xdr:colOff>136112</xdr:colOff>
      <xdr:row>217</xdr:row>
      <xdr:rowOff>75270</xdr:rowOff>
    </xdr:from>
    <xdr:to>
      <xdr:col>8</xdr:col>
      <xdr:colOff>271112</xdr:colOff>
      <xdr:row>222</xdr:row>
      <xdr:rowOff>118388</xdr:rowOff>
    </xdr:to>
    <xdr:pic>
      <xdr:nvPicPr>
        <xdr:cNvPr id="1034" name="Picture 1033"/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4422362" y="42336788"/>
          <a:ext cx="747321" cy="1006957"/>
        </a:xfrm>
        <a:prstGeom prst="rect">
          <a:avLst/>
        </a:prstGeom>
      </xdr:spPr>
    </xdr:pic>
    <xdr:clientData/>
  </xdr:twoCellAnchor>
  <xdr:twoCellAnchor editAs="oneCell">
    <xdr:from>
      <xdr:col>7</xdr:col>
      <xdr:colOff>113434</xdr:colOff>
      <xdr:row>224</xdr:row>
      <xdr:rowOff>120436</xdr:rowOff>
    </xdr:from>
    <xdr:to>
      <xdr:col>8</xdr:col>
      <xdr:colOff>248434</xdr:colOff>
      <xdr:row>229</xdr:row>
      <xdr:rowOff>173617</xdr:rowOff>
    </xdr:to>
    <xdr:pic>
      <xdr:nvPicPr>
        <xdr:cNvPr id="1035" name="Picture 1034"/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4399684" y="43731329"/>
          <a:ext cx="747321" cy="1017020"/>
        </a:xfrm>
        <a:prstGeom prst="rect">
          <a:avLst/>
        </a:prstGeom>
      </xdr:spPr>
    </xdr:pic>
    <xdr:clientData/>
  </xdr:twoCellAnchor>
  <xdr:twoCellAnchor editAs="oneCell">
    <xdr:from>
      <xdr:col>7</xdr:col>
      <xdr:colOff>79416</xdr:colOff>
      <xdr:row>231</xdr:row>
      <xdr:rowOff>118968</xdr:rowOff>
    </xdr:from>
    <xdr:to>
      <xdr:col>8</xdr:col>
      <xdr:colOff>214416</xdr:colOff>
      <xdr:row>236</xdr:row>
      <xdr:rowOff>144658</xdr:rowOff>
    </xdr:to>
    <xdr:pic>
      <xdr:nvPicPr>
        <xdr:cNvPr id="1036" name="Picture 1035"/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4365666" y="45079236"/>
          <a:ext cx="747321" cy="989529"/>
        </a:xfrm>
        <a:prstGeom prst="rect">
          <a:avLst/>
        </a:prstGeom>
      </xdr:spPr>
    </xdr:pic>
    <xdr:clientData/>
  </xdr:twoCellAnchor>
  <xdr:twoCellAnchor editAs="oneCell">
    <xdr:from>
      <xdr:col>7</xdr:col>
      <xdr:colOff>68077</xdr:colOff>
      <xdr:row>238</xdr:row>
      <xdr:rowOff>112688</xdr:rowOff>
    </xdr:from>
    <xdr:to>
      <xdr:col>8</xdr:col>
      <xdr:colOff>203077</xdr:colOff>
      <xdr:row>243</xdr:row>
      <xdr:rowOff>145579</xdr:rowOff>
    </xdr:to>
    <xdr:pic>
      <xdr:nvPicPr>
        <xdr:cNvPr id="1037" name="Picture 1036"/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354327" y="46422331"/>
          <a:ext cx="747321" cy="996730"/>
        </a:xfrm>
        <a:prstGeom prst="rect">
          <a:avLst/>
        </a:prstGeom>
      </xdr:spPr>
    </xdr:pic>
    <xdr:clientData/>
  </xdr:twoCellAnchor>
  <xdr:twoCellAnchor editAs="oneCell">
    <xdr:from>
      <xdr:col>7</xdr:col>
      <xdr:colOff>102095</xdr:colOff>
      <xdr:row>245</xdr:row>
      <xdr:rowOff>79591</xdr:rowOff>
    </xdr:from>
    <xdr:to>
      <xdr:col>8</xdr:col>
      <xdr:colOff>237095</xdr:colOff>
      <xdr:row>250</xdr:row>
      <xdr:rowOff>114230</xdr:rowOff>
    </xdr:to>
    <xdr:pic>
      <xdr:nvPicPr>
        <xdr:cNvPr id="1039" name="Picture 1038"/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4388345" y="47738609"/>
          <a:ext cx="747321" cy="998478"/>
        </a:xfrm>
        <a:prstGeom prst="rect">
          <a:avLst/>
        </a:prstGeom>
      </xdr:spPr>
    </xdr:pic>
    <xdr:clientData/>
  </xdr:twoCellAnchor>
  <xdr:twoCellAnchor editAs="oneCell">
    <xdr:from>
      <xdr:col>7</xdr:col>
      <xdr:colOff>68077</xdr:colOff>
      <xdr:row>252</xdr:row>
      <xdr:rowOff>104938</xdr:rowOff>
    </xdr:from>
    <xdr:to>
      <xdr:col>8</xdr:col>
      <xdr:colOff>203077</xdr:colOff>
      <xdr:row>257</xdr:row>
      <xdr:rowOff>150284</xdr:rowOff>
    </xdr:to>
    <xdr:pic>
      <xdr:nvPicPr>
        <xdr:cNvPr id="1040" name="Picture 1039"/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4354327" y="49113331"/>
          <a:ext cx="747321" cy="1009185"/>
        </a:xfrm>
        <a:prstGeom prst="rect">
          <a:avLst/>
        </a:prstGeom>
      </xdr:spPr>
    </xdr:pic>
    <xdr:clientData/>
  </xdr:twoCellAnchor>
  <xdr:twoCellAnchor editAs="oneCell">
    <xdr:from>
      <xdr:col>7</xdr:col>
      <xdr:colOff>79417</xdr:colOff>
      <xdr:row>259</xdr:row>
      <xdr:rowOff>106975</xdr:rowOff>
    </xdr:from>
    <xdr:to>
      <xdr:col>8</xdr:col>
      <xdr:colOff>214417</xdr:colOff>
      <xdr:row>264</xdr:row>
      <xdr:rowOff>159708</xdr:rowOff>
    </xdr:to>
    <xdr:pic>
      <xdr:nvPicPr>
        <xdr:cNvPr id="1041" name="Picture 1040"/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4365667" y="50464743"/>
          <a:ext cx="747321" cy="1016572"/>
        </a:xfrm>
        <a:prstGeom prst="rect">
          <a:avLst/>
        </a:prstGeom>
      </xdr:spPr>
    </xdr:pic>
    <xdr:clientData/>
  </xdr:twoCellAnchor>
  <xdr:twoCellAnchor editAs="oneCell">
    <xdr:from>
      <xdr:col>7</xdr:col>
      <xdr:colOff>90756</xdr:colOff>
      <xdr:row>266</xdr:row>
      <xdr:rowOff>105058</xdr:rowOff>
    </xdr:from>
    <xdr:to>
      <xdr:col>8</xdr:col>
      <xdr:colOff>225756</xdr:colOff>
      <xdr:row>271</xdr:row>
      <xdr:rowOff>122928</xdr:rowOff>
    </xdr:to>
    <xdr:pic>
      <xdr:nvPicPr>
        <xdr:cNvPr id="1042" name="Picture 1041"/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4377006" y="51812201"/>
          <a:ext cx="747321" cy="981709"/>
        </a:xfrm>
        <a:prstGeom prst="rect">
          <a:avLst/>
        </a:prstGeom>
      </xdr:spPr>
    </xdr:pic>
    <xdr:clientData/>
  </xdr:twoCellAnchor>
  <xdr:twoCellAnchor editAs="oneCell">
    <xdr:from>
      <xdr:col>7</xdr:col>
      <xdr:colOff>136113</xdr:colOff>
      <xdr:row>273</xdr:row>
      <xdr:rowOff>90958</xdr:rowOff>
    </xdr:from>
    <xdr:to>
      <xdr:col>8</xdr:col>
      <xdr:colOff>271113</xdr:colOff>
      <xdr:row>278</xdr:row>
      <xdr:rowOff>96212</xdr:rowOff>
    </xdr:to>
    <xdr:pic>
      <xdr:nvPicPr>
        <xdr:cNvPr id="1043" name="Picture 1042"/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22363" y="53147476"/>
          <a:ext cx="747321" cy="969093"/>
        </a:xfrm>
        <a:prstGeom prst="rect">
          <a:avLst/>
        </a:prstGeom>
      </xdr:spPr>
    </xdr:pic>
    <xdr:clientData/>
  </xdr:twoCellAnchor>
  <xdr:twoCellAnchor editAs="oneCell">
    <xdr:from>
      <xdr:col>7</xdr:col>
      <xdr:colOff>124773</xdr:colOff>
      <xdr:row>280</xdr:row>
      <xdr:rowOff>109599</xdr:rowOff>
    </xdr:from>
    <xdr:to>
      <xdr:col>8</xdr:col>
      <xdr:colOff>259773</xdr:colOff>
      <xdr:row>285</xdr:row>
      <xdr:rowOff>152355</xdr:rowOff>
    </xdr:to>
    <xdr:pic>
      <xdr:nvPicPr>
        <xdr:cNvPr id="1044" name="Picture 1043"/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4411023" y="54515492"/>
          <a:ext cx="747321" cy="1006595"/>
        </a:xfrm>
        <a:prstGeom prst="rect">
          <a:avLst/>
        </a:prstGeom>
      </xdr:spPr>
    </xdr:pic>
    <xdr:clientData/>
  </xdr:twoCellAnchor>
  <xdr:twoCellAnchor editAs="oneCell">
    <xdr:from>
      <xdr:col>7</xdr:col>
      <xdr:colOff>102095</xdr:colOff>
      <xdr:row>287</xdr:row>
      <xdr:rowOff>52349</xdr:rowOff>
    </xdr:from>
    <xdr:to>
      <xdr:col>8</xdr:col>
      <xdr:colOff>237095</xdr:colOff>
      <xdr:row>292</xdr:row>
      <xdr:rowOff>60908</xdr:rowOff>
    </xdr:to>
    <xdr:pic>
      <xdr:nvPicPr>
        <xdr:cNvPr id="1045" name="Picture 1044"/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4388345" y="55807617"/>
          <a:ext cx="747321" cy="972398"/>
        </a:xfrm>
        <a:prstGeom prst="rect">
          <a:avLst/>
        </a:prstGeom>
      </xdr:spPr>
    </xdr:pic>
    <xdr:clientData/>
  </xdr:twoCellAnchor>
  <xdr:twoCellAnchor editAs="oneCell">
    <xdr:from>
      <xdr:col>7</xdr:col>
      <xdr:colOff>147452</xdr:colOff>
      <xdr:row>294</xdr:row>
      <xdr:rowOff>74295</xdr:rowOff>
    </xdr:from>
    <xdr:to>
      <xdr:col>8</xdr:col>
      <xdr:colOff>282452</xdr:colOff>
      <xdr:row>299</xdr:row>
      <xdr:rowOff>75379</xdr:rowOff>
    </xdr:to>
    <xdr:pic>
      <xdr:nvPicPr>
        <xdr:cNvPr id="1046" name="Picture 1045"/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433702" y="57178938"/>
          <a:ext cx="747321" cy="964923"/>
        </a:xfrm>
        <a:prstGeom prst="rect">
          <a:avLst/>
        </a:prstGeom>
      </xdr:spPr>
    </xdr:pic>
    <xdr:clientData/>
  </xdr:twoCellAnchor>
  <xdr:twoCellAnchor editAs="oneCell">
    <xdr:from>
      <xdr:col>7</xdr:col>
      <xdr:colOff>90756</xdr:colOff>
      <xdr:row>301</xdr:row>
      <xdr:rowOff>111445</xdr:rowOff>
    </xdr:from>
    <xdr:to>
      <xdr:col>8</xdr:col>
      <xdr:colOff>225756</xdr:colOff>
      <xdr:row>306</xdr:row>
      <xdr:rowOff>114435</xdr:rowOff>
    </xdr:to>
    <xdr:pic>
      <xdr:nvPicPr>
        <xdr:cNvPr id="1047" name="Picture 1046"/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4377006" y="58565463"/>
          <a:ext cx="747321" cy="966829"/>
        </a:xfrm>
        <a:prstGeom prst="rect">
          <a:avLst/>
        </a:prstGeom>
      </xdr:spPr>
    </xdr:pic>
    <xdr:clientData/>
  </xdr:twoCellAnchor>
  <xdr:twoCellAnchor editAs="oneCell">
    <xdr:from>
      <xdr:col>7</xdr:col>
      <xdr:colOff>102095</xdr:colOff>
      <xdr:row>308</xdr:row>
      <xdr:rowOff>116482</xdr:rowOff>
    </xdr:from>
    <xdr:to>
      <xdr:col>8</xdr:col>
      <xdr:colOff>237095</xdr:colOff>
      <xdr:row>313</xdr:row>
      <xdr:rowOff>127033</xdr:rowOff>
    </xdr:to>
    <xdr:pic>
      <xdr:nvPicPr>
        <xdr:cNvPr id="1048" name="Picture 1047"/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4388345" y="59919875"/>
          <a:ext cx="747321" cy="974390"/>
        </a:xfrm>
        <a:prstGeom prst="rect">
          <a:avLst/>
        </a:prstGeom>
      </xdr:spPr>
    </xdr:pic>
    <xdr:clientData/>
  </xdr:twoCellAnchor>
  <xdr:twoCellAnchor editAs="oneCell">
    <xdr:from>
      <xdr:col>7</xdr:col>
      <xdr:colOff>124774</xdr:colOff>
      <xdr:row>315</xdr:row>
      <xdr:rowOff>129080</xdr:rowOff>
    </xdr:from>
    <xdr:to>
      <xdr:col>8</xdr:col>
      <xdr:colOff>259774</xdr:colOff>
      <xdr:row>320</xdr:row>
      <xdr:rowOff>178195</xdr:rowOff>
    </xdr:to>
    <xdr:pic>
      <xdr:nvPicPr>
        <xdr:cNvPr id="1049" name="Picture 1048"/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411024" y="61281848"/>
          <a:ext cx="747321" cy="1012954"/>
        </a:xfrm>
        <a:prstGeom prst="rect">
          <a:avLst/>
        </a:prstGeom>
      </xdr:spPr>
    </xdr:pic>
    <xdr:clientData/>
  </xdr:twoCellAnchor>
  <xdr:twoCellAnchor editAs="oneCell">
    <xdr:from>
      <xdr:col>7</xdr:col>
      <xdr:colOff>124773</xdr:colOff>
      <xdr:row>322</xdr:row>
      <xdr:rowOff>100869</xdr:rowOff>
    </xdr:from>
    <xdr:to>
      <xdr:col>8</xdr:col>
      <xdr:colOff>259773</xdr:colOff>
      <xdr:row>327</xdr:row>
      <xdr:rowOff>119474</xdr:rowOff>
    </xdr:to>
    <xdr:pic>
      <xdr:nvPicPr>
        <xdr:cNvPr id="1050" name="Picture 1049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4411023" y="62603012"/>
          <a:ext cx="747321" cy="982444"/>
        </a:xfrm>
        <a:prstGeom prst="rect">
          <a:avLst/>
        </a:prstGeom>
      </xdr:spPr>
    </xdr:pic>
    <xdr:clientData/>
  </xdr:twoCellAnchor>
  <xdr:twoCellAnchor editAs="oneCell">
    <xdr:from>
      <xdr:col>7</xdr:col>
      <xdr:colOff>113434</xdr:colOff>
      <xdr:row>329</xdr:row>
      <xdr:rowOff>155538</xdr:rowOff>
    </xdr:from>
    <xdr:to>
      <xdr:col>8</xdr:col>
      <xdr:colOff>248434</xdr:colOff>
      <xdr:row>334</xdr:row>
      <xdr:rowOff>180741</xdr:rowOff>
    </xdr:to>
    <xdr:pic>
      <xdr:nvPicPr>
        <xdr:cNvPr id="1051" name="Picture 1050"/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4399684" y="64007056"/>
          <a:ext cx="747321" cy="989042"/>
        </a:xfrm>
        <a:prstGeom prst="rect">
          <a:avLst/>
        </a:prstGeom>
      </xdr:spPr>
    </xdr:pic>
    <xdr:clientData/>
  </xdr:twoCellAnchor>
  <xdr:twoCellAnchor editAs="oneCell">
    <xdr:from>
      <xdr:col>7</xdr:col>
      <xdr:colOff>170131</xdr:colOff>
      <xdr:row>336</xdr:row>
      <xdr:rowOff>92075</xdr:rowOff>
    </xdr:from>
    <xdr:to>
      <xdr:col>8</xdr:col>
      <xdr:colOff>305131</xdr:colOff>
      <xdr:row>341</xdr:row>
      <xdr:rowOff>141987</xdr:rowOff>
    </xdr:to>
    <xdr:pic>
      <xdr:nvPicPr>
        <xdr:cNvPr id="1052" name="Picture 1051"/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4456381" y="65292968"/>
          <a:ext cx="747321" cy="1013751"/>
        </a:xfrm>
        <a:prstGeom prst="rect">
          <a:avLst/>
        </a:prstGeom>
      </xdr:spPr>
    </xdr:pic>
    <xdr:clientData/>
  </xdr:twoCellAnchor>
  <xdr:twoCellAnchor editAs="oneCell">
    <xdr:from>
      <xdr:col>7</xdr:col>
      <xdr:colOff>147452</xdr:colOff>
      <xdr:row>343</xdr:row>
      <xdr:rowOff>144034</xdr:rowOff>
    </xdr:from>
    <xdr:to>
      <xdr:col>8</xdr:col>
      <xdr:colOff>282452</xdr:colOff>
      <xdr:row>348</xdr:row>
      <xdr:rowOff>177575</xdr:rowOff>
    </xdr:to>
    <xdr:pic>
      <xdr:nvPicPr>
        <xdr:cNvPr id="1053" name="Picture 1052"/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4433702" y="66694302"/>
          <a:ext cx="747321" cy="997380"/>
        </a:xfrm>
        <a:prstGeom prst="rect">
          <a:avLst/>
        </a:prstGeom>
      </xdr:spPr>
    </xdr:pic>
    <xdr:clientData/>
  </xdr:twoCellAnchor>
  <xdr:twoCellAnchor editAs="oneCell">
    <xdr:from>
      <xdr:col>7</xdr:col>
      <xdr:colOff>170131</xdr:colOff>
      <xdr:row>350</xdr:row>
      <xdr:rowOff>111587</xdr:rowOff>
    </xdr:from>
    <xdr:to>
      <xdr:col>8</xdr:col>
      <xdr:colOff>305131</xdr:colOff>
      <xdr:row>355</xdr:row>
      <xdr:rowOff>144107</xdr:rowOff>
    </xdr:to>
    <xdr:pic>
      <xdr:nvPicPr>
        <xdr:cNvPr id="1054" name="Picture 1053"/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4456381" y="68011230"/>
          <a:ext cx="747321" cy="996359"/>
        </a:xfrm>
        <a:prstGeom prst="rect">
          <a:avLst/>
        </a:prstGeom>
      </xdr:spPr>
    </xdr:pic>
    <xdr:clientData/>
  </xdr:twoCellAnchor>
  <xdr:twoCellAnchor editAs="oneCell">
    <xdr:from>
      <xdr:col>7</xdr:col>
      <xdr:colOff>113435</xdr:colOff>
      <xdr:row>357</xdr:row>
      <xdr:rowOff>78120</xdr:rowOff>
    </xdr:from>
    <xdr:to>
      <xdr:col>8</xdr:col>
      <xdr:colOff>248435</xdr:colOff>
      <xdr:row>362</xdr:row>
      <xdr:rowOff>129408</xdr:rowOff>
    </xdr:to>
    <xdr:pic>
      <xdr:nvPicPr>
        <xdr:cNvPr id="1055" name="Picture 1054"/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4399685" y="69327138"/>
          <a:ext cx="747321" cy="1015127"/>
        </a:xfrm>
        <a:prstGeom prst="rect">
          <a:avLst/>
        </a:prstGeom>
      </xdr:spPr>
    </xdr:pic>
    <xdr:clientData/>
  </xdr:twoCellAnchor>
  <xdr:twoCellAnchor editAs="oneCell">
    <xdr:from>
      <xdr:col>0</xdr:col>
      <xdr:colOff>113392</xdr:colOff>
      <xdr:row>0</xdr:row>
      <xdr:rowOff>0</xdr:rowOff>
    </xdr:from>
    <xdr:to>
      <xdr:col>4</xdr:col>
      <xdr:colOff>472826</xdr:colOff>
      <xdr:row>12</xdr:row>
      <xdr:rowOff>69328</xdr:rowOff>
    </xdr:to>
    <xdr:pic>
      <xdr:nvPicPr>
        <xdr:cNvPr id="97" name="Picture 96" descr="Image result for playing cards"/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92" y="0"/>
          <a:ext cx="2808720" cy="27680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147452</xdr:colOff>
      <xdr:row>364</xdr:row>
      <xdr:rowOff>120134</xdr:rowOff>
    </xdr:from>
    <xdr:to>
      <xdr:col>8</xdr:col>
      <xdr:colOff>282452</xdr:colOff>
      <xdr:row>369</xdr:row>
      <xdr:rowOff>172000</xdr:rowOff>
    </xdr:to>
    <xdr:pic>
      <xdr:nvPicPr>
        <xdr:cNvPr id="1056" name="Picture 1055"/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433702" y="70718527"/>
          <a:ext cx="747321" cy="101570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82"/>
  <sheetViews>
    <sheetView tabSelected="1" topLeftCell="B1" zoomScale="89" zoomScaleNormal="89" workbookViewId="0">
      <selection activeCell="E26" sqref="E26"/>
    </sheetView>
  </sheetViews>
  <sheetFormatPr defaultColWidth="0" defaultRowHeight="15" zeroHeight="1" x14ac:dyDescent="0.25"/>
  <cols>
    <col min="1" max="1" width="14.28515625" style="15" hidden="1" customWidth="1"/>
    <col min="2" max="8" width="9.140625" style="15" customWidth="1"/>
    <col min="9" max="12" width="9.42578125" style="15" customWidth="1"/>
    <col min="13" max="20" width="9.140625" style="15" customWidth="1"/>
    <col min="21" max="21" width="13" style="15" hidden="1"/>
    <col min="22" max="16384" width="9.140625" style="15" hidden="1"/>
  </cols>
  <sheetData>
    <row r="1" spans="3:19" s="2" customFormat="1" x14ac:dyDescent="0.25"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3:19" s="2" customFormat="1" x14ac:dyDescent="0.25">
      <c r="C2" s="16"/>
      <c r="D2" s="33" t="str">
        <f>D67</f>
        <v xml:space="preserve">Flush </v>
      </c>
      <c r="E2" s="33"/>
      <c r="F2" s="33"/>
      <c r="G2" s="33"/>
      <c r="H2" s="33"/>
      <c r="I2" s="33"/>
      <c r="J2" s="33" t="str">
        <f>IF(K28=0,"",INDEX(U80:U82,MATCH(J66,T80:T82,0)))</f>
        <v/>
      </c>
      <c r="K2" s="33"/>
      <c r="L2" s="33"/>
      <c r="M2" s="33" t="str">
        <f>IF(K28=0,"",M67)</f>
        <v/>
      </c>
      <c r="N2" s="33"/>
      <c r="O2" s="33"/>
      <c r="P2" s="33"/>
      <c r="Q2" s="33"/>
      <c r="R2" s="33"/>
      <c r="S2" s="16"/>
    </row>
    <row r="3" spans="3:19" s="2" customFormat="1" x14ac:dyDescent="0.25">
      <c r="C3" s="16"/>
      <c r="D3" s="16"/>
      <c r="E3" s="16"/>
      <c r="F3" s="16"/>
      <c r="G3" s="16"/>
      <c r="H3" s="16"/>
      <c r="I3" s="16"/>
      <c r="J3" s="33" t="s">
        <v>122</v>
      </c>
      <c r="K3" s="33"/>
      <c r="L3" s="33"/>
      <c r="M3" s="16"/>
      <c r="N3" s="16"/>
      <c r="O3" s="16"/>
      <c r="P3" s="16"/>
      <c r="Q3" s="16"/>
      <c r="R3" s="16"/>
      <c r="S3" s="16"/>
    </row>
    <row r="4" spans="3:19" s="2" customFormat="1" x14ac:dyDescent="0.25">
      <c r="C4" s="16"/>
      <c r="D4" s="35" t="s">
        <v>12</v>
      </c>
      <c r="E4" s="36"/>
      <c r="F4" s="36"/>
      <c r="G4" s="36"/>
      <c r="H4" s="36"/>
      <c r="I4" s="37"/>
      <c r="J4" s="16"/>
      <c r="K4" s="16"/>
      <c r="L4" s="16"/>
      <c r="M4" s="35" t="s">
        <v>73</v>
      </c>
      <c r="N4" s="36"/>
      <c r="O4" s="36"/>
      <c r="P4" s="36"/>
      <c r="Q4" s="36"/>
      <c r="R4" s="37"/>
      <c r="S4" s="16"/>
    </row>
    <row r="5" spans="3:19" s="2" customFormat="1" x14ac:dyDescent="0.25">
      <c r="C5" s="16"/>
      <c r="D5" s="38"/>
      <c r="E5" s="39"/>
      <c r="F5" s="38"/>
      <c r="G5" s="39"/>
      <c r="H5" s="38"/>
      <c r="I5" s="39"/>
      <c r="J5" s="16"/>
      <c r="K5" s="16"/>
      <c r="L5" s="16"/>
      <c r="M5" s="38"/>
      <c r="N5" s="39"/>
      <c r="O5" s="38"/>
      <c r="P5" s="39"/>
      <c r="Q5" s="38"/>
      <c r="R5" s="39"/>
      <c r="S5" s="16"/>
    </row>
    <row r="6" spans="3:19" s="2" customFormat="1" x14ac:dyDescent="0.25">
      <c r="C6" s="16"/>
      <c r="D6" s="40"/>
      <c r="E6" s="41"/>
      <c r="F6" s="40"/>
      <c r="G6" s="41"/>
      <c r="H6" s="40"/>
      <c r="I6" s="41"/>
      <c r="J6" s="16"/>
      <c r="K6" s="16"/>
      <c r="L6" s="16"/>
      <c r="M6" s="40"/>
      <c r="N6" s="41"/>
      <c r="O6" s="40"/>
      <c r="P6" s="41"/>
      <c r="Q6" s="40"/>
      <c r="R6" s="41"/>
      <c r="S6" s="16"/>
    </row>
    <row r="7" spans="3:19" s="2" customFormat="1" x14ac:dyDescent="0.25">
      <c r="C7" s="16"/>
      <c r="D7" s="40"/>
      <c r="E7" s="41"/>
      <c r="F7" s="40"/>
      <c r="G7" s="41"/>
      <c r="H7" s="40"/>
      <c r="I7" s="41"/>
      <c r="J7" s="16"/>
      <c r="K7" s="16"/>
      <c r="L7" s="16"/>
      <c r="M7" s="40"/>
      <c r="N7" s="41"/>
      <c r="O7" s="40"/>
      <c r="P7" s="41"/>
      <c r="Q7" s="40"/>
      <c r="R7" s="41"/>
      <c r="S7" s="16"/>
    </row>
    <row r="8" spans="3:19" s="2" customFormat="1" x14ac:dyDescent="0.25">
      <c r="C8" s="16"/>
      <c r="D8" s="40"/>
      <c r="E8" s="41"/>
      <c r="F8" s="40"/>
      <c r="G8" s="41"/>
      <c r="H8" s="40"/>
      <c r="I8" s="41"/>
      <c r="J8" s="16"/>
      <c r="K8" s="16"/>
      <c r="L8" s="16"/>
      <c r="M8" s="40"/>
      <c r="N8" s="41"/>
      <c r="O8" s="40"/>
      <c r="P8" s="41"/>
      <c r="Q8" s="40"/>
      <c r="R8" s="41"/>
      <c r="S8" s="16"/>
    </row>
    <row r="9" spans="3:19" s="2" customFormat="1" x14ac:dyDescent="0.25">
      <c r="C9" s="16"/>
      <c r="D9" s="40"/>
      <c r="E9" s="41"/>
      <c r="F9" s="40"/>
      <c r="G9" s="41"/>
      <c r="H9" s="40"/>
      <c r="I9" s="41"/>
      <c r="J9" s="16"/>
      <c r="K9" s="16"/>
      <c r="L9" s="16"/>
      <c r="M9" s="40"/>
      <c r="N9" s="41"/>
      <c r="O9" s="40"/>
      <c r="P9" s="41"/>
      <c r="Q9" s="40"/>
      <c r="R9" s="41"/>
      <c r="S9" s="16"/>
    </row>
    <row r="10" spans="3:19" s="2" customFormat="1" x14ac:dyDescent="0.25">
      <c r="C10" s="16"/>
      <c r="D10" s="40"/>
      <c r="E10" s="41"/>
      <c r="F10" s="40"/>
      <c r="G10" s="41"/>
      <c r="H10" s="40"/>
      <c r="I10" s="41"/>
      <c r="J10" s="16"/>
      <c r="K10" s="16"/>
      <c r="L10" s="16"/>
      <c r="M10" s="40"/>
      <c r="N10" s="41"/>
      <c r="O10" s="40"/>
      <c r="P10" s="41"/>
      <c r="Q10" s="40"/>
      <c r="R10" s="41"/>
      <c r="S10" s="16"/>
    </row>
    <row r="11" spans="3:19" s="2" customFormat="1" x14ac:dyDescent="0.25">
      <c r="C11" s="16"/>
      <c r="D11" s="42"/>
      <c r="E11" s="43"/>
      <c r="F11" s="42"/>
      <c r="G11" s="43"/>
      <c r="H11" s="42"/>
      <c r="I11" s="43"/>
      <c r="J11" s="16"/>
      <c r="K11" s="16"/>
      <c r="L11" s="16"/>
      <c r="M11" s="42"/>
      <c r="N11" s="43"/>
      <c r="O11" s="42"/>
      <c r="P11" s="43"/>
      <c r="Q11" s="42"/>
      <c r="R11" s="43"/>
      <c r="S11" s="16"/>
    </row>
    <row r="12" spans="3:19" s="2" customFormat="1" x14ac:dyDescent="0.25">
      <c r="C12" s="33" t="s">
        <v>122</v>
      </c>
      <c r="D12" s="33"/>
      <c r="E12" s="33"/>
      <c r="F12" s="16"/>
      <c r="G12" s="16"/>
      <c r="H12" s="16"/>
      <c r="I12" s="16"/>
      <c r="J12" s="19" t="s">
        <v>71</v>
      </c>
      <c r="K12" s="19"/>
      <c r="L12" s="19" t="s">
        <v>75</v>
      </c>
      <c r="M12" s="19"/>
      <c r="N12" s="16"/>
      <c r="O12" s="16"/>
      <c r="P12" s="16"/>
      <c r="Q12" s="19" t="s">
        <v>110</v>
      </c>
      <c r="R12" s="16"/>
      <c r="S12" s="16"/>
    </row>
    <row r="13" spans="3:19" s="2" customFormat="1" x14ac:dyDescent="0.25">
      <c r="C13" s="16"/>
      <c r="D13" s="18" t="s">
        <v>78</v>
      </c>
      <c r="E13" s="16"/>
      <c r="F13" s="16"/>
      <c r="G13" s="16"/>
      <c r="H13" s="23" t="s">
        <v>68</v>
      </c>
      <c r="I13" s="23" t="s">
        <v>70</v>
      </c>
      <c r="J13" s="21" t="s">
        <v>26</v>
      </c>
      <c r="K13" s="21"/>
      <c r="L13" s="21" t="s">
        <v>60</v>
      </c>
      <c r="M13" s="18"/>
      <c r="N13" s="18"/>
      <c r="O13" s="16"/>
      <c r="P13" s="16"/>
      <c r="Q13" s="18" t="s">
        <v>112</v>
      </c>
      <c r="R13" s="16"/>
      <c r="S13" s="16"/>
    </row>
    <row r="14" spans="3:19" s="2" customFormat="1" x14ac:dyDescent="0.25">
      <c r="C14" s="16"/>
      <c r="D14" s="22">
        <v>1000</v>
      </c>
      <c r="E14" s="16"/>
      <c r="F14" s="16"/>
      <c r="G14" s="16"/>
      <c r="H14" s="27">
        <v>0</v>
      </c>
      <c r="I14" s="24">
        <v>0</v>
      </c>
      <c r="J14" s="21" t="s">
        <v>24</v>
      </c>
      <c r="K14" s="21"/>
      <c r="L14" s="21" t="s">
        <v>61</v>
      </c>
      <c r="M14" s="18"/>
      <c r="N14" s="18"/>
      <c r="O14" s="16"/>
      <c r="P14" s="16"/>
      <c r="Q14" s="18" t="s">
        <v>111</v>
      </c>
      <c r="R14" s="16"/>
      <c r="S14" s="16"/>
    </row>
    <row r="15" spans="3:19" s="2" customFormat="1" x14ac:dyDescent="0.25">
      <c r="C15" s="16"/>
      <c r="D15" s="16"/>
      <c r="E15" s="16"/>
      <c r="F15" s="16"/>
      <c r="G15" s="16"/>
      <c r="H15" s="25"/>
      <c r="I15" s="25"/>
      <c r="J15" s="21" t="s">
        <v>22</v>
      </c>
      <c r="K15" s="21"/>
      <c r="L15" s="21" t="s">
        <v>62</v>
      </c>
      <c r="M15" s="18"/>
      <c r="N15" s="18"/>
      <c r="O15" s="16"/>
      <c r="P15" s="16"/>
      <c r="Q15" s="16"/>
      <c r="R15" s="16"/>
      <c r="S15" s="16"/>
    </row>
    <row r="16" spans="3:19" s="2" customFormat="1" x14ac:dyDescent="0.25">
      <c r="C16" s="16"/>
      <c r="D16" s="16"/>
      <c r="E16" s="16"/>
      <c r="F16" s="16"/>
      <c r="G16" s="16"/>
      <c r="H16" s="25"/>
      <c r="I16" s="25"/>
      <c r="J16" s="21" t="s">
        <v>66</v>
      </c>
      <c r="K16" s="21"/>
      <c r="L16" s="21" t="s">
        <v>63</v>
      </c>
      <c r="M16" s="18"/>
      <c r="N16" s="18"/>
      <c r="O16" s="16"/>
      <c r="P16" s="16"/>
      <c r="Q16" s="19" t="s">
        <v>113</v>
      </c>
      <c r="R16" s="16"/>
      <c r="S16" s="16"/>
    </row>
    <row r="17" spans="3:19" s="2" customFormat="1" x14ac:dyDescent="0.25">
      <c r="C17" s="16"/>
      <c r="D17" s="16"/>
      <c r="E17" s="16"/>
      <c r="F17" s="16"/>
      <c r="G17" s="16"/>
      <c r="H17" s="27">
        <v>0</v>
      </c>
      <c r="I17" s="26">
        <v>0</v>
      </c>
      <c r="J17" s="21" t="s">
        <v>67</v>
      </c>
      <c r="K17" s="21"/>
      <c r="L17" s="21" t="s">
        <v>64</v>
      </c>
      <c r="M17" s="18"/>
      <c r="N17" s="18"/>
      <c r="O17" s="16"/>
      <c r="P17" s="16"/>
      <c r="Q17" s="18" t="s">
        <v>115</v>
      </c>
      <c r="R17" s="16"/>
      <c r="S17" s="16"/>
    </row>
    <row r="18" spans="3:19" s="2" customFormat="1" x14ac:dyDescent="0.25">
      <c r="C18" s="16"/>
      <c r="D18" s="16"/>
      <c r="E18" s="16"/>
      <c r="F18" s="16"/>
      <c r="G18" s="16"/>
      <c r="H18" s="34"/>
      <c r="I18" s="25"/>
      <c r="J18" s="17"/>
      <c r="K18" s="17"/>
      <c r="L18" s="17"/>
      <c r="M18" s="16"/>
      <c r="N18" s="16"/>
      <c r="O18" s="16"/>
      <c r="P18" s="16"/>
      <c r="Q18" s="18" t="s">
        <v>114</v>
      </c>
      <c r="R18" s="16"/>
      <c r="S18" s="16"/>
    </row>
    <row r="19" spans="3:19" s="2" customFormat="1" x14ac:dyDescent="0.25">
      <c r="C19" s="16"/>
      <c r="D19" s="16"/>
      <c r="E19" s="16"/>
      <c r="F19" s="16"/>
      <c r="G19" s="16"/>
      <c r="H19" s="34"/>
      <c r="I19" s="25"/>
      <c r="J19" s="20" t="s">
        <v>71</v>
      </c>
      <c r="K19" s="20"/>
      <c r="L19" s="20" t="s">
        <v>76</v>
      </c>
      <c r="M19" s="19"/>
      <c r="N19" s="19"/>
      <c r="O19" s="19"/>
      <c r="P19" s="16"/>
      <c r="Q19" s="18"/>
      <c r="R19" s="16"/>
      <c r="S19" s="16"/>
    </row>
    <row r="20" spans="3:19" s="2" customFormat="1" x14ac:dyDescent="0.25">
      <c r="C20" s="16"/>
      <c r="D20" s="16"/>
      <c r="E20" s="16"/>
      <c r="F20" s="16"/>
      <c r="G20" s="16"/>
      <c r="H20" s="34"/>
      <c r="I20" s="25"/>
      <c r="J20" s="18" t="s">
        <v>26</v>
      </c>
      <c r="K20" s="18"/>
      <c r="L20" s="18" t="s">
        <v>60</v>
      </c>
      <c r="M20" s="18"/>
      <c r="N20" s="18"/>
      <c r="O20" s="16"/>
      <c r="P20" s="16"/>
      <c r="Q20" s="18" t="s">
        <v>116</v>
      </c>
      <c r="R20" s="16"/>
      <c r="S20" s="16"/>
    </row>
    <row r="21" spans="3:19" s="2" customFormat="1" x14ac:dyDescent="0.25">
      <c r="C21" s="16"/>
      <c r="D21" s="16"/>
      <c r="E21" s="16"/>
      <c r="F21" s="16"/>
      <c r="G21" s="16"/>
      <c r="H21" s="27">
        <v>0</v>
      </c>
      <c r="I21" s="24">
        <v>0</v>
      </c>
      <c r="J21" s="18" t="s">
        <v>24</v>
      </c>
      <c r="K21" s="18"/>
      <c r="L21" s="18" t="s">
        <v>72</v>
      </c>
      <c r="M21" s="18"/>
      <c r="N21" s="18"/>
      <c r="O21" s="16"/>
      <c r="P21" s="16"/>
      <c r="Q21" s="18" t="s">
        <v>117</v>
      </c>
      <c r="R21" s="16"/>
      <c r="S21" s="16"/>
    </row>
    <row r="22" spans="3:19" s="2" customFormat="1" x14ac:dyDescent="0.25">
      <c r="C22" s="16"/>
      <c r="D22" s="16"/>
      <c r="E22" s="16"/>
      <c r="F22" s="16"/>
      <c r="G22" s="16"/>
      <c r="H22" s="25"/>
      <c r="I22" s="25"/>
      <c r="J22" s="18" t="s">
        <v>22</v>
      </c>
      <c r="K22" s="18"/>
      <c r="L22" s="18" t="s">
        <v>54</v>
      </c>
      <c r="M22" s="18"/>
      <c r="N22" s="18"/>
      <c r="O22" s="16"/>
      <c r="P22" s="16"/>
      <c r="Q22" s="18" t="s">
        <v>118</v>
      </c>
      <c r="R22" s="16"/>
      <c r="S22" s="16"/>
    </row>
    <row r="23" spans="3:19" s="2" customFormat="1" x14ac:dyDescent="0.25">
      <c r="C23" s="16"/>
      <c r="D23" s="16"/>
      <c r="E23" s="16"/>
      <c r="F23" s="16"/>
      <c r="G23" s="16"/>
      <c r="H23" s="25"/>
      <c r="I23" s="25"/>
      <c r="J23" s="18" t="s">
        <v>66</v>
      </c>
      <c r="K23" s="18"/>
      <c r="L23" s="18" t="s">
        <v>55</v>
      </c>
      <c r="M23" s="18"/>
      <c r="N23" s="18"/>
      <c r="O23" s="16"/>
      <c r="P23" s="16"/>
      <c r="Q23" s="16"/>
      <c r="R23" s="16"/>
      <c r="S23" s="16"/>
    </row>
    <row r="24" spans="3:19" s="2" customFormat="1" x14ac:dyDescent="0.25">
      <c r="C24" s="16"/>
      <c r="D24" s="16"/>
      <c r="E24" s="16"/>
      <c r="F24" s="16"/>
      <c r="G24" s="18" t="s">
        <v>77</v>
      </c>
      <c r="H24" s="28">
        <v>0</v>
      </c>
      <c r="I24" s="29">
        <v>0</v>
      </c>
      <c r="J24" s="18" t="s">
        <v>67</v>
      </c>
      <c r="K24" s="18"/>
      <c r="L24" s="18" t="s">
        <v>56</v>
      </c>
      <c r="M24" s="18"/>
      <c r="N24" s="18"/>
      <c r="O24" s="16"/>
      <c r="P24" s="16"/>
      <c r="Q24" s="16"/>
      <c r="R24" s="16"/>
      <c r="S24" s="16"/>
    </row>
    <row r="25" spans="3:19" s="2" customFormat="1" x14ac:dyDescent="0.25">
      <c r="C25" s="16"/>
      <c r="D25" s="16"/>
      <c r="E25" s="16"/>
      <c r="F25" s="16"/>
      <c r="G25" s="16"/>
      <c r="H25" s="16"/>
      <c r="I25" s="16"/>
      <c r="J25" s="18"/>
      <c r="K25" s="18"/>
      <c r="L25" s="18"/>
      <c r="M25" s="18"/>
      <c r="N25" s="18"/>
      <c r="O25" s="16"/>
      <c r="P25" s="16"/>
      <c r="Q25" s="16"/>
      <c r="R25" s="16"/>
      <c r="S25" s="16"/>
    </row>
    <row r="26" spans="3:19" s="2" customFormat="1" x14ac:dyDescent="0.25">
      <c r="N26" s="2" t="s">
        <v>74</v>
      </c>
    </row>
    <row r="27" spans="3:19" hidden="1" x14ac:dyDescent="0.25">
      <c r="K27" s="15">
        <v>2</v>
      </c>
    </row>
    <row r="28" spans="3:19" hidden="1" x14ac:dyDescent="0.25">
      <c r="K28" s="15">
        <v>0</v>
      </c>
      <c r="M28" s="30">
        <f>IF(K28=0,53,M30)</f>
        <v>53</v>
      </c>
      <c r="N28" s="30"/>
      <c r="O28" s="30">
        <f>IF(K28=0,53,O30)</f>
        <v>53</v>
      </c>
    </row>
    <row r="29" spans="3:19" hidden="1" x14ac:dyDescent="0.25">
      <c r="D29" s="30" t="s">
        <v>80</v>
      </c>
      <c r="E29" s="30"/>
      <c r="F29" s="30" t="s">
        <v>81</v>
      </c>
      <c r="G29" s="30"/>
      <c r="H29" s="30" t="s">
        <v>82</v>
      </c>
      <c r="I29" s="30"/>
      <c r="J29" s="30"/>
      <c r="K29" s="30"/>
      <c r="L29" s="30"/>
      <c r="M29" s="30" t="s">
        <v>83</v>
      </c>
      <c r="N29" s="30"/>
      <c r="O29" s="30" t="s">
        <v>84</v>
      </c>
      <c r="P29" s="30"/>
      <c r="Q29" s="30" t="s">
        <v>85</v>
      </c>
      <c r="R29" s="30"/>
    </row>
    <row r="30" spans="3:19" hidden="1" x14ac:dyDescent="0.25">
      <c r="D30" s="30">
        <v>36</v>
      </c>
      <c r="E30" s="30"/>
      <c r="F30" s="30">
        <v>28</v>
      </c>
      <c r="G30" s="30"/>
      <c r="H30" s="30">
        <v>30</v>
      </c>
      <c r="I30" s="30"/>
      <c r="J30" s="30"/>
      <c r="K30" s="30"/>
      <c r="L30" s="30"/>
      <c r="M30" s="30">
        <v>15</v>
      </c>
      <c r="N30" s="30"/>
      <c r="O30" s="30">
        <v>16</v>
      </c>
      <c r="P30" s="30"/>
      <c r="Q30" s="30">
        <v>40</v>
      </c>
      <c r="R30" s="30"/>
    </row>
    <row r="31" spans="3:19" hidden="1" x14ac:dyDescent="0.25">
      <c r="D31" s="32"/>
      <c r="E31" s="32"/>
      <c r="F31" s="32"/>
      <c r="G31" s="32"/>
      <c r="H31" s="32"/>
      <c r="I31" s="32"/>
      <c r="M31" s="32"/>
      <c r="N31" s="32"/>
      <c r="O31" s="32"/>
      <c r="P31" s="32"/>
      <c r="Q31" s="32"/>
      <c r="R31" s="32"/>
    </row>
    <row r="32" spans="3:19" hidden="1" x14ac:dyDescent="0.25">
      <c r="D32" s="32"/>
      <c r="E32" s="32"/>
      <c r="F32" s="32"/>
      <c r="G32" s="32"/>
      <c r="H32" s="32"/>
      <c r="I32" s="32"/>
      <c r="M32" s="32"/>
      <c r="N32" s="32"/>
      <c r="O32" s="32"/>
      <c r="P32" s="32"/>
      <c r="Q32" s="32"/>
      <c r="R32" s="32"/>
    </row>
    <row r="33" spans="1:18" hidden="1" x14ac:dyDescent="0.25">
      <c r="D33" s="32"/>
      <c r="E33" s="32"/>
      <c r="F33" s="32"/>
      <c r="G33" s="32"/>
      <c r="H33" s="32"/>
      <c r="I33" s="32"/>
      <c r="M33" s="32"/>
      <c r="N33" s="32"/>
      <c r="O33" s="32"/>
      <c r="P33" s="32"/>
      <c r="Q33" s="32"/>
      <c r="R33" s="32"/>
    </row>
    <row r="34" spans="1:18" hidden="1" x14ac:dyDescent="0.25">
      <c r="D34" s="32"/>
      <c r="E34" s="32"/>
      <c r="F34" s="32"/>
      <c r="G34" s="32"/>
      <c r="H34" s="32"/>
      <c r="I34" s="32"/>
      <c r="M34" s="32"/>
      <c r="N34" s="32"/>
      <c r="O34" s="32"/>
      <c r="P34" s="32"/>
      <c r="Q34" s="32"/>
      <c r="R34" s="32"/>
    </row>
    <row r="35" spans="1:18" hidden="1" x14ac:dyDescent="0.25">
      <c r="D35" s="32"/>
      <c r="E35" s="32"/>
      <c r="F35" s="32"/>
      <c r="G35" s="32"/>
      <c r="H35" s="32"/>
      <c r="I35" s="32"/>
      <c r="M35" s="32"/>
      <c r="N35" s="32"/>
      <c r="O35" s="32"/>
      <c r="P35" s="32"/>
      <c r="Q35" s="32"/>
      <c r="R35" s="32"/>
    </row>
    <row r="36" spans="1:18" hidden="1" x14ac:dyDescent="0.25">
      <c r="D36" s="32"/>
      <c r="E36" s="32"/>
      <c r="F36" s="32"/>
      <c r="G36" s="32"/>
      <c r="H36" s="32"/>
      <c r="I36" s="32"/>
      <c r="M36" s="32"/>
      <c r="N36" s="32"/>
      <c r="O36" s="32"/>
      <c r="P36" s="32"/>
      <c r="Q36" s="32"/>
      <c r="R36" s="32"/>
    </row>
    <row r="37" spans="1:18" hidden="1" x14ac:dyDescent="0.25">
      <c r="D37" s="32"/>
      <c r="E37" s="32"/>
      <c r="F37" s="32"/>
      <c r="G37" s="32"/>
      <c r="H37" s="32"/>
      <c r="I37" s="32"/>
      <c r="M37" s="32"/>
      <c r="N37" s="32"/>
      <c r="O37" s="32"/>
      <c r="P37" s="32"/>
      <c r="Q37" s="32"/>
      <c r="R37" s="32"/>
    </row>
    <row r="38" spans="1:18" hidden="1" x14ac:dyDescent="0.25"/>
    <row r="39" spans="1:18" hidden="1" x14ac:dyDescent="0.25">
      <c r="A39" s="15" t="s">
        <v>14</v>
      </c>
      <c r="D39" s="30">
        <f>VLOOKUP(D30,Card_DataBase!$F1:$K371,6)</f>
        <v>4</v>
      </c>
      <c r="E39" s="30"/>
      <c r="F39" s="30">
        <f>VLOOKUP(F30,Card_DataBase!$F1:$K371,6)</f>
        <v>12</v>
      </c>
      <c r="G39" s="30"/>
      <c r="H39" s="30">
        <f>VLOOKUP(H30,Card_DataBase!$F1:$K371,6)</f>
        <v>10</v>
      </c>
      <c r="I39" s="30"/>
      <c r="J39" s="30"/>
      <c r="K39" s="30"/>
      <c r="L39" s="30"/>
      <c r="M39" s="30">
        <f>VLOOKUP(M30,Card_DataBase!$F1:$K371,6)</f>
        <v>12</v>
      </c>
      <c r="N39" s="30"/>
      <c r="O39" s="30">
        <f>VLOOKUP(O30,Card_DataBase!$F1:$K371,6)</f>
        <v>11</v>
      </c>
      <c r="P39" s="30"/>
      <c r="Q39" s="30">
        <f>VLOOKUP(Q30,Card_DataBase!$F1:$K371,6)</f>
        <v>13</v>
      </c>
    </row>
    <row r="40" spans="1:18" hidden="1" x14ac:dyDescent="0.25">
      <c r="A40" s="15" t="s">
        <v>86</v>
      </c>
      <c r="D40" s="30" t="str">
        <f>VLOOKUP(D30,Card_DataBase!$F1:$K371,5)</f>
        <v>C</v>
      </c>
      <c r="E40" s="30"/>
      <c r="F40" s="30" t="str">
        <f>VLOOKUP(F30,Card_DataBase!$F1:$K371,5)</f>
        <v>C</v>
      </c>
      <c r="G40" s="30"/>
      <c r="H40" s="30" t="str">
        <f>VLOOKUP(H30,Card_DataBase!$F1:$K371,5)</f>
        <v>C</v>
      </c>
      <c r="I40" s="30"/>
      <c r="J40" s="30"/>
      <c r="K40" s="30"/>
      <c r="L40" s="30"/>
      <c r="M40" s="30" t="str">
        <f>VLOOKUP(M30,Card_DataBase!$F1:$K371,5)</f>
        <v>H</v>
      </c>
      <c r="N40" s="30"/>
      <c r="O40" s="30" t="str">
        <f>VLOOKUP(O30,Card_DataBase!$F1:$K371,5)</f>
        <v>H</v>
      </c>
      <c r="P40" s="30"/>
      <c r="Q40" s="30" t="str">
        <f>VLOOKUP(Q30,Card_DataBase!$F1:$K371,5)</f>
        <v>D</v>
      </c>
    </row>
    <row r="41" spans="1:18" hidden="1" x14ac:dyDescent="0.25">
      <c r="D41" s="30">
        <f>RANK(D39,$D39:$H39)</f>
        <v>3</v>
      </c>
      <c r="E41" s="30"/>
      <c r="F41" s="30">
        <f>IF(F39=D39,RANK(F39,$D39:$H39)+1,RANK(F39,$D39:$H39))</f>
        <v>1</v>
      </c>
      <c r="G41" s="30"/>
      <c r="H41" s="30">
        <f>IF(H39=D39,IF(H39=F39,RANK(H39,$D39:$H39)+2,RANK(H39,$D39:$H39)+1),RANK(H39,$D39:$H39))</f>
        <v>2</v>
      </c>
      <c r="I41" s="30"/>
      <c r="J41" s="30"/>
      <c r="K41" s="30"/>
      <c r="L41" s="30"/>
      <c r="M41" s="30">
        <f>RANK(M39,$M39:$Q39)</f>
        <v>2</v>
      </c>
      <c r="N41" s="30"/>
      <c r="O41" s="30">
        <f>IF(O39=M39,RANK(O39,$M39:$Q39)+1,RANK(O39,$M39:$Q39))</f>
        <v>3</v>
      </c>
      <c r="P41" s="30"/>
      <c r="Q41" s="30">
        <f>IF(Q39=M39,IF(Q39=O39,RANK(Q39,$M39:$Q39)+2,RANK(Q39,$M39:$Q39)+1),RANK(Q39,$M39:$Q39))</f>
        <v>1</v>
      </c>
    </row>
    <row r="42" spans="1:18" hidden="1" x14ac:dyDescent="0.25">
      <c r="A42" s="15" t="s">
        <v>97</v>
      </c>
      <c r="B42" s="15" t="b">
        <f>IF(C42&gt;0,TRUE,IF(COUNTIF(B52:B61,TRUE)&gt;0,TRUE,FALSE))</f>
        <v>1</v>
      </c>
      <c r="C42" s="15">
        <f>SUM(M42,O42,Q42)</f>
        <v>2</v>
      </c>
      <c r="L42" s="15" t="s">
        <v>1</v>
      </c>
      <c r="M42" s="15">
        <f>COUNTIF(M39:Q39,13)</f>
        <v>1</v>
      </c>
      <c r="N42" s="15" t="s">
        <v>2</v>
      </c>
      <c r="O42" s="15">
        <f>COUNTIF(M39:Q39,12)</f>
        <v>1</v>
      </c>
      <c r="P42" s="15" t="s">
        <v>0</v>
      </c>
      <c r="Q42" s="15">
        <f>COUNTIF(M39:Q39,1)</f>
        <v>0</v>
      </c>
    </row>
    <row r="43" spans="1:18" hidden="1" x14ac:dyDescent="0.25">
      <c r="B43" s="15">
        <v>1</v>
      </c>
      <c r="C43" s="15" t="str">
        <f>CONCATENATE(D43,F43,H43)</f>
        <v>C</v>
      </c>
      <c r="D43" s="30" t="str">
        <f>IF(D$41=$B43,D$40,"")</f>
        <v/>
      </c>
      <c r="E43" s="30"/>
      <c r="F43" s="30" t="str">
        <f t="shared" ref="F43:H45" si="0">IF(F$41=$B43,F$40,"")</f>
        <v>C</v>
      </c>
      <c r="G43" s="30"/>
      <c r="H43" s="30" t="str">
        <f t="shared" si="0"/>
        <v/>
      </c>
      <c r="L43" s="15" t="str">
        <f>CONCATENATE(M43,O43,Q43)</f>
        <v>D</v>
      </c>
      <c r="M43" s="30" t="str">
        <f>IF(M$41=$B43,M$40,"")</f>
        <v/>
      </c>
      <c r="N43" s="30"/>
      <c r="O43" s="30" t="str">
        <f t="shared" ref="O43:Q45" si="1">IF(O$41=$B43,O$40,"")</f>
        <v/>
      </c>
      <c r="P43" s="30"/>
      <c r="Q43" s="30" t="str">
        <f t="shared" si="1"/>
        <v>D</v>
      </c>
    </row>
    <row r="44" spans="1:18" hidden="1" x14ac:dyDescent="0.25">
      <c r="B44" s="15">
        <v>2</v>
      </c>
      <c r="C44" s="15" t="str">
        <f t="shared" ref="C44:C45" si="2">CONCATENATE(D44,F44,H44)</f>
        <v>C</v>
      </c>
      <c r="D44" s="30" t="str">
        <f t="shared" ref="D44:D45" si="3">IF(D$41=$B44,D$40,"")</f>
        <v/>
      </c>
      <c r="E44" s="30"/>
      <c r="F44" s="30" t="str">
        <f t="shared" si="0"/>
        <v/>
      </c>
      <c r="G44" s="30"/>
      <c r="H44" s="30" t="str">
        <f t="shared" si="0"/>
        <v>C</v>
      </c>
      <c r="L44" s="15" t="str">
        <f t="shared" ref="L44:L45" si="4">CONCATENATE(M44,O44,Q44)</f>
        <v>H</v>
      </c>
      <c r="M44" s="30" t="str">
        <f t="shared" ref="M44:M45" si="5">IF(M$41=$B44,M$40,"")</f>
        <v>H</v>
      </c>
      <c r="N44" s="30"/>
      <c r="O44" s="30" t="str">
        <f t="shared" si="1"/>
        <v/>
      </c>
      <c r="P44" s="30"/>
      <c r="Q44" s="30" t="str">
        <f t="shared" si="1"/>
        <v/>
      </c>
    </row>
    <row r="45" spans="1:18" hidden="1" x14ac:dyDescent="0.25">
      <c r="B45" s="15">
        <v>3</v>
      </c>
      <c r="C45" s="15" t="str">
        <f t="shared" si="2"/>
        <v>C</v>
      </c>
      <c r="D45" s="30" t="str">
        <f t="shared" si="3"/>
        <v>C</v>
      </c>
      <c r="E45" s="30"/>
      <c r="F45" s="30" t="str">
        <f t="shared" si="0"/>
        <v/>
      </c>
      <c r="G45" s="30"/>
      <c r="H45" s="30" t="str">
        <f t="shared" si="0"/>
        <v/>
      </c>
      <c r="L45" s="15" t="str">
        <f t="shared" si="4"/>
        <v>H</v>
      </c>
      <c r="M45" s="30" t="str">
        <f t="shared" si="5"/>
        <v/>
      </c>
      <c r="N45" s="30"/>
      <c r="O45" s="30" t="str">
        <f t="shared" si="1"/>
        <v>H</v>
      </c>
      <c r="P45" s="30"/>
      <c r="Q45" s="30" t="str">
        <f t="shared" si="1"/>
        <v/>
      </c>
    </row>
    <row r="46" spans="1:18" hidden="1" x14ac:dyDescent="0.25"/>
    <row r="47" spans="1:18" hidden="1" x14ac:dyDescent="0.25">
      <c r="D47" s="31">
        <v>1</v>
      </c>
      <c r="E47" s="31"/>
      <c r="F47" s="31">
        <v>2</v>
      </c>
      <c r="G47" s="31"/>
      <c r="H47" s="31">
        <v>3</v>
      </c>
      <c r="I47" s="31"/>
      <c r="J47" s="31"/>
      <c r="K47" s="31"/>
      <c r="L47" s="31"/>
      <c r="M47" s="31">
        <v>1</v>
      </c>
      <c r="N47" s="31"/>
      <c r="O47" s="31">
        <v>2</v>
      </c>
      <c r="P47" s="31"/>
      <c r="Q47" s="31">
        <v>3</v>
      </c>
    </row>
    <row r="48" spans="1:18" hidden="1" x14ac:dyDescent="0.25">
      <c r="A48" s="15" t="s">
        <v>14</v>
      </c>
      <c r="D48" s="30">
        <f>LARGE($D39:$H39,D47)</f>
        <v>12</v>
      </c>
      <c r="E48" s="30"/>
      <c r="F48" s="30">
        <f>LARGE($D39:$H39,F47)</f>
        <v>10</v>
      </c>
      <c r="G48" s="30"/>
      <c r="H48" s="30">
        <f>LARGE($D39:$H39,H47)</f>
        <v>4</v>
      </c>
      <c r="I48" s="30"/>
      <c r="J48" s="30"/>
      <c r="K48" s="30"/>
      <c r="L48" s="30"/>
      <c r="M48" s="30">
        <f>LARGE($M39:$Q39,M47)</f>
        <v>13</v>
      </c>
      <c r="N48" s="30"/>
      <c r="O48" s="30">
        <f>LARGE($M39:$Q39,O47)</f>
        <v>12</v>
      </c>
      <c r="P48" s="30"/>
      <c r="Q48" s="30">
        <f>LARGE($M39:$Q39,Q47)</f>
        <v>11</v>
      </c>
    </row>
    <row r="49" spans="1:21" hidden="1" x14ac:dyDescent="0.25">
      <c r="A49" s="15" t="s">
        <v>86</v>
      </c>
      <c r="D49" s="30" t="str">
        <f>C43</f>
        <v>C</v>
      </c>
      <c r="E49" s="30"/>
      <c r="F49" s="30" t="str">
        <f>C44</f>
        <v>C</v>
      </c>
      <c r="G49" s="30"/>
      <c r="H49" s="30" t="str">
        <f>C45</f>
        <v>C</v>
      </c>
      <c r="I49" s="30"/>
      <c r="J49" s="30"/>
      <c r="K49" s="30"/>
      <c r="L49" s="30"/>
      <c r="M49" s="30" t="str">
        <f>L43</f>
        <v>D</v>
      </c>
      <c r="N49" s="30"/>
      <c r="O49" s="30" t="str">
        <f>L44</f>
        <v>H</v>
      </c>
      <c r="P49" s="30"/>
      <c r="Q49" s="30" t="str">
        <f>L45</f>
        <v>H</v>
      </c>
    </row>
    <row r="50" spans="1:21" hidden="1" x14ac:dyDescent="0.25">
      <c r="S50" s="15" t="s">
        <v>90</v>
      </c>
    </row>
    <row r="51" spans="1:21" hidden="1" x14ac:dyDescent="0.25">
      <c r="A51" s="15" t="s">
        <v>88</v>
      </c>
      <c r="B51" s="15" t="b">
        <f>IF(D48=13,IF(F48=12,IF(H48=1,TRUE,FALSE),FALSE),FALSE)</f>
        <v>0</v>
      </c>
      <c r="K51" s="15" t="b">
        <f>IF(M48=13,IF(O48=12,IF(Q48=1,TRUE,FALSE),FALSE),FALSE)</f>
        <v>0</v>
      </c>
      <c r="S51" s="15" t="s">
        <v>91</v>
      </c>
      <c r="T51" s="15" t="s">
        <v>92</v>
      </c>
    </row>
    <row r="52" spans="1:21" hidden="1" x14ac:dyDescent="0.25">
      <c r="A52" s="15" t="s">
        <v>89</v>
      </c>
      <c r="B52" s="15" t="b">
        <f>IF(B51,IF(B53,TRUE,FALSE),FALSE)</f>
        <v>0</v>
      </c>
      <c r="K52" s="15" t="b">
        <f>IF(K51,IF(K53,TRUE,FALSE),FALSE)</f>
        <v>0</v>
      </c>
      <c r="R52" s="15">
        <v>11</v>
      </c>
      <c r="S52" s="15">
        <v>6</v>
      </c>
      <c r="T52" s="15">
        <v>41</v>
      </c>
      <c r="U52" s="15" t="s">
        <v>100</v>
      </c>
    </row>
    <row r="53" spans="1:21" hidden="1" x14ac:dyDescent="0.25">
      <c r="A53" s="15" t="s">
        <v>18</v>
      </c>
      <c r="B53" s="15" t="b">
        <f>IF(B57,IF(B59,TRUE,FALSE),FALSE)</f>
        <v>0</v>
      </c>
      <c r="K53" s="15" t="b">
        <f>IF(K57,IF(K59,TRUE,FALSE),FALSE)</f>
        <v>0</v>
      </c>
      <c r="R53" s="15">
        <v>10</v>
      </c>
      <c r="S53" s="15">
        <v>6</v>
      </c>
      <c r="T53" s="15">
        <v>41</v>
      </c>
      <c r="U53" s="15" t="s">
        <v>18</v>
      </c>
    </row>
    <row r="54" spans="1:21" hidden="1" x14ac:dyDescent="0.25">
      <c r="A54" s="15" t="s">
        <v>11</v>
      </c>
      <c r="B54" s="15" t="b">
        <f>IF(COUNTIF(D48:H48,1)=3,TRUE,FALSE)</f>
        <v>0</v>
      </c>
      <c r="K54" s="15" t="b">
        <f>IF(COUNTIF(M48:Q48,1)=3,TRUE,FALSE)</f>
        <v>0</v>
      </c>
      <c r="R54" s="15">
        <v>9</v>
      </c>
      <c r="S54" s="15">
        <v>5</v>
      </c>
      <c r="T54" s="15">
        <v>31</v>
      </c>
      <c r="U54" s="15" t="s">
        <v>101</v>
      </c>
    </row>
    <row r="55" spans="1:21" hidden="1" x14ac:dyDescent="0.25">
      <c r="A55" s="15" t="s">
        <v>20</v>
      </c>
      <c r="B55" s="15" t="b">
        <f>IF(C55=2,TRUE,FALSE)</f>
        <v>0</v>
      </c>
      <c r="C55" s="15">
        <f>COUNTIF(F48:H48,D48)</f>
        <v>0</v>
      </c>
      <c r="K55" s="15" t="b">
        <f>IF(L55=2,TRUE,FALSE)</f>
        <v>0</v>
      </c>
      <c r="L55" s="15">
        <f>COUNTIF(O48:Q48,M48)</f>
        <v>0</v>
      </c>
      <c r="R55" s="15">
        <v>8</v>
      </c>
      <c r="S55" s="15">
        <v>5</v>
      </c>
      <c r="T55" s="15">
        <v>31</v>
      </c>
      <c r="U55" s="15" t="s">
        <v>20</v>
      </c>
    </row>
    <row r="56" spans="1:21" hidden="1" x14ac:dyDescent="0.25">
      <c r="A56" s="15" t="s">
        <v>93</v>
      </c>
      <c r="B56" s="15" t="b">
        <f>IF(B51,IF(B57,TRUE,FALSE),FALSE)</f>
        <v>0</v>
      </c>
      <c r="K56" s="15" t="b">
        <f>IF(K51,IF(K57,TRUE,FALSE),FALSE)</f>
        <v>0</v>
      </c>
      <c r="R56" s="15">
        <v>7</v>
      </c>
      <c r="S56" s="15">
        <v>2</v>
      </c>
      <c r="T56" s="15">
        <v>7</v>
      </c>
      <c r="U56" s="15" t="s">
        <v>102</v>
      </c>
    </row>
    <row r="57" spans="1:21" hidden="1" x14ac:dyDescent="0.25">
      <c r="A57" s="15" t="s">
        <v>22</v>
      </c>
      <c r="B57" s="15" t="b">
        <f>IF(D48-1=F48,IF(F48-1=H48,TRUE,FALSE),FALSE)</f>
        <v>0</v>
      </c>
      <c r="K57" s="15" t="b">
        <f>IF(M48-1=O48,IF(O48-1=Q48,TRUE,FALSE),FALSE)</f>
        <v>1</v>
      </c>
      <c r="R57" s="15">
        <v>6</v>
      </c>
      <c r="S57" s="15">
        <v>2</v>
      </c>
      <c r="T57" s="15">
        <v>7</v>
      </c>
      <c r="U57" s="15" t="s">
        <v>22</v>
      </c>
    </row>
    <row r="58" spans="1:21" hidden="1" x14ac:dyDescent="0.25">
      <c r="A58" s="15" t="s">
        <v>94</v>
      </c>
      <c r="B58" s="15" t="b">
        <f>IF(COUNTIF(D48:H48,1)&gt;0,IF(B59,TRUE,FALSE),FALSE)</f>
        <v>0</v>
      </c>
      <c r="K58" s="15" t="b">
        <f>IF(COUNTIF(M48:Q48,1)&gt;0,IF(K59,TRUE,FALSE),FALSE)</f>
        <v>0</v>
      </c>
      <c r="R58" s="15">
        <v>5</v>
      </c>
      <c r="S58" s="15">
        <v>2</v>
      </c>
      <c r="T58" s="15">
        <v>5</v>
      </c>
      <c r="U58" s="15" t="s">
        <v>103</v>
      </c>
    </row>
    <row r="59" spans="1:21" hidden="1" x14ac:dyDescent="0.25">
      <c r="A59" s="15" t="s">
        <v>24</v>
      </c>
      <c r="B59" s="15" t="b">
        <f>IF(C59=2,TRUE,FALSE)</f>
        <v>1</v>
      </c>
      <c r="C59" s="15">
        <f>COUNTIF(F49:H49,D49)</f>
        <v>2</v>
      </c>
      <c r="K59" s="15" t="b">
        <f>IF(L59=2,TRUE,FALSE)</f>
        <v>0</v>
      </c>
      <c r="L59" s="15">
        <f>COUNTIF(O49:Q49,M49)</f>
        <v>0</v>
      </c>
      <c r="R59" s="15">
        <v>4</v>
      </c>
      <c r="S59" s="15">
        <v>2</v>
      </c>
      <c r="T59" s="15">
        <v>5</v>
      </c>
      <c r="U59" s="15" t="s">
        <v>104</v>
      </c>
    </row>
    <row r="60" spans="1:21" hidden="1" x14ac:dyDescent="0.25">
      <c r="A60" s="15" t="s">
        <v>95</v>
      </c>
      <c r="B60" s="15" t="b">
        <f>IF(C61=1,IF(B61,TRUE,FALSE),FALSE)</f>
        <v>0</v>
      </c>
      <c r="K60" s="15" t="b">
        <f>IF(L61=1,IF(K61,TRUE,FALSE),FALSE)</f>
        <v>0</v>
      </c>
      <c r="R60" s="15">
        <v>3</v>
      </c>
      <c r="S60" s="15">
        <v>2</v>
      </c>
      <c r="T60" s="15">
        <v>2</v>
      </c>
      <c r="U60" s="15" t="s">
        <v>95</v>
      </c>
    </row>
    <row r="61" spans="1:21" hidden="1" x14ac:dyDescent="0.25">
      <c r="A61" s="15" t="s">
        <v>26</v>
      </c>
      <c r="B61" s="15" t="b">
        <f>IF(B55,FALSE,IF(D48=F48,TRUE,IF(F48=H48,TRUE,IF(H48=D48,TRUE,FALSE))))</f>
        <v>0</v>
      </c>
      <c r="C61" s="15">
        <f>IF(D48&lt;&gt;F48,IF(F48&lt;&gt;H48,IF(D48&lt;&gt;H48,0,MODE(D48:H48)),MODE(D48:H48)),MODE(D48:H48))</f>
        <v>0</v>
      </c>
      <c r="K61" s="15" t="b">
        <f>IF(K55,FALSE,IF(M48=O48,TRUE,IF(O48=Q48,TRUE,IF(Q48=M48,TRUE,FALSE))))</f>
        <v>0</v>
      </c>
      <c r="L61" s="15">
        <f>IF(M48&lt;&gt;O48,IF(O48&lt;&gt;Q48,IF(M48&lt;&gt;Q48,0,MODE(M48:Q48)),MODE(M48:Q48)),MODE(M48:Q48))</f>
        <v>0</v>
      </c>
      <c r="R61" s="15">
        <v>2</v>
      </c>
      <c r="S61" s="15">
        <v>2</v>
      </c>
      <c r="T61" s="15">
        <v>2</v>
      </c>
      <c r="U61" s="15" t="s">
        <v>26</v>
      </c>
    </row>
    <row r="62" spans="1:21" hidden="1" x14ac:dyDescent="0.25">
      <c r="A62" s="15" t="s">
        <v>96</v>
      </c>
      <c r="B62" s="15" t="b">
        <f>IF(B60,FALSE,IF(B58,FALSE,IF(B56,FALSE,IF(B54,FASLE,IF(B52,FALSE,IF(H48=1,TRUE,FALSE))))))</f>
        <v>0</v>
      </c>
      <c r="K62" s="15" t="b">
        <f>IF(K60,FALSE,IF(K58,FALSE,IF(K56,FALSE,IF(K54,FASLE,IF(K52,FALSE,IF(Q48=1,TRUE,FALSE))))))</f>
        <v>0</v>
      </c>
      <c r="R62" s="15">
        <v>1</v>
      </c>
      <c r="S62" s="15">
        <v>2</v>
      </c>
      <c r="T62" s="15">
        <v>2</v>
      </c>
      <c r="U62" s="15" t="s">
        <v>96</v>
      </c>
    </row>
    <row r="63" spans="1:21" hidden="1" x14ac:dyDescent="0.25">
      <c r="A63" s="15" t="s">
        <v>28</v>
      </c>
      <c r="B63" s="15" t="str">
        <f>IF(D63="T",IF(F63="T",IF(H63="T","T",H63),F63),D63)</f>
        <v>D</v>
      </c>
      <c r="D63" s="15" t="str">
        <f>IF(D48&gt;M48,"P",IF(M48&gt;D48,"D","T"))</f>
        <v>D</v>
      </c>
      <c r="F63" s="15" t="str">
        <f>IF(F48&gt;O48,"P",IF(O48&gt;F48,"D","T"))</f>
        <v>D</v>
      </c>
      <c r="H63" s="15" t="str">
        <f>IF(H48&gt;Q48,"P",IF(Q48&gt;H48,"D","T"))</f>
        <v>D</v>
      </c>
      <c r="R63" s="15">
        <v>0</v>
      </c>
      <c r="S63" s="15">
        <v>2</v>
      </c>
      <c r="T63" s="15">
        <v>2</v>
      </c>
      <c r="U63" s="15" t="s">
        <v>105</v>
      </c>
    </row>
    <row r="64" spans="1:21" hidden="1" x14ac:dyDescent="0.25"/>
    <row r="65" spans="1:21" hidden="1" x14ac:dyDescent="0.25">
      <c r="A65" s="15" t="s">
        <v>87</v>
      </c>
      <c r="B65" s="15">
        <f>IF(B52,11,IF(B53,10,IF(B54,9,IF(B55,8,IF(B56,7,IF(B57,6,IF(B58,5,IF(B59,4,IF(B60,3,IF(B61,2,IF(B62,1,0)))))))))))</f>
        <v>4</v>
      </c>
      <c r="D65" s="15">
        <f>IF(H48=1,H48,D48)</f>
        <v>12</v>
      </c>
      <c r="K65" s="15">
        <f>IF(K52,11,IF(K53,10,IF(K54,9,IF(K55,8,IF(K56,7,IF(K57,6,IF(K58,5,IF(K59,4,IF(K60,3,IF(K61,2,IF(K62,1,0)))))))))))</f>
        <v>6</v>
      </c>
      <c r="M65" s="15">
        <f>IF(Q48=1,Q48,M48)</f>
        <v>13</v>
      </c>
    </row>
    <row r="66" spans="1:21" hidden="1" x14ac:dyDescent="0.25">
      <c r="D66" s="15" t="str">
        <f>INDEX(U66:U78,MATCH(D65,T66:T78,0))</f>
        <v>Queen</v>
      </c>
      <c r="J66" s="15" t="str">
        <f>IF(B65&gt;K65,"P",IF(K65&gt;B65,"D",IF(B65=K65,B63,"T")))</f>
        <v>D</v>
      </c>
      <c r="M66" s="15" t="str">
        <f>INDEX(U66:U78,MATCH(M65,T66:T78,0))</f>
        <v>King</v>
      </c>
      <c r="T66" s="15">
        <v>1</v>
      </c>
      <c r="U66" s="30" t="s">
        <v>106</v>
      </c>
    </row>
    <row r="67" spans="1:21" hidden="1" x14ac:dyDescent="0.25">
      <c r="C67" s="15" t="str">
        <f>INDEX(U52:U63,MATCH(B65,R52:R63,0))</f>
        <v xml:space="preserve">Flush </v>
      </c>
      <c r="D67" s="15" t="str">
        <f>IF(B65=0,CONCATENATE(C67," ",D66),C67)</f>
        <v xml:space="preserve">Flush </v>
      </c>
      <c r="H67" s="15" t="s">
        <v>68</v>
      </c>
      <c r="I67" s="15" t="s">
        <v>98</v>
      </c>
      <c r="L67" s="15" t="str">
        <f>INDEX(U52:U63,MATCH(K65,R52:R63,0))</f>
        <v>Straight</v>
      </c>
      <c r="M67" s="15" t="str">
        <f>IF(K65=0,CONCATENATE(L67," ",M66),L67)</f>
        <v>Straight</v>
      </c>
      <c r="T67" s="15">
        <v>2</v>
      </c>
      <c r="U67" s="30">
        <v>2</v>
      </c>
    </row>
    <row r="68" spans="1:21" hidden="1" x14ac:dyDescent="0.25">
      <c r="G68" s="15" t="s">
        <v>92</v>
      </c>
      <c r="H68" s="22">
        <f>H14</f>
        <v>0</v>
      </c>
      <c r="I68" s="15">
        <f>INDEX(T52:T63,MATCH(B65,R52:R63,0))</f>
        <v>5</v>
      </c>
      <c r="J68" s="15">
        <f>IF(B65&gt;1,H68*I68,0)</f>
        <v>0</v>
      </c>
      <c r="T68" s="15">
        <v>3</v>
      </c>
      <c r="U68" s="30">
        <v>3</v>
      </c>
    </row>
    <row r="69" spans="1:21" hidden="1" x14ac:dyDescent="0.25">
      <c r="G69" s="15" t="s">
        <v>91</v>
      </c>
      <c r="H69" s="22">
        <f>H17</f>
        <v>0</v>
      </c>
      <c r="I69" s="15">
        <f>INDEX(S52:S63,MATCH(B66,R52:R63,0))</f>
        <v>2</v>
      </c>
      <c r="J69" s="15">
        <f>IF(B42,IF(J66="P",H69*I69,IF(J66="T",H69,0)),H69*2)</f>
        <v>0</v>
      </c>
      <c r="T69" s="15">
        <v>4</v>
      </c>
      <c r="U69" s="30">
        <v>4</v>
      </c>
    </row>
    <row r="70" spans="1:21" hidden="1" x14ac:dyDescent="0.25">
      <c r="G70" s="15" t="s">
        <v>99</v>
      </c>
      <c r="H70" s="22">
        <f>H24</f>
        <v>0</v>
      </c>
      <c r="I70" s="22">
        <f>H70*2</f>
        <v>0</v>
      </c>
      <c r="J70" s="15">
        <f>IF(B42,IF(J66="P",H70*I70,IF(J66="T",H70,0)),H70)</f>
        <v>0</v>
      </c>
      <c r="T70" s="15">
        <v>5</v>
      </c>
      <c r="U70" s="30">
        <v>5</v>
      </c>
    </row>
    <row r="71" spans="1:21" hidden="1" x14ac:dyDescent="0.25">
      <c r="T71" s="15">
        <v>6</v>
      </c>
      <c r="U71" s="30">
        <v>6</v>
      </c>
    </row>
    <row r="72" spans="1:21" hidden="1" x14ac:dyDescent="0.25">
      <c r="T72" s="15">
        <v>7</v>
      </c>
      <c r="U72" s="30">
        <v>7</v>
      </c>
    </row>
    <row r="73" spans="1:21" hidden="1" x14ac:dyDescent="0.25">
      <c r="T73" s="15">
        <v>8</v>
      </c>
      <c r="U73" s="30">
        <v>8</v>
      </c>
    </row>
    <row r="74" spans="1:21" hidden="1" x14ac:dyDescent="0.25">
      <c r="T74" s="15">
        <v>9</v>
      </c>
      <c r="U74" s="30">
        <v>9</v>
      </c>
    </row>
    <row r="75" spans="1:21" hidden="1" x14ac:dyDescent="0.25">
      <c r="T75" s="15">
        <v>10</v>
      </c>
      <c r="U75" s="30">
        <v>10</v>
      </c>
    </row>
    <row r="76" spans="1:21" hidden="1" x14ac:dyDescent="0.25">
      <c r="T76" s="15">
        <v>11</v>
      </c>
      <c r="U76" s="30" t="s">
        <v>107</v>
      </c>
    </row>
    <row r="77" spans="1:21" hidden="1" x14ac:dyDescent="0.25">
      <c r="T77" s="15">
        <v>12</v>
      </c>
      <c r="U77" s="30" t="s">
        <v>108</v>
      </c>
    </row>
    <row r="78" spans="1:21" hidden="1" x14ac:dyDescent="0.25">
      <c r="T78" s="15">
        <v>13</v>
      </c>
      <c r="U78" s="30" t="s">
        <v>109</v>
      </c>
    </row>
    <row r="79" spans="1:21" hidden="1" x14ac:dyDescent="0.25"/>
    <row r="80" spans="1:21" hidden="1" x14ac:dyDescent="0.25">
      <c r="T80" s="15" t="s">
        <v>5</v>
      </c>
      <c r="U80" s="30" t="s">
        <v>119</v>
      </c>
    </row>
    <row r="81" spans="20:21" hidden="1" x14ac:dyDescent="0.25">
      <c r="T81" s="15" t="s">
        <v>7</v>
      </c>
      <c r="U81" s="30" t="s">
        <v>120</v>
      </c>
    </row>
    <row r="82" spans="20:21" hidden="1" x14ac:dyDescent="0.25">
      <c r="T82" s="15" t="s">
        <v>4</v>
      </c>
      <c r="U82" s="30" t="s">
        <v>121</v>
      </c>
    </row>
  </sheetData>
  <mergeCells count="20">
    <mergeCell ref="H5:I11"/>
    <mergeCell ref="M5:N11"/>
    <mergeCell ref="O5:P11"/>
    <mergeCell ref="Q5:R11"/>
    <mergeCell ref="O31:P37"/>
    <mergeCell ref="Q31:R37"/>
    <mergeCell ref="D2:I2"/>
    <mergeCell ref="M2:R2"/>
    <mergeCell ref="J2:L2"/>
    <mergeCell ref="H18:H20"/>
    <mergeCell ref="C12:E12"/>
    <mergeCell ref="J3:L3"/>
    <mergeCell ref="D31:E37"/>
    <mergeCell ref="F31:G37"/>
    <mergeCell ref="H31:I37"/>
    <mergeCell ref="M31:N37"/>
    <mergeCell ref="M4:R4"/>
    <mergeCell ref="D4:I4"/>
    <mergeCell ref="D5:E11"/>
    <mergeCell ref="F5:G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Option Button 5">
              <controlPr defaultSize="0" autoFill="0" autoLine="0" autoPict="0">
                <anchor moveWithCells="1">
                  <from>
                    <xdr:col>6</xdr:col>
                    <xdr:colOff>361950</xdr:colOff>
                    <xdr:row>12</xdr:row>
                    <xdr:rowOff>180975</xdr:rowOff>
                  </from>
                  <to>
                    <xdr:col>7</xdr:col>
                    <xdr:colOff>57150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Option Button 6">
              <controlPr defaultSize="0" autoFill="0" autoLine="0" autoPict="0">
                <anchor moveWithCells="1">
                  <from>
                    <xdr:col>6</xdr:col>
                    <xdr:colOff>352425</xdr:colOff>
                    <xdr:row>15</xdr:row>
                    <xdr:rowOff>123825</xdr:rowOff>
                  </from>
                  <to>
                    <xdr:col>7</xdr:col>
                    <xdr:colOff>38100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O61"/>
  <sheetViews>
    <sheetView topLeftCell="A34" workbookViewId="0">
      <selection activeCell="A36" sqref="A36:O36"/>
    </sheetView>
  </sheetViews>
  <sheetFormatPr defaultRowHeight="15" x14ac:dyDescent="0.25"/>
  <cols>
    <col min="1" max="1" width="29.7109375" bestFit="1" customWidth="1"/>
    <col min="2" max="2" width="28.85546875" bestFit="1" customWidth="1"/>
    <col min="3" max="3" width="10.28515625" bestFit="1" customWidth="1"/>
    <col min="4" max="4" width="10.7109375" bestFit="1" customWidth="1"/>
  </cols>
  <sheetData>
    <row r="2" spans="1:15" x14ac:dyDescent="0.25">
      <c r="A2" s="3" t="s">
        <v>13</v>
      </c>
      <c r="B2" s="3"/>
      <c r="C2" s="3"/>
      <c r="D2" s="3"/>
    </row>
    <row r="3" spans="1:15" x14ac:dyDescent="0.25">
      <c r="A3" s="3" t="s">
        <v>14</v>
      </c>
      <c r="B3" s="3" t="s">
        <v>15</v>
      </c>
      <c r="C3" s="3" t="s">
        <v>16</v>
      </c>
      <c r="D3" s="3" t="s">
        <v>17</v>
      </c>
    </row>
    <row r="4" spans="1:15" x14ac:dyDescent="0.25">
      <c r="A4" s="3" t="s">
        <v>18</v>
      </c>
      <c r="B4" s="3" t="s">
        <v>19</v>
      </c>
      <c r="C4" s="5">
        <v>48</v>
      </c>
      <c r="D4" s="4">
        <v>2.2000000000000001E-3</v>
      </c>
    </row>
    <row r="5" spans="1:15" x14ac:dyDescent="0.25">
      <c r="A5" s="3" t="s">
        <v>20</v>
      </c>
      <c r="B5" s="3" t="s">
        <v>21</v>
      </c>
      <c r="C5" s="5">
        <v>52</v>
      </c>
      <c r="D5" s="4">
        <v>2.3999999999999998E-3</v>
      </c>
    </row>
    <row r="6" spans="1:15" x14ac:dyDescent="0.25">
      <c r="A6" s="3" t="s">
        <v>22</v>
      </c>
      <c r="B6" s="3" t="s">
        <v>23</v>
      </c>
      <c r="C6" s="5">
        <v>720</v>
      </c>
      <c r="D6" s="4">
        <v>3.2599999999999997E-2</v>
      </c>
    </row>
    <row r="7" spans="1:15" x14ac:dyDescent="0.25">
      <c r="A7" s="3" t="s">
        <v>24</v>
      </c>
      <c r="B7" s="3" t="s">
        <v>25</v>
      </c>
      <c r="C7" s="6">
        <v>1096</v>
      </c>
      <c r="D7" s="4">
        <v>4.9599999999999998E-2</v>
      </c>
    </row>
    <row r="8" spans="1:15" x14ac:dyDescent="0.25">
      <c r="A8" s="3" t="s">
        <v>26</v>
      </c>
      <c r="B8" s="3" t="s">
        <v>27</v>
      </c>
      <c r="C8" s="6">
        <v>3744</v>
      </c>
      <c r="D8" s="4">
        <v>0.1694</v>
      </c>
    </row>
    <row r="9" spans="1:15" x14ac:dyDescent="0.25">
      <c r="A9" s="3" t="s">
        <v>28</v>
      </c>
      <c r="B9" s="3" t="s">
        <v>29</v>
      </c>
      <c r="C9" s="6">
        <v>16440</v>
      </c>
      <c r="D9" s="4">
        <v>0.74390000000000001</v>
      </c>
    </row>
    <row r="10" spans="1:15" x14ac:dyDescent="0.25">
      <c r="A10" s="3" t="s">
        <v>30</v>
      </c>
      <c r="B10" s="3" t="s">
        <v>31</v>
      </c>
      <c r="C10" s="6">
        <v>22100</v>
      </c>
      <c r="D10" s="5" t="s">
        <v>31</v>
      </c>
    </row>
    <row r="12" spans="1:15" x14ac:dyDescent="0.25">
      <c r="A12" s="47" t="s">
        <v>32</v>
      </c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</row>
    <row r="13" spans="1:15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</row>
    <row r="14" spans="1:15" x14ac:dyDescent="0.25">
      <c r="A14" s="45" t="s">
        <v>35</v>
      </c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1:15" x14ac:dyDescent="0.25">
      <c r="A15" s="45" t="s">
        <v>36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</row>
    <row r="16" spans="1:15" x14ac:dyDescent="0.25">
      <c r="A16" s="45" t="s">
        <v>43</v>
      </c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</row>
    <row r="17" spans="1:15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</row>
    <row r="18" spans="1:15" x14ac:dyDescent="0.25">
      <c r="A18" s="47" t="s">
        <v>33</v>
      </c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</row>
    <row r="19" spans="1:15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</row>
    <row r="20" spans="1:15" ht="29.25" customHeight="1" x14ac:dyDescent="0.25">
      <c r="A20" s="45" t="s">
        <v>37</v>
      </c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</row>
    <row r="21" spans="1:15" ht="29.25" customHeight="1" x14ac:dyDescent="0.25">
      <c r="A21" s="45" t="s">
        <v>38</v>
      </c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</row>
    <row r="22" spans="1:15" x14ac:dyDescent="0.25">
      <c r="A22" s="45" t="s">
        <v>39</v>
      </c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</row>
    <row r="23" spans="1:15" ht="32.25" customHeight="1" x14ac:dyDescent="0.25">
      <c r="A23" s="45" t="s">
        <v>40</v>
      </c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</row>
    <row r="24" spans="1:15" x14ac:dyDescent="0.25">
      <c r="A24" s="45" t="s">
        <v>41</v>
      </c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</row>
    <row r="25" spans="1:15" x14ac:dyDescent="0.25">
      <c r="A25" s="45" t="s">
        <v>42</v>
      </c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</row>
    <row r="26" spans="1:15" x14ac:dyDescent="0.25">
      <c r="A26" s="47" t="s">
        <v>34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</row>
    <row r="28" spans="1:15" x14ac:dyDescent="0.25">
      <c r="A28" s="46" t="s">
        <v>44</v>
      </c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</row>
    <row r="29" spans="1:15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</row>
    <row r="30" spans="1:15" x14ac:dyDescent="0.25">
      <c r="A30" s="44" t="s">
        <v>45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</row>
    <row r="31" spans="1:15" x14ac:dyDescent="0.25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</row>
    <row r="32" spans="1:15" x14ac:dyDescent="0.25">
      <c r="A32" s="44" t="s">
        <v>46</v>
      </c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</row>
    <row r="33" spans="1:15" x14ac:dyDescent="0.25">
      <c r="A33" s="44" t="s">
        <v>47</v>
      </c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</row>
    <row r="34" spans="1:15" x14ac:dyDescent="0.25">
      <c r="A34" s="44" t="s">
        <v>48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</row>
    <row r="35" spans="1:15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</row>
    <row r="36" spans="1:15" x14ac:dyDescent="0.25">
      <c r="A36" s="44" t="s">
        <v>49</v>
      </c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</row>
    <row r="37" spans="1:15" x14ac:dyDescent="0.25">
      <c r="A37" s="44" t="s">
        <v>50</v>
      </c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</row>
    <row r="38" spans="1:15" x14ac:dyDescent="0.25">
      <c r="A38" s="44" t="s">
        <v>51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</row>
    <row r="39" spans="1:15" x14ac:dyDescent="0.25">
      <c r="A39" s="44" t="s">
        <v>52</v>
      </c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</row>
    <row r="40" spans="1:15" x14ac:dyDescent="0.25">
      <c r="A40" s="44" t="s">
        <v>53</v>
      </c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</row>
    <row r="41" spans="1:15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</row>
    <row r="42" spans="1:15" x14ac:dyDescent="0.25">
      <c r="A42" s="13" t="s">
        <v>70</v>
      </c>
      <c r="B42" s="13" t="s">
        <v>71</v>
      </c>
      <c r="C42" s="14" t="s">
        <v>68</v>
      </c>
      <c r="D42" s="14" t="s">
        <v>69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</row>
    <row r="43" spans="1:15" x14ac:dyDescent="0.25">
      <c r="A43" s="11" t="s">
        <v>60</v>
      </c>
      <c r="B43" s="11" t="s">
        <v>26</v>
      </c>
      <c r="C43" s="12">
        <v>1</v>
      </c>
      <c r="D43" s="12">
        <v>2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</row>
    <row r="44" spans="1:15" x14ac:dyDescent="0.25">
      <c r="A44" s="11" t="s">
        <v>72</v>
      </c>
      <c r="B44" s="11" t="s">
        <v>24</v>
      </c>
      <c r="C44" s="12">
        <v>1</v>
      </c>
      <c r="D44" s="12">
        <v>2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</row>
    <row r="45" spans="1:15" x14ac:dyDescent="0.25">
      <c r="A45" s="11" t="s">
        <v>54</v>
      </c>
      <c r="B45" s="11" t="s">
        <v>22</v>
      </c>
      <c r="C45" s="12">
        <v>1</v>
      </c>
      <c r="D45" s="12">
        <v>2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</row>
    <row r="46" spans="1:15" x14ac:dyDescent="0.25">
      <c r="A46" s="11" t="s">
        <v>55</v>
      </c>
      <c r="B46" s="11" t="s">
        <v>66</v>
      </c>
      <c r="C46" s="12">
        <v>1</v>
      </c>
      <c r="D46" s="12">
        <v>5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</row>
    <row r="47" spans="1:15" x14ac:dyDescent="0.25">
      <c r="A47" s="11" t="s">
        <v>56</v>
      </c>
      <c r="B47" s="3" t="s">
        <v>67</v>
      </c>
      <c r="C47" s="12">
        <v>1</v>
      </c>
      <c r="D47" s="12">
        <v>6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</row>
    <row r="49" spans="1:15" x14ac:dyDescent="0.25">
      <c r="A49" s="46" t="s">
        <v>57</v>
      </c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</row>
    <row r="50" spans="1:15" x14ac:dyDescent="0.25">
      <c r="A50" s="44" t="s">
        <v>58</v>
      </c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</row>
    <row r="51" spans="1:15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</row>
    <row r="52" spans="1:15" ht="15" customHeight="1" x14ac:dyDescent="0.25">
      <c r="A52" s="45" t="s">
        <v>59</v>
      </c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</row>
    <row r="53" spans="1:15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</row>
    <row r="54" spans="1:15" x14ac:dyDescent="0.25">
      <c r="A54" s="8" t="s">
        <v>70</v>
      </c>
      <c r="B54" s="8" t="s">
        <v>71</v>
      </c>
      <c r="C54" s="9" t="s">
        <v>68</v>
      </c>
      <c r="D54" s="9" t="s">
        <v>69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1:15" x14ac:dyDescent="0.25">
      <c r="A55" s="7" t="s">
        <v>60</v>
      </c>
      <c r="B55" s="7" t="s">
        <v>26</v>
      </c>
      <c r="C55" s="5">
        <v>1</v>
      </c>
      <c r="D55" s="5">
        <v>2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1:15" x14ac:dyDescent="0.25">
      <c r="A56" s="7" t="s">
        <v>61</v>
      </c>
      <c r="B56" s="7" t="s">
        <v>24</v>
      </c>
      <c r="C56" s="5">
        <v>1</v>
      </c>
      <c r="D56" s="5">
        <v>5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1:15" x14ac:dyDescent="0.25">
      <c r="A57" s="7" t="s">
        <v>62</v>
      </c>
      <c r="B57" s="7" t="s">
        <v>22</v>
      </c>
      <c r="C57" s="5">
        <v>1</v>
      </c>
      <c r="D57" s="5">
        <v>7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5" x14ac:dyDescent="0.25">
      <c r="A58" s="3" t="s">
        <v>63</v>
      </c>
      <c r="B58" s="7" t="s">
        <v>66</v>
      </c>
      <c r="C58" s="5">
        <v>1</v>
      </c>
      <c r="D58" s="5">
        <v>31</v>
      </c>
    </row>
    <row r="59" spans="1:15" x14ac:dyDescent="0.25">
      <c r="A59" s="3" t="s">
        <v>64</v>
      </c>
      <c r="B59" s="7" t="s">
        <v>67</v>
      </c>
      <c r="C59" s="5">
        <v>1</v>
      </c>
      <c r="D59" s="5">
        <v>41</v>
      </c>
    </row>
    <row r="61" spans="1:15" x14ac:dyDescent="0.25">
      <c r="A61" s="44" t="s">
        <v>65</v>
      </c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</row>
  </sheetData>
  <mergeCells count="33">
    <mergeCell ref="A17:O17"/>
    <mergeCell ref="A12:O12"/>
    <mergeCell ref="A13:O13"/>
    <mergeCell ref="A14:O14"/>
    <mergeCell ref="A15:O15"/>
    <mergeCell ref="A16:O16"/>
    <mergeCell ref="A30:O30"/>
    <mergeCell ref="A18:O18"/>
    <mergeCell ref="A19:O19"/>
    <mergeCell ref="A20:O20"/>
    <mergeCell ref="A21:O21"/>
    <mergeCell ref="A22:O22"/>
    <mergeCell ref="A23:O23"/>
    <mergeCell ref="A24:O24"/>
    <mergeCell ref="A25:O25"/>
    <mergeCell ref="A26:O26"/>
    <mergeCell ref="A28:O28"/>
    <mergeCell ref="A29:O29"/>
    <mergeCell ref="A37:O37"/>
    <mergeCell ref="A38:O38"/>
    <mergeCell ref="A39:O39"/>
    <mergeCell ref="A40:O40"/>
    <mergeCell ref="A31:O31"/>
    <mergeCell ref="A32:O32"/>
    <mergeCell ref="A33:O33"/>
    <mergeCell ref="A34:O34"/>
    <mergeCell ref="A35:O35"/>
    <mergeCell ref="A36:O36"/>
    <mergeCell ref="A61:O61"/>
    <mergeCell ref="A52:O53"/>
    <mergeCell ref="A49:O49"/>
    <mergeCell ref="A50:O50"/>
    <mergeCell ref="A51:O5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K385"/>
  <sheetViews>
    <sheetView topLeftCell="A346" zoomScale="84" zoomScaleNormal="84" workbookViewId="0">
      <selection activeCell="F15" sqref="F15:F21"/>
    </sheetView>
  </sheetViews>
  <sheetFormatPr defaultRowHeight="15" x14ac:dyDescent="0.25"/>
  <sheetData>
    <row r="1" spans="6:11" x14ac:dyDescent="0.25">
      <c r="F1" s="48">
        <v>1</v>
      </c>
      <c r="G1" s="48" t="s">
        <v>1</v>
      </c>
      <c r="H1" s="48"/>
      <c r="I1" s="48"/>
      <c r="J1" s="48" t="s">
        <v>6</v>
      </c>
      <c r="K1" s="48">
        <v>13</v>
      </c>
    </row>
    <row r="2" spans="6:11" ht="18" customHeight="1" x14ac:dyDescent="0.25">
      <c r="F2" s="48"/>
      <c r="G2" s="48"/>
      <c r="H2" s="48"/>
      <c r="I2" s="48"/>
      <c r="J2" s="48"/>
      <c r="K2" s="48"/>
    </row>
    <row r="3" spans="6:11" ht="18" customHeight="1" x14ac:dyDescent="0.25">
      <c r="F3" s="48"/>
      <c r="G3" s="48"/>
      <c r="H3" s="48"/>
      <c r="I3" s="48"/>
      <c r="J3" s="48"/>
      <c r="K3" s="48"/>
    </row>
    <row r="4" spans="6:11" ht="18" customHeight="1" x14ac:dyDescent="0.25">
      <c r="F4" s="48"/>
      <c r="G4" s="48"/>
      <c r="H4" s="48"/>
      <c r="I4" s="48"/>
      <c r="J4" s="48"/>
      <c r="K4" s="48"/>
    </row>
    <row r="5" spans="6:11" ht="18" customHeight="1" x14ac:dyDescent="0.25">
      <c r="F5" s="48"/>
      <c r="G5" s="48"/>
      <c r="H5" s="48"/>
      <c r="I5" s="48"/>
      <c r="J5" s="48"/>
      <c r="K5" s="48"/>
    </row>
    <row r="6" spans="6:11" ht="18" customHeight="1" x14ac:dyDescent="0.25">
      <c r="F6" s="48"/>
      <c r="G6" s="48"/>
      <c r="H6" s="48"/>
      <c r="I6" s="48"/>
      <c r="J6" s="48"/>
      <c r="K6" s="48"/>
    </row>
    <row r="7" spans="6:11" ht="18" customHeight="1" x14ac:dyDescent="0.25">
      <c r="F7" s="48"/>
      <c r="G7" s="48"/>
      <c r="H7" s="48"/>
      <c r="I7" s="48"/>
      <c r="J7" s="48"/>
      <c r="K7" s="48"/>
    </row>
    <row r="8" spans="6:11" ht="18" customHeight="1" x14ac:dyDescent="0.25">
      <c r="F8" s="48">
        <v>2</v>
      </c>
      <c r="G8" s="48" t="s">
        <v>2</v>
      </c>
      <c r="H8" s="48"/>
      <c r="I8" s="48"/>
      <c r="J8" s="48" t="s">
        <v>6</v>
      </c>
      <c r="K8" s="48">
        <v>12</v>
      </c>
    </row>
    <row r="9" spans="6:11" ht="18" customHeight="1" x14ac:dyDescent="0.25">
      <c r="F9" s="48"/>
      <c r="G9" s="48"/>
      <c r="H9" s="48"/>
      <c r="I9" s="48"/>
      <c r="J9" s="48"/>
      <c r="K9" s="48"/>
    </row>
    <row r="10" spans="6:11" ht="18.75" customHeight="1" x14ac:dyDescent="0.25">
      <c r="F10" s="48"/>
      <c r="G10" s="48"/>
      <c r="H10" s="48"/>
      <c r="I10" s="48"/>
      <c r="J10" s="48"/>
      <c r="K10" s="48"/>
    </row>
    <row r="11" spans="6:11" ht="18" customHeight="1" x14ac:dyDescent="0.25">
      <c r="F11" s="48"/>
      <c r="G11" s="48"/>
      <c r="H11" s="48"/>
      <c r="I11" s="48"/>
      <c r="J11" s="48"/>
      <c r="K11" s="48"/>
    </row>
    <row r="12" spans="6:11" ht="18" customHeight="1" x14ac:dyDescent="0.25">
      <c r="F12" s="48"/>
      <c r="G12" s="48"/>
      <c r="H12" s="48"/>
      <c r="I12" s="48"/>
      <c r="J12" s="48"/>
      <c r="K12" s="48"/>
    </row>
    <row r="13" spans="6:11" ht="18.75" customHeight="1" x14ac:dyDescent="0.25">
      <c r="F13" s="48"/>
      <c r="G13" s="48"/>
      <c r="H13" s="48"/>
      <c r="I13" s="48"/>
      <c r="J13" s="48"/>
      <c r="K13" s="48"/>
    </row>
    <row r="14" spans="6:11" x14ac:dyDescent="0.25">
      <c r="F14" s="48"/>
      <c r="G14" s="48"/>
      <c r="H14" s="48"/>
      <c r="I14" s="48"/>
      <c r="J14" s="48"/>
      <c r="K14" s="48"/>
    </row>
    <row r="15" spans="6:11" x14ac:dyDescent="0.25">
      <c r="F15" s="48">
        <v>3</v>
      </c>
      <c r="G15" s="48" t="s">
        <v>3</v>
      </c>
      <c r="H15" s="48"/>
      <c r="I15" s="48"/>
      <c r="J15" s="48" t="s">
        <v>6</v>
      </c>
      <c r="K15" s="48">
        <v>11</v>
      </c>
    </row>
    <row r="16" spans="6:11" x14ac:dyDescent="0.25">
      <c r="F16" s="48"/>
      <c r="G16" s="48"/>
      <c r="H16" s="48"/>
      <c r="I16" s="48"/>
      <c r="J16" s="48"/>
      <c r="K16" s="48"/>
    </row>
    <row r="17" spans="6:11" x14ac:dyDescent="0.25">
      <c r="F17" s="48"/>
      <c r="G17" s="48"/>
      <c r="H17" s="48"/>
      <c r="I17" s="48"/>
      <c r="J17" s="48"/>
      <c r="K17" s="48"/>
    </row>
    <row r="18" spans="6:11" x14ac:dyDescent="0.25">
      <c r="F18" s="48"/>
      <c r="G18" s="48"/>
      <c r="H18" s="48"/>
      <c r="I18" s="48"/>
      <c r="J18" s="48"/>
      <c r="K18" s="48"/>
    </row>
    <row r="19" spans="6:11" x14ac:dyDescent="0.25">
      <c r="F19" s="48"/>
      <c r="G19" s="48"/>
      <c r="H19" s="48"/>
      <c r="I19" s="48"/>
      <c r="J19" s="48"/>
      <c r="K19" s="48"/>
    </row>
    <row r="20" spans="6:11" x14ac:dyDescent="0.25">
      <c r="F20" s="48"/>
      <c r="G20" s="48"/>
      <c r="H20" s="48"/>
      <c r="I20" s="48"/>
      <c r="J20" s="48"/>
      <c r="K20" s="48"/>
    </row>
    <row r="21" spans="6:11" x14ac:dyDescent="0.25">
      <c r="F21" s="48"/>
      <c r="G21" s="48"/>
      <c r="H21" s="48"/>
      <c r="I21" s="48"/>
      <c r="J21" s="48"/>
      <c r="K21" s="48"/>
    </row>
    <row r="22" spans="6:11" x14ac:dyDescent="0.25">
      <c r="F22" s="48">
        <v>4</v>
      </c>
      <c r="G22" s="48">
        <v>10</v>
      </c>
      <c r="H22" s="48"/>
      <c r="I22" s="48"/>
      <c r="J22" s="48" t="s">
        <v>6</v>
      </c>
      <c r="K22" s="48">
        <v>10</v>
      </c>
    </row>
    <row r="23" spans="6:11" x14ac:dyDescent="0.25">
      <c r="F23" s="48"/>
      <c r="G23" s="48"/>
      <c r="H23" s="48"/>
      <c r="I23" s="48"/>
      <c r="J23" s="48"/>
      <c r="K23" s="48"/>
    </row>
    <row r="24" spans="6:11" x14ac:dyDescent="0.25">
      <c r="F24" s="48"/>
      <c r="G24" s="48"/>
      <c r="H24" s="48"/>
      <c r="I24" s="48"/>
      <c r="J24" s="48"/>
      <c r="K24" s="48"/>
    </row>
    <row r="25" spans="6:11" x14ac:dyDescent="0.25">
      <c r="F25" s="48"/>
      <c r="G25" s="48"/>
      <c r="H25" s="48"/>
      <c r="I25" s="48"/>
      <c r="J25" s="48"/>
      <c r="K25" s="48"/>
    </row>
    <row r="26" spans="6:11" x14ac:dyDescent="0.25">
      <c r="F26" s="48"/>
      <c r="G26" s="48"/>
      <c r="H26" s="48"/>
      <c r="I26" s="48"/>
      <c r="J26" s="48"/>
      <c r="K26" s="48"/>
    </row>
    <row r="27" spans="6:11" x14ac:dyDescent="0.25">
      <c r="F27" s="48"/>
      <c r="G27" s="48"/>
      <c r="H27" s="48"/>
      <c r="I27" s="48"/>
      <c r="J27" s="48"/>
      <c r="K27" s="48"/>
    </row>
    <row r="28" spans="6:11" x14ac:dyDescent="0.25">
      <c r="F28" s="48"/>
      <c r="G28" s="48"/>
      <c r="H28" s="48"/>
      <c r="I28" s="48"/>
      <c r="J28" s="48"/>
      <c r="K28" s="48"/>
    </row>
    <row r="29" spans="6:11" x14ac:dyDescent="0.25">
      <c r="F29" s="48">
        <v>5</v>
      </c>
      <c r="G29" s="48">
        <v>9</v>
      </c>
      <c r="H29" s="48"/>
      <c r="I29" s="48"/>
      <c r="J29" s="48" t="s">
        <v>6</v>
      </c>
      <c r="K29" s="48">
        <v>9</v>
      </c>
    </row>
    <row r="30" spans="6:11" x14ac:dyDescent="0.25">
      <c r="F30" s="48"/>
      <c r="G30" s="48"/>
      <c r="H30" s="48"/>
      <c r="I30" s="48"/>
      <c r="J30" s="48"/>
      <c r="K30" s="48"/>
    </row>
    <row r="31" spans="6:11" x14ac:dyDescent="0.25">
      <c r="F31" s="48"/>
      <c r="G31" s="48"/>
      <c r="H31" s="48"/>
      <c r="I31" s="48"/>
      <c r="J31" s="48"/>
      <c r="K31" s="48"/>
    </row>
    <row r="32" spans="6:11" x14ac:dyDescent="0.25">
      <c r="F32" s="48"/>
      <c r="G32" s="48"/>
      <c r="H32" s="48"/>
      <c r="I32" s="48"/>
      <c r="J32" s="48"/>
      <c r="K32" s="48"/>
    </row>
    <row r="33" spans="6:11" x14ac:dyDescent="0.25">
      <c r="F33" s="48"/>
      <c r="G33" s="48"/>
      <c r="H33" s="48"/>
      <c r="I33" s="48"/>
      <c r="J33" s="48"/>
      <c r="K33" s="48"/>
    </row>
    <row r="34" spans="6:11" x14ac:dyDescent="0.25">
      <c r="F34" s="48"/>
      <c r="G34" s="48"/>
      <c r="H34" s="48"/>
      <c r="I34" s="48"/>
      <c r="J34" s="48"/>
      <c r="K34" s="48"/>
    </row>
    <row r="35" spans="6:11" x14ac:dyDescent="0.25">
      <c r="F35" s="48"/>
      <c r="G35" s="48"/>
      <c r="H35" s="48"/>
      <c r="I35" s="48"/>
      <c r="J35" s="48"/>
      <c r="K35" s="48"/>
    </row>
    <row r="36" spans="6:11" x14ac:dyDescent="0.25">
      <c r="F36" s="48">
        <v>6</v>
      </c>
      <c r="G36" s="48">
        <v>8</v>
      </c>
      <c r="H36" s="48"/>
      <c r="I36" s="48"/>
      <c r="J36" s="48" t="s">
        <v>6</v>
      </c>
      <c r="K36" s="48">
        <v>8</v>
      </c>
    </row>
    <row r="37" spans="6:11" x14ac:dyDescent="0.25">
      <c r="F37" s="48"/>
      <c r="G37" s="48"/>
      <c r="H37" s="48"/>
      <c r="I37" s="48"/>
      <c r="J37" s="48"/>
      <c r="K37" s="48"/>
    </row>
    <row r="38" spans="6:11" x14ac:dyDescent="0.25">
      <c r="F38" s="48"/>
      <c r="G38" s="48"/>
      <c r="H38" s="48"/>
      <c r="I38" s="48"/>
      <c r="J38" s="48"/>
      <c r="K38" s="48"/>
    </row>
    <row r="39" spans="6:11" x14ac:dyDescent="0.25">
      <c r="F39" s="48"/>
      <c r="G39" s="48"/>
      <c r="H39" s="48"/>
      <c r="I39" s="48"/>
      <c r="J39" s="48"/>
      <c r="K39" s="48"/>
    </row>
    <row r="40" spans="6:11" x14ac:dyDescent="0.25">
      <c r="F40" s="48"/>
      <c r="G40" s="48"/>
      <c r="H40" s="48"/>
      <c r="I40" s="48"/>
      <c r="J40" s="48"/>
      <c r="K40" s="48"/>
    </row>
    <row r="41" spans="6:11" x14ac:dyDescent="0.25">
      <c r="F41" s="48"/>
      <c r="G41" s="48"/>
      <c r="H41" s="48"/>
      <c r="I41" s="48"/>
      <c r="J41" s="48"/>
      <c r="K41" s="48"/>
    </row>
    <row r="42" spans="6:11" x14ac:dyDescent="0.25">
      <c r="F42" s="48"/>
      <c r="G42" s="48"/>
      <c r="H42" s="48"/>
      <c r="I42" s="48"/>
      <c r="J42" s="48"/>
      <c r="K42" s="48"/>
    </row>
    <row r="43" spans="6:11" x14ac:dyDescent="0.25">
      <c r="F43" s="48">
        <v>7</v>
      </c>
      <c r="G43" s="48">
        <v>7</v>
      </c>
      <c r="H43" s="48"/>
      <c r="I43" s="48"/>
      <c r="J43" s="48" t="s">
        <v>6</v>
      </c>
      <c r="K43" s="48">
        <v>7</v>
      </c>
    </row>
    <row r="44" spans="6:11" x14ac:dyDescent="0.25">
      <c r="F44" s="48"/>
      <c r="G44" s="48"/>
      <c r="H44" s="48"/>
      <c r="I44" s="48"/>
      <c r="J44" s="48"/>
      <c r="K44" s="48"/>
    </row>
    <row r="45" spans="6:11" x14ac:dyDescent="0.25">
      <c r="F45" s="48"/>
      <c r="G45" s="48"/>
      <c r="H45" s="48"/>
      <c r="I45" s="48"/>
      <c r="J45" s="48"/>
      <c r="K45" s="48"/>
    </row>
    <row r="46" spans="6:11" x14ac:dyDescent="0.25">
      <c r="F46" s="48"/>
      <c r="G46" s="48"/>
      <c r="H46" s="48"/>
      <c r="I46" s="48"/>
      <c r="J46" s="48"/>
      <c r="K46" s="48"/>
    </row>
    <row r="47" spans="6:11" x14ac:dyDescent="0.25">
      <c r="F47" s="48"/>
      <c r="G47" s="48"/>
      <c r="H47" s="48"/>
      <c r="I47" s="48"/>
      <c r="J47" s="48"/>
      <c r="K47" s="48"/>
    </row>
    <row r="48" spans="6:11" x14ac:dyDescent="0.25">
      <c r="F48" s="48"/>
      <c r="G48" s="48"/>
      <c r="H48" s="48"/>
      <c r="I48" s="48"/>
      <c r="J48" s="48"/>
      <c r="K48" s="48"/>
    </row>
    <row r="49" spans="3:11" x14ac:dyDescent="0.25">
      <c r="F49" s="48"/>
      <c r="G49" s="48"/>
      <c r="H49" s="48"/>
      <c r="I49" s="48"/>
      <c r="J49" s="48"/>
      <c r="K49" s="48"/>
    </row>
    <row r="50" spans="3:11" x14ac:dyDescent="0.25">
      <c r="F50" s="48">
        <v>8</v>
      </c>
      <c r="G50" s="48">
        <v>6</v>
      </c>
      <c r="H50" s="48"/>
      <c r="I50" s="48"/>
      <c r="J50" s="48" t="s">
        <v>6</v>
      </c>
      <c r="K50" s="48">
        <v>6</v>
      </c>
    </row>
    <row r="51" spans="3:11" x14ac:dyDescent="0.25">
      <c r="F51" s="48"/>
      <c r="G51" s="48"/>
      <c r="H51" s="48"/>
      <c r="I51" s="48"/>
      <c r="J51" s="48"/>
      <c r="K51" s="48"/>
    </row>
    <row r="52" spans="3:11" x14ac:dyDescent="0.25">
      <c r="F52" s="48"/>
      <c r="G52" s="48"/>
      <c r="H52" s="48"/>
      <c r="I52" s="48"/>
      <c r="J52" s="48"/>
      <c r="K52" s="48"/>
    </row>
    <row r="53" spans="3:11" x14ac:dyDescent="0.25">
      <c r="F53" s="48"/>
      <c r="G53" s="48"/>
      <c r="H53" s="48"/>
      <c r="I53" s="48"/>
      <c r="J53" s="48"/>
      <c r="K53" s="48"/>
    </row>
    <row r="54" spans="3:11" x14ac:dyDescent="0.25">
      <c r="F54" s="48"/>
      <c r="G54" s="48"/>
      <c r="H54" s="48"/>
      <c r="I54" s="48"/>
      <c r="J54" s="48"/>
      <c r="K54" s="48"/>
    </row>
    <row r="55" spans="3:11" x14ac:dyDescent="0.25">
      <c r="F55" s="48"/>
      <c r="G55" s="48"/>
      <c r="H55" s="48"/>
      <c r="I55" s="48"/>
      <c r="J55" s="48"/>
      <c r="K55" s="48"/>
    </row>
    <row r="56" spans="3:11" x14ac:dyDescent="0.25">
      <c r="C56" t="s">
        <v>79</v>
      </c>
      <c r="F56" s="48"/>
      <c r="G56" s="48"/>
      <c r="H56" s="48"/>
      <c r="I56" s="48"/>
      <c r="J56" s="48"/>
      <c r="K56" s="48"/>
    </row>
    <row r="57" spans="3:11" x14ac:dyDescent="0.25">
      <c r="F57" s="48">
        <v>9</v>
      </c>
      <c r="G57" s="48">
        <v>5</v>
      </c>
      <c r="H57" s="48"/>
      <c r="I57" s="48"/>
      <c r="J57" s="48" t="s">
        <v>6</v>
      </c>
      <c r="K57" s="48">
        <v>5</v>
      </c>
    </row>
    <row r="58" spans="3:11" x14ac:dyDescent="0.25">
      <c r="F58" s="48"/>
      <c r="G58" s="48"/>
      <c r="H58" s="48"/>
      <c r="I58" s="48"/>
      <c r="J58" s="48"/>
      <c r="K58" s="48"/>
    </row>
    <row r="59" spans="3:11" x14ac:dyDescent="0.25">
      <c r="F59" s="48"/>
      <c r="G59" s="48"/>
      <c r="H59" s="48"/>
      <c r="I59" s="48"/>
      <c r="J59" s="48"/>
      <c r="K59" s="48"/>
    </row>
    <row r="60" spans="3:11" x14ac:dyDescent="0.25">
      <c r="F60" s="48"/>
      <c r="G60" s="48"/>
      <c r="H60" s="48"/>
      <c r="I60" s="48"/>
      <c r="J60" s="48"/>
      <c r="K60" s="48"/>
    </row>
    <row r="61" spans="3:11" x14ac:dyDescent="0.25">
      <c r="F61" s="48"/>
      <c r="G61" s="48"/>
      <c r="H61" s="48"/>
      <c r="I61" s="48"/>
      <c r="J61" s="48"/>
      <c r="K61" s="48"/>
    </row>
    <row r="62" spans="3:11" x14ac:dyDescent="0.25">
      <c r="F62" s="48"/>
      <c r="G62" s="48"/>
      <c r="H62" s="48"/>
      <c r="I62" s="48"/>
      <c r="J62" s="48"/>
      <c r="K62" s="48"/>
    </row>
    <row r="63" spans="3:11" x14ac:dyDescent="0.25">
      <c r="F63" s="48"/>
      <c r="G63" s="48"/>
      <c r="H63" s="48"/>
      <c r="I63" s="48"/>
      <c r="J63" s="48"/>
      <c r="K63" s="48"/>
    </row>
    <row r="64" spans="3:11" x14ac:dyDescent="0.25">
      <c r="F64" s="48">
        <v>10</v>
      </c>
      <c r="G64" s="48">
        <v>4</v>
      </c>
      <c r="H64" s="48"/>
      <c r="I64" s="48"/>
      <c r="J64" s="48" t="s">
        <v>6</v>
      </c>
      <c r="K64" s="48">
        <v>4</v>
      </c>
    </row>
    <row r="65" spans="6:11" x14ac:dyDescent="0.25">
      <c r="F65" s="48"/>
      <c r="G65" s="48"/>
      <c r="H65" s="48"/>
      <c r="I65" s="48"/>
      <c r="J65" s="48"/>
      <c r="K65" s="48"/>
    </row>
    <row r="66" spans="6:11" x14ac:dyDescent="0.25">
      <c r="F66" s="48"/>
      <c r="G66" s="48"/>
      <c r="H66" s="48"/>
      <c r="I66" s="48"/>
      <c r="J66" s="48"/>
      <c r="K66" s="48"/>
    </row>
    <row r="67" spans="6:11" x14ac:dyDescent="0.25">
      <c r="F67" s="48"/>
      <c r="G67" s="48"/>
      <c r="H67" s="48"/>
      <c r="I67" s="48"/>
      <c r="J67" s="48"/>
      <c r="K67" s="48"/>
    </row>
    <row r="68" spans="6:11" x14ac:dyDescent="0.25">
      <c r="F68" s="48"/>
      <c r="G68" s="48"/>
      <c r="H68" s="48"/>
      <c r="I68" s="48"/>
      <c r="J68" s="48"/>
      <c r="K68" s="48"/>
    </row>
    <row r="69" spans="6:11" x14ac:dyDescent="0.25">
      <c r="F69" s="48"/>
      <c r="G69" s="48"/>
      <c r="H69" s="48"/>
      <c r="I69" s="48"/>
      <c r="J69" s="48"/>
      <c r="K69" s="48"/>
    </row>
    <row r="70" spans="6:11" x14ac:dyDescent="0.25">
      <c r="F70" s="48"/>
      <c r="G70" s="48"/>
      <c r="H70" s="48"/>
      <c r="I70" s="48"/>
      <c r="J70" s="48"/>
      <c r="K70" s="48"/>
    </row>
    <row r="71" spans="6:11" x14ac:dyDescent="0.25">
      <c r="F71" s="48">
        <v>11</v>
      </c>
      <c r="G71" s="48">
        <v>3</v>
      </c>
      <c r="H71" s="48"/>
      <c r="I71" s="48"/>
      <c r="J71" s="48" t="s">
        <v>6</v>
      </c>
      <c r="K71" s="48">
        <v>3</v>
      </c>
    </row>
    <row r="72" spans="6:11" x14ac:dyDescent="0.25">
      <c r="F72" s="48"/>
      <c r="G72" s="48"/>
      <c r="H72" s="48"/>
      <c r="I72" s="48"/>
      <c r="J72" s="48"/>
      <c r="K72" s="48"/>
    </row>
    <row r="73" spans="6:11" x14ac:dyDescent="0.25">
      <c r="F73" s="48"/>
      <c r="G73" s="48"/>
      <c r="H73" s="48"/>
      <c r="I73" s="48"/>
      <c r="J73" s="48"/>
      <c r="K73" s="48"/>
    </row>
    <row r="74" spans="6:11" x14ac:dyDescent="0.25">
      <c r="F74" s="48"/>
      <c r="G74" s="48"/>
      <c r="H74" s="48"/>
      <c r="I74" s="48"/>
      <c r="J74" s="48"/>
      <c r="K74" s="48"/>
    </row>
    <row r="75" spans="6:11" x14ac:dyDescent="0.25">
      <c r="F75" s="48"/>
      <c r="G75" s="48"/>
      <c r="H75" s="48"/>
      <c r="I75" s="48"/>
      <c r="J75" s="48"/>
      <c r="K75" s="48"/>
    </row>
    <row r="76" spans="6:11" x14ac:dyDescent="0.25">
      <c r="F76" s="48"/>
      <c r="G76" s="48"/>
      <c r="H76" s="48"/>
      <c r="I76" s="48"/>
      <c r="J76" s="48"/>
      <c r="K76" s="48"/>
    </row>
    <row r="77" spans="6:11" x14ac:dyDescent="0.25">
      <c r="F77" s="48"/>
      <c r="G77" s="48"/>
      <c r="H77" s="48"/>
      <c r="I77" s="48"/>
      <c r="J77" s="48"/>
      <c r="K77" s="48"/>
    </row>
    <row r="78" spans="6:11" x14ac:dyDescent="0.25">
      <c r="F78" s="48">
        <v>12</v>
      </c>
      <c r="G78" s="48">
        <v>2</v>
      </c>
      <c r="H78" s="48"/>
      <c r="I78" s="48"/>
      <c r="J78" s="48" t="s">
        <v>6</v>
      </c>
      <c r="K78" s="48">
        <v>2</v>
      </c>
    </row>
    <row r="79" spans="6:11" x14ac:dyDescent="0.25">
      <c r="F79" s="48"/>
      <c r="G79" s="48"/>
      <c r="H79" s="48"/>
      <c r="I79" s="48"/>
      <c r="J79" s="48"/>
      <c r="K79" s="48"/>
    </row>
    <row r="80" spans="6:11" x14ac:dyDescent="0.25">
      <c r="F80" s="48"/>
      <c r="G80" s="48"/>
      <c r="H80" s="48"/>
      <c r="I80" s="48"/>
      <c r="J80" s="48"/>
      <c r="K80" s="48"/>
    </row>
    <row r="81" spans="6:11" x14ac:dyDescent="0.25">
      <c r="F81" s="48"/>
      <c r="G81" s="48"/>
      <c r="H81" s="48"/>
      <c r="I81" s="48"/>
      <c r="J81" s="48"/>
      <c r="K81" s="48"/>
    </row>
    <row r="82" spans="6:11" x14ac:dyDescent="0.25">
      <c r="F82" s="48"/>
      <c r="G82" s="48"/>
      <c r="H82" s="48"/>
      <c r="I82" s="48"/>
      <c r="J82" s="48"/>
      <c r="K82" s="48"/>
    </row>
    <row r="83" spans="6:11" x14ac:dyDescent="0.25">
      <c r="F83" s="48"/>
      <c r="G83" s="48"/>
      <c r="H83" s="48"/>
      <c r="I83" s="48"/>
      <c r="J83" s="48"/>
      <c r="K83" s="48"/>
    </row>
    <row r="84" spans="6:11" x14ac:dyDescent="0.25">
      <c r="F84" s="48"/>
      <c r="G84" s="48"/>
      <c r="H84" s="48"/>
      <c r="I84" s="48"/>
      <c r="J84" s="48"/>
      <c r="K84" s="48"/>
    </row>
    <row r="85" spans="6:11" x14ac:dyDescent="0.25">
      <c r="F85" s="48">
        <v>13</v>
      </c>
      <c r="G85" s="48">
        <v>1</v>
      </c>
      <c r="H85" s="48"/>
      <c r="I85" s="48"/>
      <c r="J85" s="48" t="s">
        <v>6</v>
      </c>
      <c r="K85" s="48">
        <v>1</v>
      </c>
    </row>
    <row r="86" spans="6:11" x14ac:dyDescent="0.25">
      <c r="F86" s="48"/>
      <c r="G86" s="48"/>
      <c r="H86" s="48"/>
      <c r="I86" s="48"/>
      <c r="J86" s="48"/>
      <c r="K86" s="48"/>
    </row>
    <row r="87" spans="6:11" x14ac:dyDescent="0.25">
      <c r="F87" s="48"/>
      <c r="G87" s="48"/>
      <c r="H87" s="48"/>
      <c r="I87" s="48"/>
      <c r="J87" s="48"/>
      <c r="K87" s="48"/>
    </row>
    <row r="88" spans="6:11" x14ac:dyDescent="0.25">
      <c r="F88" s="48"/>
      <c r="G88" s="48"/>
      <c r="H88" s="48"/>
      <c r="I88" s="48"/>
      <c r="J88" s="48"/>
      <c r="K88" s="48"/>
    </row>
    <row r="89" spans="6:11" x14ac:dyDescent="0.25">
      <c r="F89" s="48"/>
      <c r="G89" s="48"/>
      <c r="H89" s="48"/>
      <c r="I89" s="48"/>
      <c r="J89" s="48"/>
      <c r="K89" s="48"/>
    </row>
    <row r="90" spans="6:11" x14ac:dyDescent="0.25">
      <c r="F90" s="48"/>
      <c r="G90" s="48"/>
      <c r="H90" s="48"/>
      <c r="I90" s="48"/>
      <c r="J90" s="48"/>
      <c r="K90" s="48"/>
    </row>
    <row r="91" spans="6:11" x14ac:dyDescent="0.25">
      <c r="F91" s="48"/>
      <c r="G91" s="48"/>
      <c r="H91" s="48"/>
      <c r="I91" s="48"/>
      <c r="J91" s="48"/>
      <c r="K91" s="48"/>
    </row>
    <row r="92" spans="6:11" x14ac:dyDescent="0.25">
      <c r="F92" s="48">
        <v>14</v>
      </c>
      <c r="G92" s="48" t="s">
        <v>1</v>
      </c>
      <c r="H92" s="48"/>
      <c r="I92" s="48"/>
      <c r="J92" s="48" t="s">
        <v>8</v>
      </c>
      <c r="K92" s="48">
        <v>13</v>
      </c>
    </row>
    <row r="93" spans="6:11" x14ac:dyDescent="0.25">
      <c r="F93" s="48"/>
      <c r="G93" s="48"/>
      <c r="H93" s="48"/>
      <c r="I93" s="48"/>
      <c r="J93" s="48"/>
      <c r="K93" s="48"/>
    </row>
    <row r="94" spans="6:11" x14ac:dyDescent="0.25">
      <c r="F94" s="48"/>
      <c r="G94" s="48"/>
      <c r="H94" s="48"/>
      <c r="I94" s="48"/>
      <c r="J94" s="48"/>
      <c r="K94" s="48"/>
    </row>
    <row r="95" spans="6:11" x14ac:dyDescent="0.25">
      <c r="F95" s="48"/>
      <c r="G95" s="48"/>
      <c r="H95" s="48"/>
      <c r="I95" s="48"/>
      <c r="J95" s="48"/>
      <c r="K95" s="48"/>
    </row>
    <row r="96" spans="6:11" x14ac:dyDescent="0.25">
      <c r="F96" s="48"/>
      <c r="G96" s="48"/>
      <c r="H96" s="48"/>
      <c r="I96" s="48"/>
      <c r="J96" s="48"/>
      <c r="K96" s="48"/>
    </row>
    <row r="97" spans="6:11" x14ac:dyDescent="0.25">
      <c r="F97" s="48"/>
      <c r="G97" s="48"/>
      <c r="H97" s="48"/>
      <c r="I97" s="48"/>
      <c r="J97" s="48"/>
      <c r="K97" s="48"/>
    </row>
    <row r="98" spans="6:11" x14ac:dyDescent="0.25">
      <c r="F98" s="48"/>
      <c r="G98" s="48"/>
      <c r="H98" s="48"/>
      <c r="I98" s="48"/>
      <c r="J98" s="48"/>
      <c r="K98" s="48"/>
    </row>
    <row r="99" spans="6:11" x14ac:dyDescent="0.25">
      <c r="F99" s="48">
        <v>15</v>
      </c>
      <c r="G99" s="48" t="s">
        <v>2</v>
      </c>
      <c r="H99" s="48"/>
      <c r="I99" s="48"/>
      <c r="J99" s="48" t="s">
        <v>8</v>
      </c>
      <c r="K99" s="48">
        <v>12</v>
      </c>
    </row>
    <row r="100" spans="6:11" x14ac:dyDescent="0.25">
      <c r="F100" s="48"/>
      <c r="G100" s="48"/>
      <c r="H100" s="48"/>
      <c r="I100" s="48"/>
      <c r="J100" s="48"/>
      <c r="K100" s="48"/>
    </row>
    <row r="101" spans="6:11" x14ac:dyDescent="0.25">
      <c r="F101" s="48"/>
      <c r="G101" s="48"/>
      <c r="H101" s="48"/>
      <c r="I101" s="48"/>
      <c r="J101" s="48"/>
      <c r="K101" s="48"/>
    </row>
    <row r="102" spans="6:11" x14ac:dyDescent="0.25">
      <c r="F102" s="48"/>
      <c r="G102" s="48"/>
      <c r="H102" s="48"/>
      <c r="I102" s="48"/>
      <c r="J102" s="48"/>
      <c r="K102" s="48"/>
    </row>
    <row r="103" spans="6:11" x14ac:dyDescent="0.25">
      <c r="F103" s="48"/>
      <c r="G103" s="48"/>
      <c r="H103" s="48"/>
      <c r="I103" s="48"/>
      <c r="J103" s="48"/>
      <c r="K103" s="48"/>
    </row>
    <row r="104" spans="6:11" x14ac:dyDescent="0.25">
      <c r="F104" s="48"/>
      <c r="G104" s="48"/>
      <c r="H104" s="48"/>
      <c r="I104" s="48"/>
      <c r="J104" s="48"/>
      <c r="K104" s="48"/>
    </row>
    <row r="105" spans="6:11" x14ac:dyDescent="0.25">
      <c r="F105" s="48"/>
      <c r="G105" s="48"/>
      <c r="H105" s="48"/>
      <c r="I105" s="48"/>
      <c r="J105" s="48"/>
      <c r="K105" s="48"/>
    </row>
    <row r="106" spans="6:11" x14ac:dyDescent="0.25">
      <c r="F106" s="48">
        <v>16</v>
      </c>
      <c r="G106" s="48" t="s">
        <v>3</v>
      </c>
      <c r="H106" s="48"/>
      <c r="I106" s="48"/>
      <c r="J106" s="48" t="s">
        <v>8</v>
      </c>
      <c r="K106" s="48">
        <v>11</v>
      </c>
    </row>
    <row r="107" spans="6:11" x14ac:dyDescent="0.25">
      <c r="F107" s="48"/>
      <c r="G107" s="48"/>
      <c r="H107" s="48"/>
      <c r="I107" s="48"/>
      <c r="J107" s="48"/>
      <c r="K107" s="48"/>
    </row>
    <row r="108" spans="6:11" x14ac:dyDescent="0.25">
      <c r="F108" s="48"/>
      <c r="G108" s="48"/>
      <c r="H108" s="48"/>
      <c r="I108" s="48"/>
      <c r="J108" s="48"/>
      <c r="K108" s="48"/>
    </row>
    <row r="109" spans="6:11" x14ac:dyDescent="0.25">
      <c r="F109" s="48"/>
      <c r="G109" s="48"/>
      <c r="H109" s="48"/>
      <c r="I109" s="48"/>
      <c r="J109" s="48"/>
      <c r="K109" s="48"/>
    </row>
    <row r="110" spans="6:11" x14ac:dyDescent="0.25">
      <c r="F110" s="48"/>
      <c r="G110" s="48"/>
      <c r="H110" s="48"/>
      <c r="I110" s="48"/>
      <c r="J110" s="48"/>
      <c r="K110" s="48"/>
    </row>
    <row r="111" spans="6:11" x14ac:dyDescent="0.25">
      <c r="F111" s="48"/>
      <c r="G111" s="48"/>
      <c r="H111" s="48"/>
      <c r="I111" s="48"/>
      <c r="J111" s="48"/>
      <c r="K111" s="48"/>
    </row>
    <row r="112" spans="6:11" x14ac:dyDescent="0.25">
      <c r="F112" s="48"/>
      <c r="G112" s="48"/>
      <c r="H112" s="48"/>
      <c r="I112" s="48"/>
      <c r="J112" s="48"/>
      <c r="K112" s="48"/>
    </row>
    <row r="113" spans="6:11" x14ac:dyDescent="0.25">
      <c r="F113" s="48">
        <v>17</v>
      </c>
      <c r="G113" s="48">
        <v>10</v>
      </c>
      <c r="H113" s="48"/>
      <c r="I113" s="48"/>
      <c r="J113" s="48" t="s">
        <v>8</v>
      </c>
      <c r="K113" s="48">
        <v>10</v>
      </c>
    </row>
    <row r="114" spans="6:11" x14ac:dyDescent="0.25">
      <c r="F114" s="48"/>
      <c r="G114" s="48"/>
      <c r="H114" s="48"/>
      <c r="I114" s="48"/>
      <c r="J114" s="48"/>
      <c r="K114" s="48"/>
    </row>
    <row r="115" spans="6:11" x14ac:dyDescent="0.25">
      <c r="F115" s="48"/>
      <c r="G115" s="48"/>
      <c r="H115" s="48"/>
      <c r="I115" s="48"/>
      <c r="J115" s="48"/>
      <c r="K115" s="48"/>
    </row>
    <row r="116" spans="6:11" x14ac:dyDescent="0.25">
      <c r="F116" s="48"/>
      <c r="G116" s="48"/>
      <c r="H116" s="48"/>
      <c r="I116" s="48"/>
      <c r="J116" s="48"/>
      <c r="K116" s="48"/>
    </row>
    <row r="117" spans="6:11" x14ac:dyDescent="0.25">
      <c r="F117" s="48"/>
      <c r="G117" s="48"/>
      <c r="H117" s="48"/>
      <c r="I117" s="48"/>
      <c r="J117" s="48"/>
      <c r="K117" s="48"/>
    </row>
    <row r="118" spans="6:11" x14ac:dyDescent="0.25">
      <c r="F118" s="48"/>
      <c r="G118" s="48"/>
      <c r="H118" s="48"/>
      <c r="I118" s="48"/>
      <c r="J118" s="48"/>
      <c r="K118" s="48"/>
    </row>
    <row r="119" spans="6:11" x14ac:dyDescent="0.25">
      <c r="F119" s="48"/>
      <c r="G119" s="48"/>
      <c r="H119" s="48"/>
      <c r="I119" s="48"/>
      <c r="J119" s="48"/>
      <c r="K119" s="48"/>
    </row>
    <row r="120" spans="6:11" x14ac:dyDescent="0.25">
      <c r="F120" s="48">
        <v>18</v>
      </c>
      <c r="G120" s="48">
        <v>9</v>
      </c>
      <c r="H120" s="48"/>
      <c r="I120" s="48"/>
      <c r="J120" s="48" t="s">
        <v>8</v>
      </c>
      <c r="K120" s="48">
        <v>9</v>
      </c>
    </row>
    <row r="121" spans="6:11" x14ac:dyDescent="0.25">
      <c r="F121" s="48"/>
      <c r="G121" s="48"/>
      <c r="H121" s="48"/>
      <c r="I121" s="48"/>
      <c r="J121" s="48"/>
      <c r="K121" s="48"/>
    </row>
    <row r="122" spans="6:11" x14ac:dyDescent="0.25">
      <c r="F122" s="48"/>
      <c r="G122" s="48"/>
      <c r="H122" s="48"/>
      <c r="I122" s="48"/>
      <c r="J122" s="48"/>
      <c r="K122" s="48"/>
    </row>
    <row r="123" spans="6:11" x14ac:dyDescent="0.25">
      <c r="F123" s="48"/>
      <c r="G123" s="48"/>
      <c r="H123" s="48"/>
      <c r="I123" s="48"/>
      <c r="J123" s="48"/>
      <c r="K123" s="48"/>
    </row>
    <row r="124" spans="6:11" x14ac:dyDescent="0.25">
      <c r="F124" s="48"/>
      <c r="G124" s="48"/>
      <c r="H124" s="48"/>
      <c r="I124" s="48"/>
      <c r="J124" s="48"/>
      <c r="K124" s="48"/>
    </row>
    <row r="125" spans="6:11" x14ac:dyDescent="0.25">
      <c r="F125" s="48"/>
      <c r="G125" s="48"/>
      <c r="H125" s="48"/>
      <c r="I125" s="48"/>
      <c r="J125" s="48"/>
      <c r="K125" s="48"/>
    </row>
    <row r="126" spans="6:11" x14ac:dyDescent="0.25">
      <c r="F126" s="48"/>
      <c r="G126" s="48"/>
      <c r="H126" s="48"/>
      <c r="I126" s="48"/>
      <c r="J126" s="48"/>
      <c r="K126" s="48"/>
    </row>
    <row r="127" spans="6:11" x14ac:dyDescent="0.25">
      <c r="F127" s="48">
        <v>19</v>
      </c>
      <c r="G127" s="48">
        <v>8</v>
      </c>
      <c r="H127" s="48"/>
      <c r="I127" s="48"/>
      <c r="J127" s="48" t="s">
        <v>8</v>
      </c>
      <c r="K127" s="48">
        <v>8</v>
      </c>
    </row>
    <row r="128" spans="6:11" x14ac:dyDescent="0.25">
      <c r="F128" s="48"/>
      <c r="G128" s="48"/>
      <c r="H128" s="48"/>
      <c r="I128" s="48"/>
      <c r="J128" s="48"/>
      <c r="K128" s="48"/>
    </row>
    <row r="129" spans="6:11" x14ac:dyDescent="0.25">
      <c r="F129" s="48"/>
      <c r="G129" s="48"/>
      <c r="H129" s="48"/>
      <c r="I129" s="48"/>
      <c r="J129" s="48"/>
      <c r="K129" s="48"/>
    </row>
    <row r="130" spans="6:11" x14ac:dyDescent="0.25">
      <c r="F130" s="48"/>
      <c r="G130" s="48"/>
      <c r="H130" s="48"/>
      <c r="I130" s="48"/>
      <c r="J130" s="48"/>
      <c r="K130" s="48"/>
    </row>
    <row r="131" spans="6:11" x14ac:dyDescent="0.25">
      <c r="F131" s="48"/>
      <c r="G131" s="48"/>
      <c r="H131" s="48"/>
      <c r="I131" s="48"/>
      <c r="J131" s="48"/>
      <c r="K131" s="48"/>
    </row>
    <row r="132" spans="6:11" x14ac:dyDescent="0.25">
      <c r="F132" s="48"/>
      <c r="G132" s="48"/>
      <c r="H132" s="48"/>
      <c r="I132" s="48"/>
      <c r="J132" s="48"/>
      <c r="K132" s="48"/>
    </row>
    <row r="133" spans="6:11" x14ac:dyDescent="0.25">
      <c r="F133" s="48"/>
      <c r="G133" s="48"/>
      <c r="H133" s="48"/>
      <c r="I133" s="48"/>
      <c r="J133" s="48"/>
      <c r="K133" s="48"/>
    </row>
    <row r="134" spans="6:11" x14ac:dyDescent="0.25">
      <c r="F134" s="48">
        <v>20</v>
      </c>
      <c r="G134" s="48">
        <v>7</v>
      </c>
      <c r="H134" s="48"/>
      <c r="I134" s="48"/>
      <c r="J134" s="48" t="s">
        <v>8</v>
      </c>
      <c r="K134" s="48">
        <v>7</v>
      </c>
    </row>
    <row r="135" spans="6:11" x14ac:dyDescent="0.25">
      <c r="F135" s="48"/>
      <c r="G135" s="48"/>
      <c r="H135" s="48"/>
      <c r="I135" s="48"/>
      <c r="J135" s="48"/>
      <c r="K135" s="48"/>
    </row>
    <row r="136" spans="6:11" x14ac:dyDescent="0.25">
      <c r="F136" s="48"/>
      <c r="G136" s="48"/>
      <c r="H136" s="48"/>
      <c r="I136" s="48"/>
      <c r="J136" s="48"/>
      <c r="K136" s="48"/>
    </row>
    <row r="137" spans="6:11" x14ac:dyDescent="0.25">
      <c r="F137" s="48"/>
      <c r="G137" s="48"/>
      <c r="H137" s="48"/>
      <c r="I137" s="48"/>
      <c r="J137" s="48"/>
      <c r="K137" s="48"/>
    </row>
    <row r="138" spans="6:11" x14ac:dyDescent="0.25">
      <c r="F138" s="48"/>
      <c r="G138" s="48"/>
      <c r="H138" s="48"/>
      <c r="I138" s="48"/>
      <c r="J138" s="48"/>
      <c r="K138" s="48"/>
    </row>
    <row r="139" spans="6:11" x14ac:dyDescent="0.25">
      <c r="F139" s="48"/>
      <c r="G139" s="48"/>
      <c r="H139" s="48"/>
      <c r="I139" s="48"/>
      <c r="J139" s="48"/>
      <c r="K139" s="48"/>
    </row>
    <row r="140" spans="6:11" x14ac:dyDescent="0.25">
      <c r="F140" s="48"/>
      <c r="G140" s="48"/>
      <c r="H140" s="48"/>
      <c r="I140" s="48"/>
      <c r="J140" s="48"/>
      <c r="K140" s="48"/>
    </row>
    <row r="141" spans="6:11" x14ac:dyDescent="0.25">
      <c r="F141" s="48">
        <v>21</v>
      </c>
      <c r="G141" s="48">
        <v>6</v>
      </c>
      <c r="H141" s="48"/>
      <c r="I141" s="48"/>
      <c r="J141" s="48" t="s">
        <v>8</v>
      </c>
      <c r="K141" s="48">
        <v>6</v>
      </c>
    </row>
    <row r="142" spans="6:11" x14ac:dyDescent="0.25">
      <c r="F142" s="48"/>
      <c r="G142" s="48"/>
      <c r="H142" s="48"/>
      <c r="I142" s="48"/>
      <c r="J142" s="48"/>
      <c r="K142" s="48"/>
    </row>
    <row r="143" spans="6:11" x14ac:dyDescent="0.25">
      <c r="F143" s="48"/>
      <c r="G143" s="48"/>
      <c r="H143" s="48"/>
      <c r="I143" s="48"/>
      <c r="J143" s="48"/>
      <c r="K143" s="48"/>
    </row>
    <row r="144" spans="6:11" x14ac:dyDescent="0.25">
      <c r="F144" s="48"/>
      <c r="G144" s="48"/>
      <c r="H144" s="48"/>
      <c r="I144" s="48"/>
      <c r="J144" s="48"/>
      <c r="K144" s="48"/>
    </row>
    <row r="145" spans="6:11" x14ac:dyDescent="0.25">
      <c r="F145" s="48"/>
      <c r="G145" s="48"/>
      <c r="H145" s="48"/>
      <c r="I145" s="48"/>
      <c r="J145" s="48"/>
      <c r="K145" s="48"/>
    </row>
    <row r="146" spans="6:11" x14ac:dyDescent="0.25">
      <c r="F146" s="48"/>
      <c r="G146" s="48"/>
      <c r="H146" s="48"/>
      <c r="I146" s="48"/>
      <c r="J146" s="48"/>
      <c r="K146" s="48"/>
    </row>
    <row r="147" spans="6:11" x14ac:dyDescent="0.25">
      <c r="F147" s="48"/>
      <c r="G147" s="48"/>
      <c r="H147" s="48"/>
      <c r="I147" s="48"/>
      <c r="J147" s="48"/>
      <c r="K147" s="48"/>
    </row>
    <row r="148" spans="6:11" x14ac:dyDescent="0.25">
      <c r="F148" s="48">
        <v>22</v>
      </c>
      <c r="G148" s="48">
        <v>5</v>
      </c>
      <c r="H148" s="48"/>
      <c r="I148" s="48"/>
      <c r="J148" s="48" t="s">
        <v>8</v>
      </c>
      <c r="K148" s="48">
        <v>5</v>
      </c>
    </row>
    <row r="149" spans="6:11" x14ac:dyDescent="0.25">
      <c r="F149" s="48"/>
      <c r="G149" s="48"/>
      <c r="H149" s="48"/>
      <c r="I149" s="48"/>
      <c r="J149" s="48"/>
      <c r="K149" s="48"/>
    </row>
    <row r="150" spans="6:11" x14ac:dyDescent="0.25">
      <c r="F150" s="48"/>
      <c r="G150" s="48"/>
      <c r="H150" s="48"/>
      <c r="I150" s="48"/>
      <c r="J150" s="48"/>
      <c r="K150" s="48"/>
    </row>
    <row r="151" spans="6:11" x14ac:dyDescent="0.25">
      <c r="F151" s="48"/>
      <c r="G151" s="48"/>
      <c r="H151" s="48"/>
      <c r="I151" s="48"/>
      <c r="J151" s="48"/>
      <c r="K151" s="48"/>
    </row>
    <row r="152" spans="6:11" x14ac:dyDescent="0.25">
      <c r="F152" s="48"/>
      <c r="G152" s="48"/>
      <c r="H152" s="48"/>
      <c r="I152" s="48"/>
      <c r="J152" s="48"/>
      <c r="K152" s="48"/>
    </row>
    <row r="153" spans="6:11" x14ac:dyDescent="0.25">
      <c r="F153" s="48"/>
      <c r="G153" s="48"/>
      <c r="H153" s="48"/>
      <c r="I153" s="48"/>
      <c r="J153" s="48"/>
      <c r="K153" s="48"/>
    </row>
    <row r="154" spans="6:11" x14ac:dyDescent="0.25">
      <c r="F154" s="48"/>
      <c r="G154" s="48"/>
      <c r="H154" s="48"/>
      <c r="I154" s="48"/>
      <c r="J154" s="48"/>
      <c r="K154" s="48"/>
    </row>
    <row r="155" spans="6:11" x14ac:dyDescent="0.25">
      <c r="F155" s="48">
        <v>23</v>
      </c>
      <c r="G155" s="48">
        <v>4</v>
      </c>
      <c r="H155" s="48"/>
      <c r="I155" s="48"/>
      <c r="J155" s="48" t="s">
        <v>8</v>
      </c>
      <c r="K155" s="48">
        <v>4</v>
      </c>
    </row>
    <row r="156" spans="6:11" x14ac:dyDescent="0.25">
      <c r="F156" s="48"/>
      <c r="G156" s="48"/>
      <c r="H156" s="48"/>
      <c r="I156" s="48"/>
      <c r="J156" s="48"/>
      <c r="K156" s="48"/>
    </row>
    <row r="157" spans="6:11" x14ac:dyDescent="0.25">
      <c r="F157" s="48"/>
      <c r="G157" s="48"/>
      <c r="H157" s="48"/>
      <c r="I157" s="48"/>
      <c r="J157" s="48"/>
      <c r="K157" s="48"/>
    </row>
    <row r="158" spans="6:11" x14ac:dyDescent="0.25">
      <c r="F158" s="48"/>
      <c r="G158" s="48"/>
      <c r="H158" s="48"/>
      <c r="I158" s="48"/>
      <c r="J158" s="48"/>
      <c r="K158" s="48"/>
    </row>
    <row r="159" spans="6:11" x14ac:dyDescent="0.25">
      <c r="F159" s="48"/>
      <c r="G159" s="48"/>
      <c r="H159" s="48"/>
      <c r="I159" s="48"/>
      <c r="J159" s="48"/>
      <c r="K159" s="48"/>
    </row>
    <row r="160" spans="6:11" x14ac:dyDescent="0.25">
      <c r="F160" s="48"/>
      <c r="G160" s="48"/>
      <c r="H160" s="48"/>
      <c r="I160" s="48"/>
      <c r="J160" s="48"/>
      <c r="K160" s="48"/>
    </row>
    <row r="161" spans="6:11" x14ac:dyDescent="0.25">
      <c r="F161" s="48"/>
      <c r="G161" s="48"/>
      <c r="H161" s="48"/>
      <c r="I161" s="48"/>
      <c r="J161" s="48"/>
      <c r="K161" s="48"/>
    </row>
    <row r="162" spans="6:11" x14ac:dyDescent="0.25">
      <c r="F162" s="48">
        <v>24</v>
      </c>
      <c r="G162" s="48">
        <v>3</v>
      </c>
      <c r="H162" s="48"/>
      <c r="I162" s="48"/>
      <c r="J162" s="48" t="s">
        <v>8</v>
      </c>
      <c r="K162" s="48">
        <v>3</v>
      </c>
    </row>
    <row r="163" spans="6:11" x14ac:dyDescent="0.25">
      <c r="F163" s="48"/>
      <c r="G163" s="48"/>
      <c r="H163" s="48"/>
      <c r="I163" s="48"/>
      <c r="J163" s="48"/>
      <c r="K163" s="48"/>
    </row>
    <row r="164" spans="6:11" x14ac:dyDescent="0.25">
      <c r="F164" s="48"/>
      <c r="G164" s="48"/>
      <c r="H164" s="48"/>
      <c r="I164" s="48"/>
      <c r="J164" s="48"/>
      <c r="K164" s="48"/>
    </row>
    <row r="165" spans="6:11" x14ac:dyDescent="0.25">
      <c r="F165" s="48"/>
      <c r="G165" s="48"/>
      <c r="H165" s="48"/>
      <c r="I165" s="48"/>
      <c r="J165" s="48"/>
      <c r="K165" s="48"/>
    </row>
    <row r="166" spans="6:11" x14ac:dyDescent="0.25">
      <c r="F166" s="48"/>
      <c r="G166" s="48"/>
      <c r="H166" s="48"/>
      <c r="I166" s="48"/>
      <c r="J166" s="48"/>
      <c r="K166" s="48"/>
    </row>
    <row r="167" spans="6:11" x14ac:dyDescent="0.25">
      <c r="F167" s="48"/>
      <c r="G167" s="48"/>
      <c r="H167" s="48"/>
      <c r="I167" s="48"/>
      <c r="J167" s="48"/>
      <c r="K167" s="48"/>
    </row>
    <row r="168" spans="6:11" x14ac:dyDescent="0.25">
      <c r="F168" s="48"/>
      <c r="G168" s="48"/>
      <c r="H168" s="48"/>
      <c r="I168" s="48"/>
      <c r="J168" s="48"/>
      <c r="K168" s="48"/>
    </row>
    <row r="169" spans="6:11" x14ac:dyDescent="0.25">
      <c r="F169" s="48">
        <v>25</v>
      </c>
      <c r="G169" s="48">
        <v>2</v>
      </c>
      <c r="H169" s="48"/>
      <c r="I169" s="48"/>
      <c r="J169" s="48" t="s">
        <v>8</v>
      </c>
      <c r="K169" s="48">
        <v>2</v>
      </c>
    </row>
    <row r="170" spans="6:11" x14ac:dyDescent="0.25">
      <c r="F170" s="48"/>
      <c r="G170" s="48"/>
      <c r="H170" s="48"/>
      <c r="I170" s="48"/>
      <c r="J170" s="48"/>
      <c r="K170" s="48"/>
    </row>
    <row r="171" spans="6:11" x14ac:dyDescent="0.25">
      <c r="F171" s="48"/>
      <c r="G171" s="48"/>
      <c r="H171" s="48"/>
      <c r="I171" s="48"/>
      <c r="J171" s="48"/>
      <c r="K171" s="48"/>
    </row>
    <row r="172" spans="6:11" x14ac:dyDescent="0.25">
      <c r="F172" s="48"/>
      <c r="G172" s="48"/>
      <c r="H172" s="48"/>
      <c r="I172" s="48"/>
      <c r="J172" s="48"/>
      <c r="K172" s="48"/>
    </row>
    <row r="173" spans="6:11" x14ac:dyDescent="0.25">
      <c r="F173" s="48"/>
      <c r="G173" s="48"/>
      <c r="H173" s="48"/>
      <c r="I173" s="48"/>
      <c r="J173" s="48"/>
      <c r="K173" s="48"/>
    </row>
    <row r="174" spans="6:11" x14ac:dyDescent="0.25">
      <c r="F174" s="48"/>
      <c r="G174" s="48"/>
      <c r="H174" s="48"/>
      <c r="I174" s="48"/>
      <c r="J174" s="48"/>
      <c r="K174" s="48"/>
    </row>
    <row r="175" spans="6:11" x14ac:dyDescent="0.25">
      <c r="F175" s="48"/>
      <c r="G175" s="48"/>
      <c r="H175" s="48"/>
      <c r="I175" s="48"/>
      <c r="J175" s="48"/>
      <c r="K175" s="48"/>
    </row>
    <row r="176" spans="6:11" x14ac:dyDescent="0.25">
      <c r="F176" s="48">
        <v>26</v>
      </c>
      <c r="G176" s="48">
        <v>1</v>
      </c>
      <c r="H176" s="48"/>
      <c r="I176" s="48"/>
      <c r="J176" s="48" t="s">
        <v>8</v>
      </c>
      <c r="K176" s="48">
        <v>1</v>
      </c>
    </row>
    <row r="177" spans="6:11" x14ac:dyDescent="0.25">
      <c r="F177" s="48"/>
      <c r="G177" s="48"/>
      <c r="H177" s="48"/>
      <c r="I177" s="48"/>
      <c r="J177" s="48"/>
      <c r="K177" s="48"/>
    </row>
    <row r="178" spans="6:11" x14ac:dyDescent="0.25">
      <c r="F178" s="48"/>
      <c r="G178" s="48"/>
      <c r="H178" s="48"/>
      <c r="I178" s="48"/>
      <c r="J178" s="48"/>
      <c r="K178" s="48"/>
    </row>
    <row r="179" spans="6:11" x14ac:dyDescent="0.25">
      <c r="F179" s="48"/>
      <c r="G179" s="48"/>
      <c r="H179" s="48"/>
      <c r="I179" s="48"/>
      <c r="J179" s="48"/>
      <c r="K179" s="48"/>
    </row>
    <row r="180" spans="6:11" x14ac:dyDescent="0.25">
      <c r="F180" s="48"/>
      <c r="G180" s="48"/>
      <c r="H180" s="48"/>
      <c r="I180" s="48"/>
      <c r="J180" s="48"/>
      <c r="K180" s="48"/>
    </row>
    <row r="181" spans="6:11" x14ac:dyDescent="0.25">
      <c r="F181" s="48"/>
      <c r="G181" s="48"/>
      <c r="H181" s="48"/>
      <c r="I181" s="48"/>
      <c r="J181" s="48"/>
      <c r="K181" s="48"/>
    </row>
    <row r="182" spans="6:11" x14ac:dyDescent="0.25">
      <c r="F182" s="48"/>
      <c r="G182" s="48"/>
      <c r="H182" s="48"/>
      <c r="I182" s="48"/>
      <c r="J182" s="48"/>
      <c r="K182" s="48"/>
    </row>
    <row r="183" spans="6:11" x14ac:dyDescent="0.25">
      <c r="F183" s="48">
        <v>27</v>
      </c>
      <c r="G183" s="48" t="s">
        <v>1</v>
      </c>
      <c r="H183" s="48"/>
      <c r="I183" s="48"/>
      <c r="J183" s="48" t="s">
        <v>9</v>
      </c>
      <c r="K183" s="48">
        <v>13</v>
      </c>
    </row>
    <row r="184" spans="6:11" x14ac:dyDescent="0.25">
      <c r="F184" s="48"/>
      <c r="G184" s="48"/>
      <c r="H184" s="48"/>
      <c r="I184" s="48"/>
      <c r="J184" s="48"/>
      <c r="K184" s="48"/>
    </row>
    <row r="185" spans="6:11" x14ac:dyDescent="0.25">
      <c r="F185" s="48"/>
      <c r="G185" s="48"/>
      <c r="H185" s="48"/>
      <c r="I185" s="48"/>
      <c r="J185" s="48"/>
      <c r="K185" s="48"/>
    </row>
    <row r="186" spans="6:11" x14ac:dyDescent="0.25">
      <c r="F186" s="48"/>
      <c r="G186" s="48"/>
      <c r="H186" s="48"/>
      <c r="I186" s="48"/>
      <c r="J186" s="48"/>
      <c r="K186" s="48"/>
    </row>
    <row r="187" spans="6:11" x14ac:dyDescent="0.25">
      <c r="F187" s="48"/>
      <c r="G187" s="48"/>
      <c r="H187" s="48"/>
      <c r="I187" s="48"/>
      <c r="J187" s="48"/>
      <c r="K187" s="48"/>
    </row>
    <row r="188" spans="6:11" x14ac:dyDescent="0.25">
      <c r="F188" s="48"/>
      <c r="G188" s="48"/>
      <c r="H188" s="48"/>
      <c r="I188" s="48"/>
      <c r="J188" s="48"/>
      <c r="K188" s="48"/>
    </row>
    <row r="189" spans="6:11" x14ac:dyDescent="0.25">
      <c r="F189" s="48"/>
      <c r="G189" s="48"/>
      <c r="H189" s="48"/>
      <c r="I189" s="48"/>
      <c r="J189" s="48"/>
      <c r="K189" s="48"/>
    </row>
    <row r="190" spans="6:11" x14ac:dyDescent="0.25">
      <c r="F190" s="48">
        <v>28</v>
      </c>
      <c r="G190" s="48" t="s">
        <v>2</v>
      </c>
      <c r="H190" s="48"/>
      <c r="I190" s="48"/>
      <c r="J190" s="48" t="s">
        <v>9</v>
      </c>
      <c r="K190" s="48">
        <v>12</v>
      </c>
    </row>
    <row r="191" spans="6:11" x14ac:dyDescent="0.25">
      <c r="F191" s="48"/>
      <c r="G191" s="48"/>
      <c r="H191" s="48"/>
      <c r="I191" s="48"/>
      <c r="J191" s="48"/>
      <c r="K191" s="48"/>
    </row>
    <row r="192" spans="6:11" x14ac:dyDescent="0.25">
      <c r="F192" s="48"/>
      <c r="G192" s="48"/>
      <c r="H192" s="48"/>
      <c r="I192" s="48"/>
      <c r="J192" s="48"/>
      <c r="K192" s="48"/>
    </row>
    <row r="193" spans="6:11" x14ac:dyDescent="0.25">
      <c r="F193" s="48"/>
      <c r="G193" s="48"/>
      <c r="H193" s="48"/>
      <c r="I193" s="48"/>
      <c r="J193" s="48"/>
      <c r="K193" s="48"/>
    </row>
    <row r="194" spans="6:11" x14ac:dyDescent="0.25">
      <c r="F194" s="48"/>
      <c r="G194" s="48"/>
      <c r="H194" s="48"/>
      <c r="I194" s="48"/>
      <c r="J194" s="48"/>
      <c r="K194" s="48"/>
    </row>
    <row r="195" spans="6:11" x14ac:dyDescent="0.25">
      <c r="F195" s="48"/>
      <c r="G195" s="48"/>
      <c r="H195" s="48"/>
      <c r="I195" s="48"/>
      <c r="J195" s="48"/>
      <c r="K195" s="48"/>
    </row>
    <row r="196" spans="6:11" x14ac:dyDescent="0.25">
      <c r="F196" s="48"/>
      <c r="G196" s="48"/>
      <c r="H196" s="48"/>
      <c r="I196" s="48"/>
      <c r="J196" s="48"/>
      <c r="K196" s="48"/>
    </row>
    <row r="197" spans="6:11" x14ac:dyDescent="0.25">
      <c r="F197" s="48">
        <v>29</v>
      </c>
      <c r="G197" s="48" t="s">
        <v>3</v>
      </c>
      <c r="H197" s="48"/>
      <c r="I197" s="48"/>
      <c r="J197" s="48" t="s">
        <v>9</v>
      </c>
      <c r="K197" s="48">
        <v>11</v>
      </c>
    </row>
    <row r="198" spans="6:11" x14ac:dyDescent="0.25">
      <c r="F198" s="48"/>
      <c r="G198" s="48"/>
      <c r="H198" s="48"/>
      <c r="I198" s="48"/>
      <c r="J198" s="48"/>
      <c r="K198" s="48"/>
    </row>
    <row r="199" spans="6:11" x14ac:dyDescent="0.25">
      <c r="F199" s="48"/>
      <c r="G199" s="48"/>
      <c r="H199" s="48"/>
      <c r="I199" s="48"/>
      <c r="J199" s="48"/>
      <c r="K199" s="48"/>
    </row>
    <row r="200" spans="6:11" x14ac:dyDescent="0.25">
      <c r="F200" s="48"/>
      <c r="G200" s="48"/>
      <c r="H200" s="48"/>
      <c r="I200" s="48"/>
      <c r="J200" s="48"/>
      <c r="K200" s="48"/>
    </row>
    <row r="201" spans="6:11" x14ac:dyDescent="0.25">
      <c r="F201" s="48"/>
      <c r="G201" s="48"/>
      <c r="H201" s="48"/>
      <c r="I201" s="48"/>
      <c r="J201" s="48"/>
      <c r="K201" s="48"/>
    </row>
    <row r="202" spans="6:11" x14ac:dyDescent="0.25">
      <c r="F202" s="48"/>
      <c r="G202" s="48"/>
      <c r="H202" s="48"/>
      <c r="I202" s="48"/>
      <c r="J202" s="48"/>
      <c r="K202" s="48"/>
    </row>
    <row r="203" spans="6:11" x14ac:dyDescent="0.25">
      <c r="F203" s="48"/>
      <c r="G203" s="48"/>
      <c r="H203" s="48"/>
      <c r="I203" s="48"/>
      <c r="J203" s="48"/>
      <c r="K203" s="48"/>
    </row>
    <row r="204" spans="6:11" x14ac:dyDescent="0.25">
      <c r="F204" s="48">
        <v>30</v>
      </c>
      <c r="G204" s="48">
        <v>10</v>
      </c>
      <c r="H204" s="48"/>
      <c r="I204" s="48"/>
      <c r="J204" s="48" t="s">
        <v>9</v>
      </c>
      <c r="K204" s="48">
        <v>10</v>
      </c>
    </row>
    <row r="205" spans="6:11" x14ac:dyDescent="0.25">
      <c r="F205" s="48"/>
      <c r="G205" s="48"/>
      <c r="H205" s="48"/>
      <c r="I205" s="48"/>
      <c r="J205" s="48"/>
      <c r="K205" s="48"/>
    </row>
    <row r="206" spans="6:11" x14ac:dyDescent="0.25">
      <c r="F206" s="48"/>
      <c r="G206" s="48"/>
      <c r="H206" s="48"/>
      <c r="I206" s="48"/>
      <c r="J206" s="48"/>
      <c r="K206" s="48"/>
    </row>
    <row r="207" spans="6:11" x14ac:dyDescent="0.25">
      <c r="F207" s="48"/>
      <c r="G207" s="48"/>
      <c r="H207" s="48"/>
      <c r="I207" s="48"/>
      <c r="J207" s="48"/>
      <c r="K207" s="48"/>
    </row>
    <row r="208" spans="6:11" x14ac:dyDescent="0.25">
      <c r="F208" s="48"/>
      <c r="G208" s="48"/>
      <c r="H208" s="48"/>
      <c r="I208" s="48"/>
      <c r="J208" s="48"/>
      <c r="K208" s="48"/>
    </row>
    <row r="209" spans="6:11" x14ac:dyDescent="0.25">
      <c r="F209" s="48"/>
      <c r="G209" s="48"/>
      <c r="H209" s="48"/>
      <c r="I209" s="48"/>
      <c r="J209" s="48"/>
      <c r="K209" s="48"/>
    </row>
    <row r="210" spans="6:11" x14ac:dyDescent="0.25">
      <c r="F210" s="48"/>
      <c r="G210" s="48"/>
      <c r="H210" s="48"/>
      <c r="I210" s="48"/>
      <c r="J210" s="48"/>
      <c r="K210" s="48"/>
    </row>
    <row r="211" spans="6:11" x14ac:dyDescent="0.25">
      <c r="F211" s="48">
        <v>31</v>
      </c>
      <c r="G211" s="48">
        <v>9</v>
      </c>
      <c r="H211" s="48"/>
      <c r="I211" s="48"/>
      <c r="J211" s="48" t="s">
        <v>9</v>
      </c>
      <c r="K211" s="48">
        <v>9</v>
      </c>
    </row>
    <row r="212" spans="6:11" x14ac:dyDescent="0.25">
      <c r="F212" s="48"/>
      <c r="G212" s="48"/>
      <c r="H212" s="48"/>
      <c r="I212" s="48"/>
      <c r="J212" s="48"/>
      <c r="K212" s="48"/>
    </row>
    <row r="213" spans="6:11" x14ac:dyDescent="0.25">
      <c r="F213" s="48"/>
      <c r="G213" s="48"/>
      <c r="H213" s="48"/>
      <c r="I213" s="48"/>
      <c r="J213" s="48"/>
      <c r="K213" s="48"/>
    </row>
    <row r="214" spans="6:11" x14ac:dyDescent="0.25">
      <c r="F214" s="48"/>
      <c r="G214" s="48"/>
      <c r="H214" s="48"/>
      <c r="I214" s="48"/>
      <c r="J214" s="48"/>
      <c r="K214" s="48"/>
    </row>
    <row r="215" spans="6:11" x14ac:dyDescent="0.25">
      <c r="F215" s="48"/>
      <c r="G215" s="48"/>
      <c r="H215" s="48"/>
      <c r="I215" s="48"/>
      <c r="J215" s="48"/>
      <c r="K215" s="48"/>
    </row>
    <row r="216" spans="6:11" x14ac:dyDescent="0.25">
      <c r="F216" s="48"/>
      <c r="G216" s="48"/>
      <c r="H216" s="48"/>
      <c r="I216" s="48"/>
      <c r="J216" s="48"/>
      <c r="K216" s="48"/>
    </row>
    <row r="217" spans="6:11" x14ac:dyDescent="0.25">
      <c r="F217" s="48"/>
      <c r="G217" s="48"/>
      <c r="H217" s="48"/>
      <c r="I217" s="48"/>
      <c r="J217" s="48"/>
      <c r="K217" s="48"/>
    </row>
    <row r="218" spans="6:11" x14ac:dyDescent="0.25">
      <c r="F218" s="48">
        <v>32</v>
      </c>
      <c r="G218" s="48">
        <v>8</v>
      </c>
      <c r="H218" s="48"/>
      <c r="I218" s="48"/>
      <c r="J218" s="48" t="s">
        <v>9</v>
      </c>
      <c r="K218" s="48">
        <v>8</v>
      </c>
    </row>
    <row r="219" spans="6:11" x14ac:dyDescent="0.25">
      <c r="F219" s="48"/>
      <c r="G219" s="48"/>
      <c r="H219" s="48"/>
      <c r="I219" s="48"/>
      <c r="J219" s="48"/>
      <c r="K219" s="48"/>
    </row>
    <row r="220" spans="6:11" x14ac:dyDescent="0.25">
      <c r="F220" s="48"/>
      <c r="G220" s="48"/>
      <c r="H220" s="48"/>
      <c r="I220" s="48"/>
      <c r="J220" s="48"/>
      <c r="K220" s="48"/>
    </row>
    <row r="221" spans="6:11" x14ac:dyDescent="0.25">
      <c r="F221" s="48"/>
      <c r="G221" s="48"/>
      <c r="H221" s="48"/>
      <c r="I221" s="48"/>
      <c r="J221" s="48"/>
      <c r="K221" s="48"/>
    </row>
    <row r="222" spans="6:11" x14ac:dyDescent="0.25">
      <c r="F222" s="48"/>
      <c r="G222" s="48"/>
      <c r="H222" s="48"/>
      <c r="I222" s="48"/>
      <c r="J222" s="48"/>
      <c r="K222" s="48"/>
    </row>
    <row r="223" spans="6:11" x14ac:dyDescent="0.25">
      <c r="F223" s="48"/>
      <c r="G223" s="48"/>
      <c r="H223" s="48"/>
      <c r="I223" s="48"/>
      <c r="J223" s="48"/>
      <c r="K223" s="48"/>
    </row>
    <row r="224" spans="6:11" x14ac:dyDescent="0.25">
      <c r="F224" s="48"/>
      <c r="G224" s="48"/>
      <c r="H224" s="48"/>
      <c r="I224" s="48"/>
      <c r="J224" s="48"/>
      <c r="K224" s="48"/>
    </row>
    <row r="225" spans="6:11" x14ac:dyDescent="0.25">
      <c r="F225" s="48">
        <v>33</v>
      </c>
      <c r="G225" s="48">
        <v>7</v>
      </c>
      <c r="H225" s="48"/>
      <c r="I225" s="48"/>
      <c r="J225" s="48" t="s">
        <v>9</v>
      </c>
      <c r="K225" s="48">
        <v>7</v>
      </c>
    </row>
    <row r="226" spans="6:11" x14ac:dyDescent="0.25">
      <c r="F226" s="48"/>
      <c r="G226" s="48"/>
      <c r="H226" s="48"/>
      <c r="I226" s="48"/>
      <c r="J226" s="48"/>
      <c r="K226" s="48"/>
    </row>
    <row r="227" spans="6:11" x14ac:dyDescent="0.25">
      <c r="F227" s="48"/>
      <c r="G227" s="48"/>
      <c r="H227" s="48"/>
      <c r="I227" s="48"/>
      <c r="J227" s="48"/>
      <c r="K227" s="48"/>
    </row>
    <row r="228" spans="6:11" x14ac:dyDescent="0.25">
      <c r="F228" s="48"/>
      <c r="G228" s="48"/>
      <c r="H228" s="48"/>
      <c r="I228" s="48"/>
      <c r="J228" s="48"/>
      <c r="K228" s="48"/>
    </row>
    <row r="229" spans="6:11" x14ac:dyDescent="0.25">
      <c r="F229" s="48"/>
      <c r="G229" s="48"/>
      <c r="H229" s="48"/>
      <c r="I229" s="48"/>
      <c r="J229" s="48"/>
      <c r="K229" s="48"/>
    </row>
    <row r="230" spans="6:11" x14ac:dyDescent="0.25">
      <c r="F230" s="48"/>
      <c r="G230" s="48"/>
      <c r="H230" s="48"/>
      <c r="I230" s="48"/>
      <c r="J230" s="48"/>
      <c r="K230" s="48"/>
    </row>
    <row r="231" spans="6:11" x14ac:dyDescent="0.25">
      <c r="F231" s="48"/>
      <c r="G231" s="48"/>
      <c r="H231" s="48"/>
      <c r="I231" s="48"/>
      <c r="J231" s="48"/>
      <c r="K231" s="48"/>
    </row>
    <row r="232" spans="6:11" x14ac:dyDescent="0.25">
      <c r="F232" s="48">
        <v>34</v>
      </c>
      <c r="G232" s="48">
        <v>6</v>
      </c>
      <c r="H232" s="48"/>
      <c r="I232" s="48"/>
      <c r="J232" s="48" t="s">
        <v>9</v>
      </c>
      <c r="K232" s="48">
        <v>6</v>
      </c>
    </row>
    <row r="233" spans="6:11" x14ac:dyDescent="0.25">
      <c r="F233" s="48"/>
      <c r="G233" s="48"/>
      <c r="H233" s="48"/>
      <c r="I233" s="48"/>
      <c r="J233" s="48"/>
      <c r="K233" s="48"/>
    </row>
    <row r="234" spans="6:11" x14ac:dyDescent="0.25">
      <c r="F234" s="48"/>
      <c r="G234" s="48"/>
      <c r="H234" s="48"/>
      <c r="I234" s="48"/>
      <c r="J234" s="48"/>
      <c r="K234" s="48"/>
    </row>
    <row r="235" spans="6:11" x14ac:dyDescent="0.25">
      <c r="F235" s="48"/>
      <c r="G235" s="48"/>
      <c r="H235" s="48"/>
      <c r="I235" s="48"/>
      <c r="J235" s="48"/>
      <c r="K235" s="48"/>
    </row>
    <row r="236" spans="6:11" x14ac:dyDescent="0.25">
      <c r="F236" s="48"/>
      <c r="G236" s="48"/>
      <c r="H236" s="48"/>
      <c r="I236" s="48"/>
      <c r="J236" s="48"/>
      <c r="K236" s="48"/>
    </row>
    <row r="237" spans="6:11" x14ac:dyDescent="0.25">
      <c r="F237" s="48"/>
      <c r="G237" s="48"/>
      <c r="H237" s="48"/>
      <c r="I237" s="48"/>
      <c r="J237" s="48"/>
      <c r="K237" s="48"/>
    </row>
    <row r="238" spans="6:11" x14ac:dyDescent="0.25">
      <c r="F238" s="48"/>
      <c r="G238" s="48"/>
      <c r="H238" s="48"/>
      <c r="I238" s="48"/>
      <c r="J238" s="48"/>
      <c r="K238" s="48"/>
    </row>
    <row r="239" spans="6:11" x14ac:dyDescent="0.25">
      <c r="F239" s="48">
        <v>35</v>
      </c>
      <c r="G239" s="48">
        <v>5</v>
      </c>
      <c r="H239" s="48"/>
      <c r="I239" s="48"/>
      <c r="J239" s="48" t="s">
        <v>9</v>
      </c>
      <c r="K239" s="48">
        <v>5</v>
      </c>
    </row>
    <row r="240" spans="6:11" x14ac:dyDescent="0.25">
      <c r="F240" s="48"/>
      <c r="G240" s="48"/>
      <c r="H240" s="48"/>
      <c r="I240" s="48"/>
      <c r="J240" s="48"/>
      <c r="K240" s="48"/>
    </row>
    <row r="241" spans="6:11" x14ac:dyDescent="0.25">
      <c r="F241" s="48"/>
      <c r="G241" s="48"/>
      <c r="H241" s="48"/>
      <c r="I241" s="48"/>
      <c r="J241" s="48"/>
      <c r="K241" s="48"/>
    </row>
    <row r="242" spans="6:11" x14ac:dyDescent="0.25">
      <c r="F242" s="48"/>
      <c r="G242" s="48"/>
      <c r="H242" s="48"/>
      <c r="I242" s="48"/>
      <c r="J242" s="48"/>
      <c r="K242" s="48"/>
    </row>
    <row r="243" spans="6:11" x14ac:dyDescent="0.25">
      <c r="F243" s="48"/>
      <c r="G243" s="48"/>
      <c r="H243" s="48"/>
      <c r="I243" s="48"/>
      <c r="J243" s="48"/>
      <c r="K243" s="48"/>
    </row>
    <row r="244" spans="6:11" x14ac:dyDescent="0.25">
      <c r="F244" s="48"/>
      <c r="G244" s="48"/>
      <c r="H244" s="48"/>
      <c r="I244" s="48"/>
      <c r="J244" s="48"/>
      <c r="K244" s="48"/>
    </row>
    <row r="245" spans="6:11" x14ac:dyDescent="0.25">
      <c r="F245" s="48"/>
      <c r="G245" s="48"/>
      <c r="H245" s="48"/>
      <c r="I245" s="48"/>
      <c r="J245" s="48"/>
      <c r="K245" s="48"/>
    </row>
    <row r="246" spans="6:11" x14ac:dyDescent="0.25">
      <c r="F246" s="48">
        <v>36</v>
      </c>
      <c r="G246" s="48">
        <v>4</v>
      </c>
      <c r="H246" s="48"/>
      <c r="I246" s="48"/>
      <c r="J246" s="48" t="s">
        <v>9</v>
      </c>
      <c r="K246" s="48">
        <v>4</v>
      </c>
    </row>
    <row r="247" spans="6:11" x14ac:dyDescent="0.25">
      <c r="F247" s="48"/>
      <c r="G247" s="48"/>
      <c r="H247" s="48"/>
      <c r="I247" s="48"/>
      <c r="J247" s="48"/>
      <c r="K247" s="48"/>
    </row>
    <row r="248" spans="6:11" x14ac:dyDescent="0.25">
      <c r="F248" s="48"/>
      <c r="G248" s="48"/>
      <c r="H248" s="48"/>
      <c r="I248" s="48"/>
      <c r="J248" s="48"/>
      <c r="K248" s="48"/>
    </row>
    <row r="249" spans="6:11" x14ac:dyDescent="0.25">
      <c r="F249" s="48"/>
      <c r="G249" s="48"/>
      <c r="H249" s="48"/>
      <c r="I249" s="48"/>
      <c r="J249" s="48"/>
      <c r="K249" s="48"/>
    </row>
    <row r="250" spans="6:11" x14ac:dyDescent="0.25">
      <c r="F250" s="48"/>
      <c r="G250" s="48"/>
      <c r="H250" s="48"/>
      <c r="I250" s="48"/>
      <c r="J250" s="48"/>
      <c r="K250" s="48"/>
    </row>
    <row r="251" spans="6:11" x14ac:dyDescent="0.25">
      <c r="F251" s="48"/>
      <c r="G251" s="48"/>
      <c r="H251" s="48"/>
      <c r="I251" s="48"/>
      <c r="J251" s="48"/>
      <c r="K251" s="48"/>
    </row>
    <row r="252" spans="6:11" x14ac:dyDescent="0.25">
      <c r="F252" s="48"/>
      <c r="G252" s="48"/>
      <c r="H252" s="48"/>
      <c r="I252" s="48"/>
      <c r="J252" s="48"/>
      <c r="K252" s="48"/>
    </row>
    <row r="253" spans="6:11" x14ac:dyDescent="0.25">
      <c r="F253" s="48">
        <v>37</v>
      </c>
      <c r="G253" s="48">
        <v>3</v>
      </c>
      <c r="H253" s="48"/>
      <c r="I253" s="48"/>
      <c r="J253" s="48" t="s">
        <v>9</v>
      </c>
      <c r="K253" s="48">
        <v>3</v>
      </c>
    </row>
    <row r="254" spans="6:11" x14ac:dyDescent="0.25">
      <c r="F254" s="48"/>
      <c r="G254" s="48"/>
      <c r="H254" s="48"/>
      <c r="I254" s="48"/>
      <c r="J254" s="48"/>
      <c r="K254" s="48"/>
    </row>
    <row r="255" spans="6:11" x14ac:dyDescent="0.25">
      <c r="F255" s="48"/>
      <c r="G255" s="48"/>
      <c r="H255" s="48"/>
      <c r="I255" s="48"/>
      <c r="J255" s="48"/>
      <c r="K255" s="48"/>
    </row>
    <row r="256" spans="6:11" x14ac:dyDescent="0.25">
      <c r="F256" s="48"/>
      <c r="G256" s="48"/>
      <c r="H256" s="48"/>
      <c r="I256" s="48"/>
      <c r="J256" s="48"/>
      <c r="K256" s="48"/>
    </row>
    <row r="257" spans="6:11" x14ac:dyDescent="0.25">
      <c r="F257" s="48"/>
      <c r="G257" s="48"/>
      <c r="H257" s="48"/>
      <c r="I257" s="48"/>
      <c r="J257" s="48"/>
      <c r="K257" s="48"/>
    </row>
    <row r="258" spans="6:11" x14ac:dyDescent="0.25">
      <c r="F258" s="48"/>
      <c r="G258" s="48"/>
      <c r="H258" s="48"/>
      <c r="I258" s="48"/>
      <c r="J258" s="48"/>
      <c r="K258" s="48"/>
    </row>
    <row r="259" spans="6:11" x14ac:dyDescent="0.25">
      <c r="F259" s="48"/>
      <c r="G259" s="48"/>
      <c r="H259" s="48"/>
      <c r="I259" s="48"/>
      <c r="J259" s="48"/>
      <c r="K259" s="48"/>
    </row>
    <row r="260" spans="6:11" x14ac:dyDescent="0.25">
      <c r="F260" s="48">
        <v>38</v>
      </c>
      <c r="G260" s="48">
        <v>2</v>
      </c>
      <c r="H260" s="48"/>
      <c r="I260" s="48"/>
      <c r="J260" s="48" t="s">
        <v>9</v>
      </c>
      <c r="K260" s="48">
        <v>2</v>
      </c>
    </row>
    <row r="261" spans="6:11" x14ac:dyDescent="0.25">
      <c r="F261" s="48"/>
      <c r="G261" s="48"/>
      <c r="H261" s="48"/>
      <c r="I261" s="48"/>
      <c r="J261" s="48"/>
      <c r="K261" s="48"/>
    </row>
    <row r="262" spans="6:11" x14ac:dyDescent="0.25">
      <c r="F262" s="48"/>
      <c r="G262" s="48"/>
      <c r="H262" s="48"/>
      <c r="I262" s="48"/>
      <c r="J262" s="48"/>
      <c r="K262" s="48"/>
    </row>
    <row r="263" spans="6:11" x14ac:dyDescent="0.25">
      <c r="F263" s="48"/>
      <c r="G263" s="48"/>
      <c r="H263" s="48"/>
      <c r="I263" s="48"/>
      <c r="J263" s="48"/>
      <c r="K263" s="48"/>
    </row>
    <row r="264" spans="6:11" x14ac:dyDescent="0.25">
      <c r="F264" s="48"/>
      <c r="G264" s="48"/>
      <c r="H264" s="48"/>
      <c r="I264" s="48"/>
      <c r="J264" s="48"/>
      <c r="K264" s="48"/>
    </row>
    <row r="265" spans="6:11" x14ac:dyDescent="0.25">
      <c r="F265" s="48"/>
      <c r="G265" s="48"/>
      <c r="H265" s="48"/>
      <c r="I265" s="48"/>
      <c r="J265" s="48"/>
      <c r="K265" s="48"/>
    </row>
    <row r="266" spans="6:11" x14ac:dyDescent="0.25">
      <c r="F266" s="48"/>
      <c r="G266" s="48"/>
      <c r="H266" s="48"/>
      <c r="I266" s="48"/>
      <c r="J266" s="48"/>
      <c r="K266" s="48"/>
    </row>
    <row r="267" spans="6:11" x14ac:dyDescent="0.25">
      <c r="F267" s="48">
        <v>39</v>
      </c>
      <c r="G267" s="48">
        <v>1</v>
      </c>
      <c r="H267" s="48"/>
      <c r="I267" s="48"/>
      <c r="J267" s="48" t="s">
        <v>9</v>
      </c>
      <c r="K267" s="48">
        <v>1</v>
      </c>
    </row>
    <row r="268" spans="6:11" x14ac:dyDescent="0.25">
      <c r="F268" s="48"/>
      <c r="G268" s="48"/>
      <c r="H268" s="48"/>
      <c r="I268" s="48"/>
      <c r="J268" s="48"/>
      <c r="K268" s="48"/>
    </row>
    <row r="269" spans="6:11" x14ac:dyDescent="0.25">
      <c r="F269" s="48"/>
      <c r="G269" s="48"/>
      <c r="H269" s="48"/>
      <c r="I269" s="48"/>
      <c r="J269" s="48"/>
      <c r="K269" s="48"/>
    </row>
    <row r="270" spans="6:11" x14ac:dyDescent="0.25">
      <c r="F270" s="48"/>
      <c r="G270" s="48"/>
      <c r="H270" s="48"/>
      <c r="I270" s="48"/>
      <c r="J270" s="48"/>
      <c r="K270" s="48"/>
    </row>
    <row r="271" spans="6:11" x14ac:dyDescent="0.25">
      <c r="F271" s="48"/>
      <c r="G271" s="48"/>
      <c r="H271" s="48"/>
      <c r="I271" s="48"/>
      <c r="J271" s="48"/>
      <c r="K271" s="48"/>
    </row>
    <row r="272" spans="6:11" x14ac:dyDescent="0.25">
      <c r="F272" s="48"/>
      <c r="G272" s="48"/>
      <c r="H272" s="48"/>
      <c r="I272" s="48"/>
      <c r="J272" s="48"/>
      <c r="K272" s="48"/>
    </row>
    <row r="273" spans="6:11" x14ac:dyDescent="0.25">
      <c r="F273" s="48"/>
      <c r="G273" s="48"/>
      <c r="H273" s="48"/>
      <c r="I273" s="48"/>
      <c r="J273" s="48"/>
      <c r="K273" s="48"/>
    </row>
    <row r="274" spans="6:11" x14ac:dyDescent="0.25">
      <c r="F274" s="48">
        <v>40</v>
      </c>
      <c r="G274" s="48" t="s">
        <v>1</v>
      </c>
      <c r="H274" s="48"/>
      <c r="I274" s="48"/>
      <c r="J274" s="48" t="s">
        <v>7</v>
      </c>
      <c r="K274" s="48">
        <v>13</v>
      </c>
    </row>
    <row r="275" spans="6:11" x14ac:dyDescent="0.25">
      <c r="F275" s="48"/>
      <c r="G275" s="48"/>
      <c r="H275" s="48"/>
      <c r="I275" s="48"/>
      <c r="J275" s="48"/>
      <c r="K275" s="48"/>
    </row>
    <row r="276" spans="6:11" x14ac:dyDescent="0.25">
      <c r="F276" s="48"/>
      <c r="G276" s="48"/>
      <c r="H276" s="48"/>
      <c r="I276" s="48"/>
      <c r="J276" s="48"/>
      <c r="K276" s="48"/>
    </row>
    <row r="277" spans="6:11" x14ac:dyDescent="0.25">
      <c r="F277" s="48"/>
      <c r="G277" s="48"/>
      <c r="H277" s="48"/>
      <c r="I277" s="48"/>
      <c r="J277" s="48"/>
      <c r="K277" s="48"/>
    </row>
    <row r="278" spans="6:11" x14ac:dyDescent="0.25">
      <c r="F278" s="48"/>
      <c r="G278" s="48"/>
      <c r="H278" s="48"/>
      <c r="I278" s="48"/>
      <c r="J278" s="48"/>
      <c r="K278" s="48"/>
    </row>
    <row r="279" spans="6:11" x14ac:dyDescent="0.25">
      <c r="F279" s="48"/>
      <c r="G279" s="48"/>
      <c r="H279" s="48"/>
      <c r="I279" s="48"/>
      <c r="J279" s="48"/>
      <c r="K279" s="48"/>
    </row>
    <row r="280" spans="6:11" x14ac:dyDescent="0.25">
      <c r="F280" s="48"/>
      <c r="G280" s="48"/>
      <c r="H280" s="48"/>
      <c r="I280" s="48"/>
      <c r="J280" s="48"/>
      <c r="K280" s="48"/>
    </row>
    <row r="281" spans="6:11" x14ac:dyDescent="0.25">
      <c r="F281" s="48">
        <v>41</v>
      </c>
      <c r="G281" s="48" t="s">
        <v>2</v>
      </c>
      <c r="H281" s="48"/>
      <c r="I281" s="48"/>
      <c r="J281" s="48" t="s">
        <v>7</v>
      </c>
      <c r="K281" s="48">
        <v>12</v>
      </c>
    </row>
    <row r="282" spans="6:11" x14ac:dyDescent="0.25">
      <c r="F282" s="48"/>
      <c r="G282" s="48"/>
      <c r="H282" s="48"/>
      <c r="I282" s="48"/>
      <c r="J282" s="48"/>
      <c r="K282" s="48"/>
    </row>
    <row r="283" spans="6:11" x14ac:dyDescent="0.25">
      <c r="F283" s="48"/>
      <c r="G283" s="48"/>
      <c r="H283" s="48"/>
      <c r="I283" s="48"/>
      <c r="J283" s="48"/>
      <c r="K283" s="48"/>
    </row>
    <row r="284" spans="6:11" x14ac:dyDescent="0.25">
      <c r="F284" s="48"/>
      <c r="G284" s="48"/>
      <c r="H284" s="48"/>
      <c r="I284" s="48"/>
      <c r="J284" s="48"/>
      <c r="K284" s="48"/>
    </row>
    <row r="285" spans="6:11" x14ac:dyDescent="0.25">
      <c r="F285" s="48"/>
      <c r="G285" s="48"/>
      <c r="H285" s="48"/>
      <c r="I285" s="48"/>
      <c r="J285" s="48"/>
      <c r="K285" s="48"/>
    </row>
    <row r="286" spans="6:11" x14ac:dyDescent="0.25">
      <c r="F286" s="48"/>
      <c r="G286" s="48"/>
      <c r="H286" s="48"/>
      <c r="I286" s="48"/>
      <c r="J286" s="48"/>
      <c r="K286" s="48"/>
    </row>
    <row r="287" spans="6:11" x14ac:dyDescent="0.25">
      <c r="F287" s="48"/>
      <c r="G287" s="48"/>
      <c r="H287" s="48"/>
      <c r="I287" s="48"/>
      <c r="J287" s="48"/>
      <c r="K287" s="48"/>
    </row>
    <row r="288" spans="6:11" x14ac:dyDescent="0.25">
      <c r="F288" s="48">
        <v>42</v>
      </c>
      <c r="G288" s="48" t="s">
        <v>3</v>
      </c>
      <c r="H288" s="48"/>
      <c r="I288" s="48"/>
      <c r="J288" s="48" t="s">
        <v>7</v>
      </c>
      <c r="K288" s="48">
        <v>11</v>
      </c>
    </row>
    <row r="289" spans="6:11" x14ac:dyDescent="0.25">
      <c r="F289" s="48"/>
      <c r="G289" s="48"/>
      <c r="H289" s="48"/>
      <c r="I289" s="48"/>
      <c r="J289" s="48"/>
      <c r="K289" s="48"/>
    </row>
    <row r="290" spans="6:11" x14ac:dyDescent="0.25">
      <c r="F290" s="48"/>
      <c r="G290" s="48"/>
      <c r="H290" s="48"/>
      <c r="I290" s="48"/>
      <c r="J290" s="48"/>
      <c r="K290" s="48"/>
    </row>
    <row r="291" spans="6:11" x14ac:dyDescent="0.25">
      <c r="F291" s="48"/>
      <c r="G291" s="48"/>
      <c r="H291" s="48"/>
      <c r="I291" s="48"/>
      <c r="J291" s="48"/>
      <c r="K291" s="48"/>
    </row>
    <row r="292" spans="6:11" x14ac:dyDescent="0.25">
      <c r="F292" s="48"/>
      <c r="G292" s="48"/>
      <c r="H292" s="48"/>
      <c r="I292" s="48"/>
      <c r="J292" s="48"/>
      <c r="K292" s="48"/>
    </row>
    <row r="293" spans="6:11" x14ac:dyDescent="0.25">
      <c r="F293" s="48"/>
      <c r="G293" s="48"/>
      <c r="H293" s="48"/>
      <c r="I293" s="48"/>
      <c r="J293" s="48"/>
      <c r="K293" s="48"/>
    </row>
    <row r="294" spans="6:11" x14ac:dyDescent="0.25">
      <c r="F294" s="48"/>
      <c r="G294" s="48"/>
      <c r="H294" s="48"/>
      <c r="I294" s="48"/>
      <c r="J294" s="48"/>
      <c r="K294" s="48"/>
    </row>
    <row r="295" spans="6:11" x14ac:dyDescent="0.25">
      <c r="F295" s="48">
        <v>43</v>
      </c>
      <c r="G295" s="48">
        <v>10</v>
      </c>
      <c r="H295" s="48"/>
      <c r="I295" s="48"/>
      <c r="J295" s="48" t="s">
        <v>7</v>
      </c>
      <c r="K295" s="48">
        <v>10</v>
      </c>
    </row>
    <row r="296" spans="6:11" x14ac:dyDescent="0.25">
      <c r="F296" s="48"/>
      <c r="G296" s="48"/>
      <c r="H296" s="48"/>
      <c r="I296" s="48"/>
      <c r="J296" s="48"/>
      <c r="K296" s="48"/>
    </row>
    <row r="297" spans="6:11" x14ac:dyDescent="0.25">
      <c r="F297" s="48"/>
      <c r="G297" s="48"/>
      <c r="H297" s="48"/>
      <c r="I297" s="48"/>
      <c r="J297" s="48"/>
      <c r="K297" s="48"/>
    </row>
    <row r="298" spans="6:11" x14ac:dyDescent="0.25">
      <c r="F298" s="48"/>
      <c r="G298" s="48"/>
      <c r="H298" s="48"/>
      <c r="I298" s="48"/>
      <c r="J298" s="48"/>
      <c r="K298" s="48"/>
    </row>
    <row r="299" spans="6:11" x14ac:dyDescent="0.25">
      <c r="F299" s="48"/>
      <c r="G299" s="48"/>
      <c r="H299" s="48"/>
      <c r="I299" s="48"/>
      <c r="J299" s="48"/>
      <c r="K299" s="48"/>
    </row>
    <row r="300" spans="6:11" x14ac:dyDescent="0.25">
      <c r="F300" s="48"/>
      <c r="G300" s="48"/>
      <c r="H300" s="48"/>
      <c r="I300" s="48"/>
      <c r="J300" s="48"/>
      <c r="K300" s="48"/>
    </row>
    <row r="301" spans="6:11" x14ac:dyDescent="0.25">
      <c r="F301" s="48"/>
      <c r="G301" s="48"/>
      <c r="H301" s="48"/>
      <c r="I301" s="48"/>
      <c r="J301" s="48"/>
      <c r="K301" s="48"/>
    </row>
    <row r="302" spans="6:11" x14ac:dyDescent="0.25">
      <c r="F302" s="48">
        <v>44</v>
      </c>
      <c r="G302" s="48">
        <v>9</v>
      </c>
      <c r="H302" s="48"/>
      <c r="I302" s="48"/>
      <c r="J302" s="48" t="s">
        <v>7</v>
      </c>
      <c r="K302" s="48">
        <v>9</v>
      </c>
    </row>
    <row r="303" spans="6:11" x14ac:dyDescent="0.25">
      <c r="F303" s="48"/>
      <c r="G303" s="48"/>
      <c r="H303" s="48"/>
      <c r="I303" s="48"/>
      <c r="J303" s="48"/>
      <c r="K303" s="48"/>
    </row>
    <row r="304" spans="6:11" x14ac:dyDescent="0.25">
      <c r="F304" s="48"/>
      <c r="G304" s="48"/>
      <c r="H304" s="48"/>
      <c r="I304" s="48"/>
      <c r="J304" s="48"/>
      <c r="K304" s="48"/>
    </row>
    <row r="305" spans="6:11" x14ac:dyDescent="0.25">
      <c r="F305" s="48"/>
      <c r="G305" s="48"/>
      <c r="H305" s="48"/>
      <c r="I305" s="48"/>
      <c r="J305" s="48"/>
      <c r="K305" s="48"/>
    </row>
    <row r="306" spans="6:11" x14ac:dyDescent="0.25">
      <c r="F306" s="48"/>
      <c r="G306" s="48"/>
      <c r="H306" s="48"/>
      <c r="I306" s="48"/>
      <c r="J306" s="48"/>
      <c r="K306" s="48"/>
    </row>
    <row r="307" spans="6:11" x14ac:dyDescent="0.25">
      <c r="F307" s="48"/>
      <c r="G307" s="48"/>
      <c r="H307" s="48"/>
      <c r="I307" s="48"/>
      <c r="J307" s="48"/>
      <c r="K307" s="48"/>
    </row>
    <row r="308" spans="6:11" x14ac:dyDescent="0.25">
      <c r="F308" s="48"/>
      <c r="G308" s="48"/>
      <c r="H308" s="48"/>
      <c r="I308" s="48"/>
      <c r="J308" s="48"/>
      <c r="K308" s="48"/>
    </row>
    <row r="309" spans="6:11" x14ac:dyDescent="0.25">
      <c r="F309" s="48">
        <v>45</v>
      </c>
      <c r="G309" s="48">
        <v>8</v>
      </c>
      <c r="H309" s="48"/>
      <c r="I309" s="48"/>
      <c r="J309" s="48" t="s">
        <v>7</v>
      </c>
      <c r="K309" s="48">
        <v>8</v>
      </c>
    </row>
    <row r="310" spans="6:11" x14ac:dyDescent="0.25">
      <c r="F310" s="48"/>
      <c r="G310" s="48"/>
      <c r="H310" s="48"/>
      <c r="I310" s="48"/>
      <c r="J310" s="48"/>
      <c r="K310" s="48"/>
    </row>
    <row r="311" spans="6:11" x14ac:dyDescent="0.25">
      <c r="F311" s="48"/>
      <c r="G311" s="48"/>
      <c r="H311" s="48"/>
      <c r="I311" s="48"/>
      <c r="J311" s="48"/>
      <c r="K311" s="48"/>
    </row>
    <row r="312" spans="6:11" x14ac:dyDescent="0.25">
      <c r="F312" s="48"/>
      <c r="G312" s="48"/>
      <c r="H312" s="48"/>
      <c r="I312" s="48"/>
      <c r="J312" s="48"/>
      <c r="K312" s="48"/>
    </row>
    <row r="313" spans="6:11" x14ac:dyDescent="0.25">
      <c r="F313" s="48"/>
      <c r="G313" s="48"/>
      <c r="H313" s="48"/>
      <c r="I313" s="48"/>
      <c r="J313" s="48"/>
      <c r="K313" s="48"/>
    </row>
    <row r="314" spans="6:11" x14ac:dyDescent="0.25">
      <c r="F314" s="48"/>
      <c r="G314" s="48"/>
      <c r="H314" s="48"/>
      <c r="I314" s="48"/>
      <c r="J314" s="48"/>
      <c r="K314" s="48"/>
    </row>
    <row r="315" spans="6:11" x14ac:dyDescent="0.25">
      <c r="F315" s="48"/>
      <c r="G315" s="48"/>
      <c r="H315" s="48"/>
      <c r="I315" s="48"/>
      <c r="J315" s="48"/>
      <c r="K315" s="48"/>
    </row>
    <row r="316" spans="6:11" x14ac:dyDescent="0.25">
      <c r="F316" s="48">
        <v>46</v>
      </c>
      <c r="G316" s="48">
        <v>7</v>
      </c>
      <c r="H316" s="48"/>
      <c r="I316" s="48"/>
      <c r="J316" s="48" t="s">
        <v>7</v>
      </c>
      <c r="K316" s="48">
        <v>7</v>
      </c>
    </row>
    <row r="317" spans="6:11" x14ac:dyDescent="0.25">
      <c r="F317" s="48"/>
      <c r="G317" s="48"/>
      <c r="H317" s="48"/>
      <c r="I317" s="48"/>
      <c r="J317" s="48"/>
      <c r="K317" s="48"/>
    </row>
    <row r="318" spans="6:11" x14ac:dyDescent="0.25">
      <c r="F318" s="48"/>
      <c r="G318" s="48"/>
      <c r="H318" s="48"/>
      <c r="I318" s="48"/>
      <c r="J318" s="48"/>
      <c r="K318" s="48"/>
    </row>
    <row r="319" spans="6:11" x14ac:dyDescent="0.25">
      <c r="F319" s="48"/>
      <c r="G319" s="48"/>
      <c r="H319" s="48"/>
      <c r="I319" s="48"/>
      <c r="J319" s="48"/>
      <c r="K319" s="48"/>
    </row>
    <row r="320" spans="6:11" x14ac:dyDescent="0.25">
      <c r="F320" s="48"/>
      <c r="G320" s="48"/>
      <c r="H320" s="48"/>
      <c r="I320" s="48"/>
      <c r="J320" s="48"/>
      <c r="K320" s="48"/>
    </row>
    <row r="321" spans="6:11" x14ac:dyDescent="0.25">
      <c r="F321" s="48"/>
      <c r="G321" s="48"/>
      <c r="H321" s="48"/>
      <c r="I321" s="48"/>
      <c r="J321" s="48"/>
      <c r="K321" s="48"/>
    </row>
    <row r="322" spans="6:11" x14ac:dyDescent="0.25">
      <c r="F322" s="48"/>
      <c r="G322" s="48"/>
      <c r="H322" s="48"/>
      <c r="I322" s="48"/>
      <c r="J322" s="48"/>
      <c r="K322" s="48"/>
    </row>
    <row r="323" spans="6:11" x14ac:dyDescent="0.25">
      <c r="F323" s="48">
        <v>47</v>
      </c>
      <c r="G323" s="48">
        <v>6</v>
      </c>
      <c r="H323" s="48"/>
      <c r="I323" s="48"/>
      <c r="J323" s="48" t="s">
        <v>7</v>
      </c>
      <c r="K323" s="48">
        <v>6</v>
      </c>
    </row>
    <row r="324" spans="6:11" x14ac:dyDescent="0.25">
      <c r="F324" s="48"/>
      <c r="G324" s="48"/>
      <c r="H324" s="48"/>
      <c r="I324" s="48"/>
      <c r="J324" s="48"/>
      <c r="K324" s="48"/>
    </row>
    <row r="325" spans="6:11" x14ac:dyDescent="0.25">
      <c r="F325" s="48"/>
      <c r="G325" s="48"/>
      <c r="H325" s="48"/>
      <c r="I325" s="48"/>
      <c r="J325" s="48"/>
      <c r="K325" s="48"/>
    </row>
    <row r="326" spans="6:11" x14ac:dyDescent="0.25">
      <c r="F326" s="48"/>
      <c r="G326" s="48"/>
      <c r="H326" s="48"/>
      <c r="I326" s="48"/>
      <c r="J326" s="48"/>
      <c r="K326" s="48"/>
    </row>
    <row r="327" spans="6:11" x14ac:dyDescent="0.25">
      <c r="F327" s="48"/>
      <c r="G327" s="48"/>
      <c r="H327" s="48"/>
      <c r="I327" s="48"/>
      <c r="J327" s="48"/>
      <c r="K327" s="48"/>
    </row>
    <row r="328" spans="6:11" x14ac:dyDescent="0.25">
      <c r="F328" s="48"/>
      <c r="G328" s="48"/>
      <c r="H328" s="48"/>
      <c r="I328" s="48"/>
      <c r="J328" s="48"/>
      <c r="K328" s="48"/>
    </row>
    <row r="329" spans="6:11" x14ac:dyDescent="0.25">
      <c r="F329" s="48"/>
      <c r="G329" s="48"/>
      <c r="H329" s="48"/>
      <c r="I329" s="48"/>
      <c r="J329" s="48"/>
      <c r="K329" s="48"/>
    </row>
    <row r="330" spans="6:11" x14ac:dyDescent="0.25">
      <c r="F330" s="48">
        <v>48</v>
      </c>
      <c r="G330" s="48">
        <v>5</v>
      </c>
      <c r="H330" s="48"/>
      <c r="I330" s="48"/>
      <c r="J330" s="48" t="s">
        <v>7</v>
      </c>
      <c r="K330" s="48">
        <v>5</v>
      </c>
    </row>
    <row r="331" spans="6:11" x14ac:dyDescent="0.25">
      <c r="F331" s="48"/>
      <c r="G331" s="48"/>
      <c r="H331" s="48"/>
      <c r="I331" s="48"/>
      <c r="J331" s="48"/>
      <c r="K331" s="48"/>
    </row>
    <row r="332" spans="6:11" x14ac:dyDescent="0.25">
      <c r="F332" s="48"/>
      <c r="G332" s="48"/>
      <c r="H332" s="48"/>
      <c r="I332" s="48"/>
      <c r="J332" s="48"/>
      <c r="K332" s="48"/>
    </row>
    <row r="333" spans="6:11" x14ac:dyDescent="0.25">
      <c r="F333" s="48"/>
      <c r="G333" s="48"/>
      <c r="H333" s="48"/>
      <c r="I333" s="48"/>
      <c r="J333" s="48"/>
      <c r="K333" s="48"/>
    </row>
    <row r="334" spans="6:11" x14ac:dyDescent="0.25">
      <c r="F334" s="48"/>
      <c r="G334" s="48"/>
      <c r="H334" s="48"/>
      <c r="I334" s="48"/>
      <c r="J334" s="48"/>
      <c r="K334" s="48"/>
    </row>
    <row r="335" spans="6:11" x14ac:dyDescent="0.25">
      <c r="F335" s="48"/>
      <c r="G335" s="48"/>
      <c r="H335" s="48"/>
      <c r="I335" s="48"/>
      <c r="J335" s="48"/>
      <c r="K335" s="48"/>
    </row>
    <row r="336" spans="6:11" x14ac:dyDescent="0.25">
      <c r="F336" s="48"/>
      <c r="G336" s="48"/>
      <c r="H336" s="48"/>
      <c r="I336" s="48"/>
      <c r="J336" s="48"/>
      <c r="K336" s="48"/>
    </row>
    <row r="337" spans="6:11" x14ac:dyDescent="0.25">
      <c r="F337" s="48">
        <v>49</v>
      </c>
      <c r="G337" s="48">
        <v>4</v>
      </c>
      <c r="H337" s="48"/>
      <c r="I337" s="48"/>
      <c r="J337" s="48" t="s">
        <v>7</v>
      </c>
      <c r="K337" s="48">
        <v>4</v>
      </c>
    </row>
    <row r="338" spans="6:11" x14ac:dyDescent="0.25">
      <c r="F338" s="48"/>
      <c r="G338" s="48"/>
      <c r="H338" s="48"/>
      <c r="I338" s="48"/>
      <c r="J338" s="48"/>
      <c r="K338" s="48"/>
    </row>
    <row r="339" spans="6:11" x14ac:dyDescent="0.25">
      <c r="F339" s="48"/>
      <c r="G339" s="48"/>
      <c r="H339" s="48"/>
      <c r="I339" s="48"/>
      <c r="J339" s="48"/>
      <c r="K339" s="48"/>
    </row>
    <row r="340" spans="6:11" x14ac:dyDescent="0.25">
      <c r="F340" s="48"/>
      <c r="G340" s="48"/>
      <c r="H340" s="48"/>
      <c r="I340" s="48"/>
      <c r="J340" s="48"/>
      <c r="K340" s="48"/>
    </row>
    <row r="341" spans="6:11" x14ac:dyDescent="0.25">
      <c r="F341" s="48"/>
      <c r="G341" s="48"/>
      <c r="H341" s="48"/>
      <c r="I341" s="48"/>
      <c r="J341" s="48"/>
      <c r="K341" s="48"/>
    </row>
    <row r="342" spans="6:11" x14ac:dyDescent="0.25">
      <c r="F342" s="48"/>
      <c r="G342" s="48"/>
      <c r="H342" s="48"/>
      <c r="I342" s="48"/>
      <c r="J342" s="48"/>
      <c r="K342" s="48"/>
    </row>
    <row r="343" spans="6:11" x14ac:dyDescent="0.25">
      <c r="F343" s="48"/>
      <c r="G343" s="48"/>
      <c r="H343" s="48"/>
      <c r="I343" s="48"/>
      <c r="J343" s="48"/>
      <c r="K343" s="48"/>
    </row>
    <row r="344" spans="6:11" x14ac:dyDescent="0.25">
      <c r="F344" s="48">
        <v>50</v>
      </c>
      <c r="G344" s="48">
        <v>3</v>
      </c>
      <c r="H344" s="48"/>
      <c r="I344" s="48"/>
      <c r="J344" s="48" t="s">
        <v>7</v>
      </c>
      <c r="K344" s="48">
        <v>3</v>
      </c>
    </row>
    <row r="345" spans="6:11" x14ac:dyDescent="0.25">
      <c r="F345" s="48"/>
      <c r="G345" s="48"/>
      <c r="H345" s="48"/>
      <c r="I345" s="48"/>
      <c r="J345" s="48"/>
      <c r="K345" s="48"/>
    </row>
    <row r="346" spans="6:11" x14ac:dyDescent="0.25">
      <c r="F346" s="48"/>
      <c r="G346" s="48"/>
      <c r="H346" s="48"/>
      <c r="I346" s="48"/>
      <c r="J346" s="48"/>
      <c r="K346" s="48"/>
    </row>
    <row r="347" spans="6:11" x14ac:dyDescent="0.25">
      <c r="F347" s="48"/>
      <c r="G347" s="48"/>
      <c r="H347" s="48"/>
      <c r="I347" s="48"/>
      <c r="J347" s="48"/>
      <c r="K347" s="48"/>
    </row>
    <row r="348" spans="6:11" x14ac:dyDescent="0.25">
      <c r="F348" s="48"/>
      <c r="G348" s="48"/>
      <c r="H348" s="48"/>
      <c r="I348" s="48"/>
      <c r="J348" s="48"/>
      <c r="K348" s="48"/>
    </row>
    <row r="349" spans="6:11" x14ac:dyDescent="0.25">
      <c r="F349" s="48"/>
      <c r="G349" s="48"/>
      <c r="H349" s="48"/>
      <c r="I349" s="48"/>
      <c r="J349" s="48"/>
      <c r="K349" s="48"/>
    </row>
    <row r="350" spans="6:11" x14ac:dyDescent="0.25">
      <c r="F350" s="48"/>
      <c r="G350" s="48"/>
      <c r="H350" s="48"/>
      <c r="I350" s="48"/>
      <c r="J350" s="48"/>
      <c r="K350" s="48"/>
    </row>
    <row r="351" spans="6:11" x14ac:dyDescent="0.25">
      <c r="F351" s="48">
        <v>51</v>
      </c>
      <c r="G351" s="48">
        <v>2</v>
      </c>
      <c r="H351" s="48"/>
      <c r="I351" s="48"/>
      <c r="J351" s="48" t="s">
        <v>7</v>
      </c>
      <c r="K351" s="48">
        <v>2</v>
      </c>
    </row>
    <row r="352" spans="6:11" x14ac:dyDescent="0.25">
      <c r="F352" s="48"/>
      <c r="G352" s="48"/>
      <c r="H352" s="48"/>
      <c r="I352" s="48"/>
      <c r="J352" s="48"/>
      <c r="K352" s="48"/>
    </row>
    <row r="353" spans="6:11" x14ac:dyDescent="0.25">
      <c r="F353" s="48"/>
      <c r="G353" s="48"/>
      <c r="H353" s="48"/>
      <c r="I353" s="48"/>
      <c r="J353" s="48"/>
      <c r="K353" s="48"/>
    </row>
    <row r="354" spans="6:11" x14ac:dyDescent="0.25">
      <c r="F354" s="48"/>
      <c r="G354" s="48"/>
      <c r="H354" s="48"/>
      <c r="I354" s="48"/>
      <c r="J354" s="48"/>
      <c r="K354" s="48"/>
    </row>
    <row r="355" spans="6:11" x14ac:dyDescent="0.25">
      <c r="F355" s="48"/>
      <c r="G355" s="48"/>
      <c r="H355" s="48"/>
      <c r="I355" s="48"/>
      <c r="J355" s="48"/>
      <c r="K355" s="48"/>
    </row>
    <row r="356" spans="6:11" x14ac:dyDescent="0.25">
      <c r="F356" s="48"/>
      <c r="G356" s="48"/>
      <c r="H356" s="48"/>
      <c r="I356" s="48"/>
      <c r="J356" s="48"/>
      <c r="K356" s="48"/>
    </row>
    <row r="357" spans="6:11" x14ac:dyDescent="0.25">
      <c r="F357" s="48"/>
      <c r="G357" s="48"/>
      <c r="H357" s="48"/>
      <c r="I357" s="48"/>
      <c r="J357" s="48"/>
      <c r="K357" s="48"/>
    </row>
    <row r="358" spans="6:11" x14ac:dyDescent="0.25">
      <c r="F358" s="48">
        <v>52</v>
      </c>
      <c r="G358" s="48">
        <v>1</v>
      </c>
      <c r="H358" s="48"/>
      <c r="I358" s="48"/>
      <c r="J358" s="48" t="s">
        <v>7</v>
      </c>
      <c r="K358" s="48">
        <v>1</v>
      </c>
    </row>
    <row r="359" spans="6:11" x14ac:dyDescent="0.25">
      <c r="F359" s="48"/>
      <c r="G359" s="48"/>
      <c r="H359" s="48"/>
      <c r="I359" s="48"/>
      <c r="J359" s="48"/>
      <c r="K359" s="48"/>
    </row>
    <row r="360" spans="6:11" x14ac:dyDescent="0.25">
      <c r="F360" s="48"/>
      <c r="G360" s="48"/>
      <c r="H360" s="48"/>
      <c r="I360" s="48"/>
      <c r="J360" s="48"/>
      <c r="K360" s="48"/>
    </row>
    <row r="361" spans="6:11" x14ac:dyDescent="0.25">
      <c r="F361" s="48"/>
      <c r="G361" s="48"/>
      <c r="H361" s="48"/>
      <c r="I361" s="48"/>
      <c r="J361" s="48"/>
      <c r="K361" s="48"/>
    </row>
    <row r="362" spans="6:11" x14ac:dyDescent="0.25">
      <c r="F362" s="48"/>
      <c r="G362" s="48"/>
      <c r="H362" s="48"/>
      <c r="I362" s="48"/>
      <c r="J362" s="48"/>
      <c r="K362" s="48"/>
    </row>
    <row r="363" spans="6:11" x14ac:dyDescent="0.25">
      <c r="F363" s="48"/>
      <c r="G363" s="48"/>
      <c r="H363" s="48"/>
      <c r="I363" s="48"/>
      <c r="J363" s="48"/>
      <c r="K363" s="48"/>
    </row>
    <row r="364" spans="6:11" x14ac:dyDescent="0.25">
      <c r="F364" s="48"/>
      <c r="G364" s="48"/>
      <c r="H364" s="48"/>
      <c r="I364" s="48"/>
      <c r="J364" s="48"/>
      <c r="K364" s="48"/>
    </row>
    <row r="365" spans="6:11" x14ac:dyDescent="0.25">
      <c r="F365" s="48">
        <v>53</v>
      </c>
      <c r="G365" s="48" t="s">
        <v>10</v>
      </c>
      <c r="H365" s="48"/>
      <c r="I365" s="48"/>
      <c r="J365" s="48"/>
      <c r="K365" s="48"/>
    </row>
    <row r="366" spans="6:11" x14ac:dyDescent="0.25">
      <c r="F366" s="48"/>
      <c r="G366" s="48"/>
      <c r="H366" s="48"/>
      <c r="I366" s="48"/>
      <c r="J366" s="48"/>
      <c r="K366" s="48"/>
    </row>
    <row r="367" spans="6:11" x14ac:dyDescent="0.25">
      <c r="F367" s="48"/>
      <c r="G367" s="48"/>
      <c r="H367" s="48"/>
      <c r="I367" s="48"/>
      <c r="J367" s="48"/>
      <c r="K367" s="48"/>
    </row>
    <row r="368" spans="6:11" x14ac:dyDescent="0.25">
      <c r="F368" s="48"/>
      <c r="G368" s="48"/>
      <c r="H368" s="48"/>
      <c r="I368" s="48"/>
      <c r="J368" s="48"/>
      <c r="K368" s="48"/>
    </row>
    <row r="369" spans="6:11" x14ac:dyDescent="0.25">
      <c r="F369" s="48"/>
      <c r="G369" s="48"/>
      <c r="H369" s="48"/>
      <c r="I369" s="48"/>
      <c r="J369" s="48"/>
      <c r="K369" s="48"/>
    </row>
    <row r="370" spans="6:11" x14ac:dyDescent="0.25">
      <c r="F370" s="48"/>
      <c r="G370" s="48"/>
      <c r="H370" s="48"/>
      <c r="I370" s="48"/>
      <c r="J370" s="48"/>
      <c r="K370" s="48"/>
    </row>
    <row r="371" spans="6:11" x14ac:dyDescent="0.25">
      <c r="F371" s="48"/>
      <c r="G371" s="48"/>
      <c r="H371" s="48"/>
      <c r="I371" s="48"/>
      <c r="J371" s="48"/>
      <c r="K371" s="48"/>
    </row>
    <row r="372" spans="6:11" x14ac:dyDescent="0.25">
      <c r="J372" s="1"/>
    </row>
    <row r="373" spans="6:11" x14ac:dyDescent="0.25">
      <c r="J373" s="1"/>
    </row>
    <row r="374" spans="6:11" x14ac:dyDescent="0.25">
      <c r="J374" s="1"/>
    </row>
    <row r="375" spans="6:11" x14ac:dyDescent="0.25">
      <c r="J375" s="1"/>
    </row>
    <row r="376" spans="6:11" x14ac:dyDescent="0.25">
      <c r="J376" s="1"/>
    </row>
    <row r="377" spans="6:11" x14ac:dyDescent="0.25">
      <c r="J377" s="1"/>
    </row>
    <row r="378" spans="6:11" x14ac:dyDescent="0.25">
      <c r="J378" s="1"/>
    </row>
    <row r="379" spans="6:11" x14ac:dyDescent="0.25">
      <c r="J379" s="1"/>
    </row>
    <row r="380" spans="6:11" x14ac:dyDescent="0.25">
      <c r="J380" s="1"/>
    </row>
    <row r="381" spans="6:11" x14ac:dyDescent="0.25">
      <c r="J381" s="1"/>
    </row>
    <row r="382" spans="6:11" x14ac:dyDescent="0.25">
      <c r="J382" s="1"/>
    </row>
    <row r="383" spans="6:11" x14ac:dyDescent="0.25">
      <c r="J383" s="1"/>
    </row>
    <row r="384" spans="6:11" x14ac:dyDescent="0.25">
      <c r="J384" s="1"/>
    </row>
    <row r="385" spans="10:10" x14ac:dyDescent="0.25">
      <c r="J385" s="1"/>
    </row>
  </sheetData>
  <mergeCells count="265">
    <mergeCell ref="G15:G21"/>
    <mergeCell ref="H15:I21"/>
    <mergeCell ref="G22:G28"/>
    <mergeCell ref="H22:I28"/>
    <mergeCell ref="G29:G35"/>
    <mergeCell ref="H29:I35"/>
    <mergeCell ref="H1:I7"/>
    <mergeCell ref="G1:G7"/>
    <mergeCell ref="G8:G14"/>
    <mergeCell ref="H8:I14"/>
    <mergeCell ref="G57:G63"/>
    <mergeCell ref="H57:I63"/>
    <mergeCell ref="G64:G70"/>
    <mergeCell ref="H64:I70"/>
    <mergeCell ref="G71:G77"/>
    <mergeCell ref="H71:I77"/>
    <mergeCell ref="G36:G42"/>
    <mergeCell ref="H36:I42"/>
    <mergeCell ref="G43:G49"/>
    <mergeCell ref="H43:I49"/>
    <mergeCell ref="G50:G56"/>
    <mergeCell ref="H50:I56"/>
    <mergeCell ref="G99:G105"/>
    <mergeCell ref="H99:I105"/>
    <mergeCell ref="G106:G112"/>
    <mergeCell ref="H106:I112"/>
    <mergeCell ref="G113:G119"/>
    <mergeCell ref="H113:I119"/>
    <mergeCell ref="G78:G84"/>
    <mergeCell ref="H78:I84"/>
    <mergeCell ref="G85:G91"/>
    <mergeCell ref="H85:I91"/>
    <mergeCell ref="G92:G98"/>
    <mergeCell ref="H92:I98"/>
    <mergeCell ref="G141:G147"/>
    <mergeCell ref="H141:I147"/>
    <mergeCell ref="G148:G154"/>
    <mergeCell ref="H148:I154"/>
    <mergeCell ref="G155:G161"/>
    <mergeCell ref="H155:I161"/>
    <mergeCell ref="G120:G126"/>
    <mergeCell ref="H120:I126"/>
    <mergeCell ref="G127:G133"/>
    <mergeCell ref="H127:I133"/>
    <mergeCell ref="G134:G140"/>
    <mergeCell ref="H134:I140"/>
    <mergeCell ref="G183:G189"/>
    <mergeCell ref="H183:I189"/>
    <mergeCell ref="G190:G196"/>
    <mergeCell ref="H190:I196"/>
    <mergeCell ref="G197:G203"/>
    <mergeCell ref="H197:I203"/>
    <mergeCell ref="G162:G168"/>
    <mergeCell ref="H162:I168"/>
    <mergeCell ref="G169:G175"/>
    <mergeCell ref="H169:I175"/>
    <mergeCell ref="G176:G182"/>
    <mergeCell ref="H176:I182"/>
    <mergeCell ref="G225:G231"/>
    <mergeCell ref="H225:I231"/>
    <mergeCell ref="G232:G238"/>
    <mergeCell ref="H232:I238"/>
    <mergeCell ref="G239:G245"/>
    <mergeCell ref="H239:I245"/>
    <mergeCell ref="G204:G210"/>
    <mergeCell ref="H204:I210"/>
    <mergeCell ref="G211:G217"/>
    <mergeCell ref="H211:I217"/>
    <mergeCell ref="G218:G224"/>
    <mergeCell ref="H218:I224"/>
    <mergeCell ref="G267:G273"/>
    <mergeCell ref="H267:I273"/>
    <mergeCell ref="G274:G280"/>
    <mergeCell ref="H274:I280"/>
    <mergeCell ref="G281:G287"/>
    <mergeCell ref="H281:I287"/>
    <mergeCell ref="G246:G252"/>
    <mergeCell ref="H246:I252"/>
    <mergeCell ref="G253:G259"/>
    <mergeCell ref="H253:I259"/>
    <mergeCell ref="G260:G266"/>
    <mergeCell ref="H260:I266"/>
    <mergeCell ref="G316:G322"/>
    <mergeCell ref="H316:I322"/>
    <mergeCell ref="G323:G329"/>
    <mergeCell ref="H323:I329"/>
    <mergeCell ref="G288:G294"/>
    <mergeCell ref="H288:I294"/>
    <mergeCell ref="G295:G301"/>
    <mergeCell ref="H295:I301"/>
    <mergeCell ref="G302:G308"/>
    <mergeCell ref="H302:I308"/>
    <mergeCell ref="G351:G357"/>
    <mergeCell ref="H351:I357"/>
    <mergeCell ref="G358:G364"/>
    <mergeCell ref="H358:I364"/>
    <mergeCell ref="F1:F7"/>
    <mergeCell ref="F8:F14"/>
    <mergeCell ref="F15:F21"/>
    <mergeCell ref="F22:F28"/>
    <mergeCell ref="F29:F35"/>
    <mergeCell ref="F36:F42"/>
    <mergeCell ref="F43:F49"/>
    <mergeCell ref="F50:F56"/>
    <mergeCell ref="F57:F63"/>
    <mergeCell ref="F64:F70"/>
    <mergeCell ref="F71:F77"/>
    <mergeCell ref="F78:F84"/>
    <mergeCell ref="G330:G336"/>
    <mergeCell ref="H330:I336"/>
    <mergeCell ref="G337:G343"/>
    <mergeCell ref="H337:I343"/>
    <mergeCell ref="G344:G350"/>
    <mergeCell ref="H344:I350"/>
    <mergeCell ref="G309:G315"/>
    <mergeCell ref="H309:I315"/>
    <mergeCell ref="F120:F126"/>
    <mergeCell ref="F127:F133"/>
    <mergeCell ref="F134:F140"/>
    <mergeCell ref="F141:F147"/>
    <mergeCell ref="F148:F154"/>
    <mergeCell ref="F85:F91"/>
    <mergeCell ref="F92:F98"/>
    <mergeCell ref="F99:F105"/>
    <mergeCell ref="F106:F112"/>
    <mergeCell ref="F113:F119"/>
    <mergeCell ref="F190:F196"/>
    <mergeCell ref="F197:F203"/>
    <mergeCell ref="F204:F210"/>
    <mergeCell ref="F211:F217"/>
    <mergeCell ref="F218:F224"/>
    <mergeCell ref="F155:F161"/>
    <mergeCell ref="F162:F168"/>
    <mergeCell ref="F169:F175"/>
    <mergeCell ref="F176:F182"/>
    <mergeCell ref="F183:F189"/>
    <mergeCell ref="F316:F322"/>
    <mergeCell ref="F323:F329"/>
    <mergeCell ref="F260:F266"/>
    <mergeCell ref="F267:F273"/>
    <mergeCell ref="F274:F280"/>
    <mergeCell ref="F281:F287"/>
    <mergeCell ref="F288:F294"/>
    <mergeCell ref="F225:F231"/>
    <mergeCell ref="F232:F238"/>
    <mergeCell ref="F239:F245"/>
    <mergeCell ref="F246:F252"/>
    <mergeCell ref="F253:F259"/>
    <mergeCell ref="F365:F371"/>
    <mergeCell ref="G365:G371"/>
    <mergeCell ref="H365:I371"/>
    <mergeCell ref="J1:J7"/>
    <mergeCell ref="J8:J14"/>
    <mergeCell ref="J15:J21"/>
    <mergeCell ref="J22:J28"/>
    <mergeCell ref="J29:J35"/>
    <mergeCell ref="J36:J42"/>
    <mergeCell ref="J43:J49"/>
    <mergeCell ref="J50:J56"/>
    <mergeCell ref="J57:J63"/>
    <mergeCell ref="J64:J70"/>
    <mergeCell ref="J71:J77"/>
    <mergeCell ref="J78:J84"/>
    <mergeCell ref="J85:J91"/>
    <mergeCell ref="F330:F336"/>
    <mergeCell ref="F337:F343"/>
    <mergeCell ref="F344:F350"/>
    <mergeCell ref="F351:F357"/>
    <mergeCell ref="F358:F364"/>
    <mergeCell ref="F295:F301"/>
    <mergeCell ref="F302:F308"/>
    <mergeCell ref="F309:F315"/>
    <mergeCell ref="J127:J133"/>
    <mergeCell ref="J134:J140"/>
    <mergeCell ref="J141:J147"/>
    <mergeCell ref="J148:J154"/>
    <mergeCell ref="J155:J161"/>
    <mergeCell ref="J92:J98"/>
    <mergeCell ref="J99:J105"/>
    <mergeCell ref="J106:J112"/>
    <mergeCell ref="J113:J119"/>
    <mergeCell ref="J120:J126"/>
    <mergeCell ref="J197:J203"/>
    <mergeCell ref="J204:J210"/>
    <mergeCell ref="J211:J217"/>
    <mergeCell ref="J218:J224"/>
    <mergeCell ref="J225:J231"/>
    <mergeCell ref="J162:J168"/>
    <mergeCell ref="J169:J175"/>
    <mergeCell ref="J176:J182"/>
    <mergeCell ref="J183:J189"/>
    <mergeCell ref="J190:J196"/>
    <mergeCell ref="J267:J273"/>
    <mergeCell ref="J274:J280"/>
    <mergeCell ref="J281:J287"/>
    <mergeCell ref="J288:J294"/>
    <mergeCell ref="J295:J301"/>
    <mergeCell ref="J232:J238"/>
    <mergeCell ref="J239:J245"/>
    <mergeCell ref="J246:J252"/>
    <mergeCell ref="J253:J259"/>
    <mergeCell ref="J260:J266"/>
    <mergeCell ref="J337:J343"/>
    <mergeCell ref="J344:J350"/>
    <mergeCell ref="J351:J357"/>
    <mergeCell ref="J358:J364"/>
    <mergeCell ref="J365:J371"/>
    <mergeCell ref="J302:J308"/>
    <mergeCell ref="J309:J315"/>
    <mergeCell ref="J316:J322"/>
    <mergeCell ref="J323:J329"/>
    <mergeCell ref="J330:J336"/>
    <mergeCell ref="K99:K105"/>
    <mergeCell ref="K106:K112"/>
    <mergeCell ref="K113:K119"/>
    <mergeCell ref="K120:K126"/>
    <mergeCell ref="K127:K133"/>
    <mergeCell ref="K1:K7"/>
    <mergeCell ref="K8:K14"/>
    <mergeCell ref="K15:K21"/>
    <mergeCell ref="K22:K28"/>
    <mergeCell ref="K29:K35"/>
    <mergeCell ref="K36:K42"/>
    <mergeCell ref="K43:K49"/>
    <mergeCell ref="K50:K56"/>
    <mergeCell ref="K57:K63"/>
    <mergeCell ref="K64:K70"/>
    <mergeCell ref="K71:K77"/>
    <mergeCell ref="K78:K84"/>
    <mergeCell ref="K85:K91"/>
    <mergeCell ref="K92:K98"/>
    <mergeCell ref="K232:K238"/>
    <mergeCell ref="K169:K175"/>
    <mergeCell ref="K176:K182"/>
    <mergeCell ref="K183:K189"/>
    <mergeCell ref="K190:K196"/>
    <mergeCell ref="K197:K203"/>
    <mergeCell ref="K134:K140"/>
    <mergeCell ref="K141:K147"/>
    <mergeCell ref="K148:K154"/>
    <mergeCell ref="K155:K161"/>
    <mergeCell ref="K162:K168"/>
    <mergeCell ref="K344:K350"/>
    <mergeCell ref="K351:K357"/>
    <mergeCell ref="K358:K364"/>
    <mergeCell ref="K365:K371"/>
    <mergeCell ref="K309:K315"/>
    <mergeCell ref="K316:K322"/>
    <mergeCell ref="K323:K329"/>
    <mergeCell ref="K330:K336"/>
    <mergeCell ref="K337:K343"/>
    <mergeCell ref="K274:K280"/>
    <mergeCell ref="K281:K287"/>
    <mergeCell ref="K288:K294"/>
    <mergeCell ref="K295:K301"/>
    <mergeCell ref="K302:K308"/>
    <mergeCell ref="K239:K245"/>
    <mergeCell ref="K246:K252"/>
    <mergeCell ref="K253:K259"/>
    <mergeCell ref="K260:K266"/>
    <mergeCell ref="K267:K273"/>
    <mergeCell ref="K204:K210"/>
    <mergeCell ref="K211:K217"/>
    <mergeCell ref="K218:K224"/>
    <mergeCell ref="K225:K231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Game Rules</vt:lpstr>
      <vt:lpstr>Card_DataBase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2017-03-27T00:20:12Z</dcterms:created>
  <dcterms:modified xsi:type="dcterms:W3CDTF">2017-03-28T00:56:16Z</dcterms:modified>
</cp:coreProperties>
</file>