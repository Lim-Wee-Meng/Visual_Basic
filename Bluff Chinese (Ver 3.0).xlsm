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/>
  </bookViews>
  <sheets>
    <sheet name="Main" sheetId="1" r:id="rId1"/>
    <sheet name="Dice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" i="1" l="1"/>
  <c r="L12" i="1"/>
  <c r="C8" i="1"/>
  <c r="E24" i="1"/>
  <c r="D24" i="1" s="1"/>
  <c r="E23" i="1"/>
  <c r="D23" i="1" s="1"/>
  <c r="E22" i="1"/>
  <c r="D22" i="1" s="1"/>
  <c r="E21" i="1"/>
  <c r="D21" i="1" s="1"/>
  <c r="E20" i="1"/>
  <c r="D20" i="1" s="1"/>
  <c r="E19" i="1"/>
  <c r="D19" i="1" s="1"/>
  <c r="B24" i="1"/>
  <c r="B23" i="1"/>
  <c r="B22" i="1"/>
  <c r="B21" i="1"/>
  <c r="B19" i="1"/>
  <c r="C19" i="1" s="1"/>
  <c r="K33" i="1" s="1"/>
  <c r="M33" i="1" s="1"/>
  <c r="B20" i="1"/>
  <c r="M30" i="1"/>
  <c r="M31" i="1"/>
  <c r="E27" i="1"/>
  <c r="E28" i="1"/>
  <c r="E29" i="1"/>
  <c r="E30" i="1"/>
  <c r="E31" i="1"/>
  <c r="E32" i="1"/>
  <c r="M15" i="1"/>
  <c r="D14" i="1"/>
  <c r="D5" i="1" s="1"/>
  <c r="E14" i="1"/>
  <c r="F14" i="1"/>
  <c r="F5" i="1" s="1"/>
  <c r="G14" i="1"/>
  <c r="G5" i="1" s="1"/>
  <c r="C14" i="1"/>
  <c r="C5" i="1" s="1"/>
  <c r="M16" i="1"/>
  <c r="M2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6" i="1"/>
  <c r="E7" i="1"/>
  <c r="H7" i="1"/>
  <c r="L16" i="1"/>
  <c r="G7" i="1" s="1"/>
  <c r="L15" i="1"/>
  <c r="C7" i="1" s="1"/>
  <c r="D7" i="1"/>
  <c r="E5" i="1"/>
  <c r="D8" i="1"/>
  <c r="E8" i="1"/>
  <c r="F8" i="1"/>
  <c r="G8" i="1"/>
  <c r="P12" i="1" l="1"/>
  <c r="G6" i="1" s="1"/>
  <c r="N16" i="1"/>
  <c r="N31" i="1" s="1"/>
  <c r="N15" i="1"/>
  <c r="N30" i="1" s="1"/>
  <c r="N33" i="1"/>
  <c r="N22" i="1"/>
  <c r="N23" i="1" s="1"/>
  <c r="O23" i="1" s="1"/>
  <c r="Q23" i="1" s="1"/>
  <c r="F19" i="1"/>
  <c r="G19" i="1" s="1"/>
  <c r="A31" i="1"/>
  <c r="F31" i="1" s="1"/>
  <c r="A27" i="1"/>
  <c r="F27" i="1" s="1"/>
  <c r="A83" i="1"/>
  <c r="F83" i="1" s="1"/>
  <c r="A79" i="1"/>
  <c r="F79" i="1" s="1"/>
  <c r="A75" i="1"/>
  <c r="F75" i="1" s="1"/>
  <c r="A71" i="1"/>
  <c r="F71" i="1" s="1"/>
  <c r="A67" i="1"/>
  <c r="F67" i="1" s="1"/>
  <c r="A63" i="1"/>
  <c r="F63" i="1" s="1"/>
  <c r="A59" i="1"/>
  <c r="F59" i="1" s="1"/>
  <c r="A55" i="1"/>
  <c r="F55" i="1" s="1"/>
  <c r="A51" i="1"/>
  <c r="F51" i="1" s="1"/>
  <c r="A47" i="1"/>
  <c r="F47" i="1" s="1"/>
  <c r="A43" i="1"/>
  <c r="F43" i="1" s="1"/>
  <c r="A39" i="1"/>
  <c r="F39" i="1" s="1"/>
  <c r="A35" i="1"/>
  <c r="F35" i="1" s="1"/>
  <c r="A28" i="1"/>
  <c r="F28" i="1" s="1"/>
  <c r="A30" i="1"/>
  <c r="F30" i="1" s="1"/>
  <c r="A32" i="1"/>
  <c r="F32" i="1" s="1"/>
  <c r="A34" i="1"/>
  <c r="F34" i="1" s="1"/>
  <c r="A36" i="1"/>
  <c r="F36" i="1" s="1"/>
  <c r="A38" i="1"/>
  <c r="F38" i="1" s="1"/>
  <c r="A40" i="1"/>
  <c r="F40" i="1" s="1"/>
  <c r="A42" i="1"/>
  <c r="F42" i="1" s="1"/>
  <c r="A44" i="1"/>
  <c r="F44" i="1" s="1"/>
  <c r="A46" i="1"/>
  <c r="F46" i="1" s="1"/>
  <c r="A48" i="1"/>
  <c r="F48" i="1" s="1"/>
  <c r="A50" i="1"/>
  <c r="F50" i="1" s="1"/>
  <c r="A52" i="1"/>
  <c r="F52" i="1" s="1"/>
  <c r="A54" i="1"/>
  <c r="F54" i="1" s="1"/>
  <c r="A56" i="1"/>
  <c r="F56" i="1" s="1"/>
  <c r="A58" i="1"/>
  <c r="F58" i="1" s="1"/>
  <c r="A60" i="1"/>
  <c r="F60" i="1" s="1"/>
  <c r="A62" i="1"/>
  <c r="F62" i="1" s="1"/>
  <c r="A64" i="1"/>
  <c r="F64" i="1" s="1"/>
  <c r="A66" i="1"/>
  <c r="F66" i="1" s="1"/>
  <c r="A68" i="1"/>
  <c r="F68" i="1" s="1"/>
  <c r="A70" i="1"/>
  <c r="F70" i="1" s="1"/>
  <c r="A72" i="1"/>
  <c r="F72" i="1" s="1"/>
  <c r="A74" i="1"/>
  <c r="F74" i="1" s="1"/>
  <c r="A76" i="1"/>
  <c r="F76" i="1" s="1"/>
  <c r="A78" i="1"/>
  <c r="F78" i="1" s="1"/>
  <c r="A80" i="1"/>
  <c r="F80" i="1" s="1"/>
  <c r="A82" i="1"/>
  <c r="F82" i="1" s="1"/>
  <c r="A84" i="1"/>
  <c r="F84" i="1" s="1"/>
  <c r="A86" i="1"/>
  <c r="F86" i="1" s="1"/>
  <c r="A85" i="1"/>
  <c r="F85" i="1" s="1"/>
  <c r="A81" i="1"/>
  <c r="F81" i="1" s="1"/>
  <c r="A77" i="1"/>
  <c r="F77" i="1" s="1"/>
  <c r="A73" i="1"/>
  <c r="F73" i="1" s="1"/>
  <c r="A69" i="1"/>
  <c r="F69" i="1" s="1"/>
  <c r="A65" i="1"/>
  <c r="F65" i="1" s="1"/>
  <c r="A61" i="1"/>
  <c r="F61" i="1" s="1"/>
  <c r="A57" i="1"/>
  <c r="F57" i="1" s="1"/>
  <c r="A53" i="1"/>
  <c r="F53" i="1" s="1"/>
  <c r="A49" i="1"/>
  <c r="F49" i="1" s="1"/>
  <c r="A45" i="1"/>
  <c r="F45" i="1" s="1"/>
  <c r="A41" i="1"/>
  <c r="F41" i="1" s="1"/>
  <c r="A37" i="1"/>
  <c r="F37" i="1" s="1"/>
  <c r="A33" i="1"/>
  <c r="F33" i="1" s="1"/>
  <c r="A29" i="1"/>
  <c r="F29" i="1" s="1"/>
  <c r="C22" i="1"/>
  <c r="K36" i="1" s="1"/>
  <c r="M36" i="1" s="1"/>
  <c r="N36" i="1" s="1"/>
  <c r="C24" i="1"/>
  <c r="K38" i="1" s="1"/>
  <c r="M38" i="1" s="1"/>
  <c r="N38" i="1" s="1"/>
  <c r="C23" i="1"/>
  <c r="K37" i="1" s="1"/>
  <c r="M37" i="1" s="1"/>
  <c r="N37" i="1" s="1"/>
  <c r="C21" i="1"/>
  <c r="K35" i="1" s="1"/>
  <c r="M35" i="1" s="1"/>
  <c r="N35" i="1" s="1"/>
  <c r="C20" i="1"/>
  <c r="K34" i="1" s="1"/>
  <c r="M34" i="1" s="1"/>
  <c r="N34" i="1" s="1"/>
  <c r="F21" i="1" l="1"/>
  <c r="G21" i="1" s="1"/>
  <c r="F20" i="1"/>
  <c r="G20" i="1" s="1"/>
  <c r="F23" i="1"/>
  <c r="G23" i="1" s="1"/>
  <c r="O30" i="1"/>
  <c r="P30" i="1" s="1"/>
  <c r="F22" i="1"/>
  <c r="F24" i="1"/>
  <c r="G24" i="1" s="1"/>
  <c r="O31" i="1"/>
  <c r="P31" i="1" s="1"/>
  <c r="P23" i="1"/>
  <c r="G22" i="1" l="1"/>
  <c r="I20" i="1" s="1"/>
  <c r="K20" i="1" s="1"/>
  <c r="K17" i="1"/>
  <c r="I19" i="1" l="1"/>
  <c r="J19" i="1" s="1"/>
  <c r="J20" i="1"/>
  <c r="K19" i="1" l="1"/>
</calcChain>
</file>

<file path=xl/sharedStrings.xml><?xml version="1.0" encoding="utf-8"?>
<sst xmlns="http://schemas.openxmlformats.org/spreadsheetml/2006/main" count="228" uniqueCount="137">
  <si>
    <t>大</t>
  </si>
  <si>
    <t>家</t>
  </si>
  <si>
    <t>来</t>
  </si>
  <si>
    <t>吹</t>
  </si>
  <si>
    <t>牛</t>
  </si>
  <si>
    <t>A</t>
  </si>
  <si>
    <t>b</t>
  </si>
  <si>
    <t>B</t>
  </si>
  <si>
    <t>Q</t>
  </si>
  <si>
    <t>W</t>
  </si>
  <si>
    <t>E</t>
  </si>
  <si>
    <t>R</t>
  </si>
  <si>
    <t>U</t>
  </si>
  <si>
    <t>I</t>
  </si>
  <si>
    <t>O</t>
  </si>
  <si>
    <t>P</t>
  </si>
  <si>
    <t>Y</t>
  </si>
  <si>
    <t>[</t>
  </si>
  <si>
    <t>]</t>
  </si>
  <si>
    <t>\</t>
  </si>
  <si>
    <t>T</t>
  </si>
  <si>
    <t>S</t>
  </si>
  <si>
    <t>D</t>
  </si>
  <si>
    <t>F</t>
  </si>
  <si>
    <t>G</t>
  </si>
  <si>
    <t>H</t>
  </si>
  <si>
    <t>J</t>
  </si>
  <si>
    <t>K</t>
  </si>
  <si>
    <t>L</t>
  </si>
  <si>
    <t>;</t>
  </si>
  <si>
    <t>'</t>
  </si>
  <si>
    <t>Z</t>
  </si>
  <si>
    <t>X</t>
  </si>
  <si>
    <t>C</t>
  </si>
  <si>
    <t>V</t>
  </si>
  <si>
    <t>N</t>
  </si>
  <si>
    <t>M</t>
  </si>
  <si>
    <t>,</t>
  </si>
  <si>
    <t>.</t>
  </si>
  <si>
    <t>/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</si>
  <si>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</si>
  <si>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</si>
  <si>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</si>
  <si>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</si>
  <si>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</si>
  <si>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</si>
  <si>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</si>
  <si>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</si>
  <si>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</si>
  <si>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</si>
  <si>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</si>
  <si>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</si>
  <si>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</si>
  <si>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</si>
  <si>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</si>
  <si>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</si>
  <si>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</si>
  <si>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</si>
  <si>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</si>
  <si>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</si>
  <si>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</si>
  <si>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</si>
  <si>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</si>
  <si>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n</t>
  </si>
  <si>
    <t>m</t>
  </si>
  <si>
    <t>!</t>
  </si>
  <si>
    <t>@</t>
  </si>
  <si>
    <t>#</t>
  </si>
  <si>
    <t>$</t>
  </si>
  <si>
    <t>%</t>
  </si>
  <si>
    <t>&amp;</t>
  </si>
  <si>
    <t>*</t>
  </si>
  <si>
    <t>(</t>
  </si>
  <si>
    <t>)</t>
  </si>
  <si>
    <t>^</t>
  </si>
  <si>
    <t>_</t>
  </si>
  <si>
    <t>+</t>
  </si>
  <si>
    <t>-</t>
  </si>
  <si>
    <t>=</t>
  </si>
  <si>
    <t>:</t>
  </si>
  <si>
    <t>"</t>
  </si>
  <si>
    <t>{</t>
  </si>
  <si>
    <t>}</t>
  </si>
  <si>
    <t>|</t>
  </si>
  <si>
    <t>&lt;</t>
  </si>
  <si>
    <t>&gt;</t>
  </si>
  <si>
    <t>?</t>
  </si>
  <si>
    <t>Computer's Hand</t>
  </si>
  <si>
    <t>Player's Hand</t>
  </si>
  <si>
    <t>Game On Going</t>
  </si>
  <si>
    <t>Joker</t>
  </si>
  <si>
    <t>一个</t>
  </si>
  <si>
    <t>两个</t>
  </si>
  <si>
    <t>三个</t>
  </si>
  <si>
    <t>四个</t>
  </si>
  <si>
    <t>五个</t>
  </si>
  <si>
    <t>六个</t>
  </si>
  <si>
    <t>七个</t>
  </si>
  <si>
    <t>八个</t>
  </si>
  <si>
    <t>九个</t>
  </si>
  <si>
    <t>十个</t>
  </si>
  <si>
    <t>吹牛大王</t>
  </si>
  <si>
    <t>吹牛高手</t>
  </si>
  <si>
    <t>Total Count</t>
  </si>
  <si>
    <t>Raw</t>
  </si>
  <si>
    <t>Computer</t>
  </si>
  <si>
    <t>Highest</t>
  </si>
  <si>
    <t>Lowest</t>
  </si>
  <si>
    <t>Dice</t>
  </si>
  <si>
    <t>Count</t>
  </si>
  <si>
    <t>T Count</t>
  </si>
  <si>
    <t>Computer Call</t>
  </si>
  <si>
    <t>1 也是鬼牌</t>
  </si>
  <si>
    <t>1 不是鬼牌了</t>
  </si>
  <si>
    <t>Last Game</t>
  </si>
  <si>
    <t>Who First</t>
  </si>
  <si>
    <t>我叫</t>
  </si>
  <si>
    <t>我抓</t>
  </si>
  <si>
    <t>Current Play</t>
  </si>
  <si>
    <t>C Catch</t>
  </si>
  <si>
    <t>C_Catch</t>
  </si>
  <si>
    <t>P_Catch</t>
  </si>
  <si>
    <t>P Win</t>
  </si>
  <si>
    <t>P Loose</t>
  </si>
  <si>
    <t>你赢了！</t>
  </si>
  <si>
    <t>你输了！</t>
  </si>
  <si>
    <t>二</t>
  </si>
  <si>
    <t>一</t>
  </si>
  <si>
    <t>三</t>
  </si>
  <si>
    <t>四</t>
  </si>
  <si>
    <t>五</t>
  </si>
  <si>
    <t>六</t>
  </si>
  <si>
    <t>最少要叫</t>
  </si>
  <si>
    <t>以上</t>
  </si>
  <si>
    <t>Bluff Chinese (Ver 3.0) Program By Remy Lim 2017 April</t>
  </si>
  <si>
    <t>吹牛（中文版）2017 
Program By Remy Lim</t>
  </si>
  <si>
    <r>
      <rPr>
        <b/>
        <u/>
        <sz val="11"/>
        <color theme="1"/>
        <rFont val="Calibri"/>
        <family val="2"/>
        <scheme val="minor"/>
      </rPr>
      <t>游戏规矩</t>
    </r>
    <r>
      <rPr>
        <sz val="11"/>
        <color theme="1"/>
        <rFont val="Calibri"/>
        <family val="2"/>
        <scheme val="minor"/>
      </rPr>
      <t xml:space="preserve">
</t>
    </r>
    <r>
      <rPr>
        <sz val="9"/>
        <color theme="1"/>
        <rFont val="Calibri"/>
        <family val="2"/>
        <scheme val="minor"/>
      </rPr>
      <t>1）最少从两个三开始
2）一叫過就不是鬼牌了
3）从。。。。开始摇骰子 》我叫/我抓
4）下一位，只能往上叫不能往下</t>
    </r>
    <r>
      <rPr>
        <sz val="11"/>
        <color theme="1"/>
        <rFont val="Calibri"/>
        <family val="2"/>
        <scheme val="minor"/>
      </rPr>
      <t xml:space="preserve">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</si>
</sst>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dPoly Block Dice"/>
    </font>
    <font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theme="1"/>
      <name val="dPoly Block Dice"/>
    </font>
    <font>
      <sz val="48"/>
      <color theme="1"/>
      <name val="dPoly Block Dice"/>
    </font>
    <font>
      <sz val="48"/>
      <color theme="1"/>
      <name val="Calibri"/>
      <family val="2"/>
      <scheme val="minor"/>
    </font>
    <font>
      <sz val="48"/>
      <color rgb="FFFF0000"/>
      <name val="dPoly Block Dice"/>
    </font>
    <font>
      <sz val="48"/>
      <color rgb="FF00B050"/>
      <name val="dPoly Block Dice"/>
    </font>
    <font>
      <sz val="36"/>
      <color theme="0"/>
      <name val="Calibri"/>
      <family val="2"/>
      <scheme val="minor"/>
    </font>
    <font>
      <sz val="48"/>
      <color rgb="FFFFFF00"/>
      <name val="dPoly Block Dice"/>
    </font>
    <font>
      <sz val="26"/>
      <color rgb="FFFFFF00"/>
      <name val="Calibri"/>
      <family val="2"/>
      <scheme val="minor"/>
    </font>
    <font>
      <sz val="28"/>
      <name val="Calibri"/>
      <family val="2"/>
      <scheme val="minor"/>
    </font>
    <font>
      <sz val="11"/>
      <name val="Calibri"/>
      <family val="2"/>
      <scheme val="minor"/>
    </font>
    <font>
      <sz val="26"/>
      <color rgb="FFFF0000"/>
      <name val="dPoly Block Dice"/>
    </font>
    <font>
      <sz val="8"/>
      <name val="Calibri"/>
      <family val="2"/>
      <scheme val="minor"/>
    </font>
    <font>
      <sz val="24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/>
      <right/>
      <top style="thick">
        <color rgb="FF00FFFF"/>
      </top>
      <bottom style="thick">
        <color rgb="FF00FFFF"/>
      </bottom>
      <diagonal/>
    </border>
    <border>
      <left/>
      <right style="thick">
        <color rgb="FF00FFFF"/>
      </right>
      <top style="thick">
        <color rgb="FF00FFFF"/>
      </top>
      <bottom style="thick">
        <color rgb="FF00FFFF"/>
      </bottom>
      <diagonal/>
    </border>
    <border>
      <left style="thick">
        <color rgb="FF00FFFF"/>
      </left>
      <right/>
      <top style="thick">
        <color rgb="FF00FFFF"/>
      </top>
      <bottom style="thick">
        <color rgb="FF00FFFF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0" xfId="0" quotePrefix="1" applyFont="1"/>
    <xf numFmtId="0" fontId="3" fillId="0" borderId="0" xfId="0" applyFont="1"/>
    <xf numFmtId="0" fontId="4" fillId="0" borderId="0" xfId="0" applyFont="1"/>
    <xf numFmtId="0" fontId="3" fillId="0" borderId="0" xfId="0" quotePrefix="1" applyFont="1"/>
    <xf numFmtId="0" fontId="4" fillId="0" borderId="0" xfId="0" quotePrefix="1" applyFont="1"/>
    <xf numFmtId="0" fontId="5" fillId="0" borderId="0" xfId="0" applyFont="1"/>
    <xf numFmtId="0" fontId="6" fillId="0" borderId="0" xfId="0" applyFont="1"/>
    <xf numFmtId="0" fontId="5" fillId="0" borderId="0" xfId="0" quotePrefix="1" applyFont="1"/>
    <xf numFmtId="0" fontId="0" fillId="3" borderId="0" xfId="0" applyFill="1"/>
    <xf numFmtId="0" fontId="2" fillId="3" borderId="0" xfId="0" applyFont="1" applyFill="1" applyAlignment="1">
      <alignment horizontal="center"/>
    </xf>
    <xf numFmtId="0" fontId="0" fillId="5" borderId="0" xfId="0" applyFill="1" applyBorder="1"/>
    <xf numFmtId="0" fontId="10" fillId="5" borderId="0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center" vertical="center"/>
    </xf>
    <xf numFmtId="0" fontId="0" fillId="4" borderId="0" xfId="0" applyFill="1" applyBorder="1"/>
    <xf numFmtId="0" fontId="11" fillId="5" borderId="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right"/>
    </xf>
    <xf numFmtId="0" fontId="0" fillId="2" borderId="0" xfId="0" applyFill="1" applyBorder="1"/>
    <xf numFmtId="0" fontId="14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/>
    </xf>
    <xf numFmtId="0" fontId="3" fillId="3" borderId="0" xfId="0" applyFont="1" applyFill="1" applyAlignment="1">
      <alignment horizontal="right" vertical="center"/>
    </xf>
    <xf numFmtId="0" fontId="16" fillId="3" borderId="0" xfId="0" applyFont="1" applyFill="1" applyAlignment="1">
      <alignment horizontal="center"/>
    </xf>
    <xf numFmtId="0" fontId="17" fillId="4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vertical="top"/>
    </xf>
    <xf numFmtId="0" fontId="18" fillId="3" borderId="0" xfId="0" applyFont="1" applyFill="1" applyBorder="1"/>
    <xf numFmtId="0" fontId="18" fillId="3" borderId="0" xfId="0" applyFont="1" applyFill="1" applyBorder="1" applyAlignment="1">
      <alignment horizontal="center"/>
    </xf>
    <xf numFmtId="0" fontId="13" fillId="4" borderId="0" xfId="0" applyFon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22" fmlaLink="$J$16" max="6" min="1" page="10" val="2"/>
</file>

<file path=xl/ctrlProps/ctrlProp2.xml><?xml version="1.0" encoding="utf-8"?>
<formControlPr xmlns="http://schemas.microsoft.com/office/spreadsheetml/2009/9/main" objectType="Spin" dx="22" fmlaLink="$K$16" max="10" min="2" page="10" val="2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6</xdr:row>
      <xdr:rowOff>352425</xdr:rowOff>
    </xdr:from>
    <xdr:to>
      <xdr:col>11</xdr:col>
      <xdr:colOff>200025</xdr:colOff>
      <xdr:row>7</xdr:row>
      <xdr:rowOff>38100</xdr:rowOff>
    </xdr:to>
    <xdr:sp macro="[0]!Shake_To_Start" textlink="">
      <xdr:nvSpPr>
        <xdr:cNvPr id="2" name="Rounded Rectangle 1"/>
        <xdr:cNvSpPr/>
      </xdr:nvSpPr>
      <xdr:spPr>
        <a:xfrm>
          <a:off x="6772275" y="2609850"/>
          <a:ext cx="1362075" cy="5524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600" b="1"/>
            <a:t>开始摇</a:t>
          </a:r>
          <a:r>
            <a:rPr lang="zh-CN" sz="1600" b="1"/>
            <a:t>骰子</a:t>
          </a:r>
          <a:endParaRPr lang="en-US" sz="16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6</xdr:row>
          <xdr:rowOff>0</xdr:rowOff>
        </xdr:from>
        <xdr:to>
          <xdr:col>8</xdr:col>
          <xdr:colOff>419100</xdr:colOff>
          <xdr:row>7</xdr:row>
          <xdr:rowOff>9525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9525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76200</xdr:colOff>
      <xdr:row>7</xdr:row>
      <xdr:rowOff>85725</xdr:rowOff>
    </xdr:from>
    <xdr:to>
      <xdr:col>11</xdr:col>
      <xdr:colOff>190500</xdr:colOff>
      <xdr:row>7</xdr:row>
      <xdr:rowOff>628650</xdr:rowOff>
    </xdr:to>
    <xdr:sp macro="[0]!I_Call" textlink="">
      <xdr:nvSpPr>
        <xdr:cNvPr id="3" name="Rounded Rectangle 2"/>
        <xdr:cNvSpPr/>
      </xdr:nvSpPr>
      <xdr:spPr>
        <a:xfrm>
          <a:off x="7162800" y="3419475"/>
          <a:ext cx="1333500" cy="542925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800"/>
            <a:t>我叫</a:t>
          </a:r>
          <a:endParaRPr lang="en-US" sz="2800"/>
        </a:p>
      </xdr:txBody>
    </xdr:sp>
    <xdr:clientData/>
  </xdr:twoCellAnchor>
  <xdr:twoCellAnchor editAs="oneCell">
    <xdr:from>
      <xdr:col>0</xdr:col>
      <xdr:colOff>66674</xdr:colOff>
      <xdr:row>0</xdr:row>
      <xdr:rowOff>0</xdr:rowOff>
    </xdr:from>
    <xdr:to>
      <xdr:col>1</xdr:col>
      <xdr:colOff>180974</xdr:colOff>
      <xdr:row>4</xdr:row>
      <xdr:rowOff>115165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4" y="0"/>
          <a:ext cx="1514475" cy="1514474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7</xdr:row>
      <xdr:rowOff>676275</xdr:rowOff>
    </xdr:from>
    <xdr:to>
      <xdr:col>11</xdr:col>
      <xdr:colOff>180975</xdr:colOff>
      <xdr:row>8</xdr:row>
      <xdr:rowOff>485775</xdr:rowOff>
    </xdr:to>
    <xdr:sp macro="[0]!Catch" textlink="">
      <xdr:nvSpPr>
        <xdr:cNvPr id="8" name="Rounded Rectangle 7"/>
        <xdr:cNvSpPr/>
      </xdr:nvSpPr>
      <xdr:spPr>
        <a:xfrm>
          <a:off x="7153275" y="4010025"/>
          <a:ext cx="1333500" cy="542925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28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我抓</a:t>
          </a:r>
          <a:endParaRPr kumimoji="0" lang="en-US" sz="2800" b="0" i="0" u="none" strike="noStrike" kern="0" cap="none" spc="0" normalizeH="0" baseline="0" noProof="0" smtClean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77066</xdr:colOff>
      <xdr:row>6</xdr:row>
      <xdr:rowOff>417368</xdr:rowOff>
    </xdr:from>
    <xdr:to>
      <xdr:col>15</xdr:col>
      <xdr:colOff>581891</xdr:colOff>
      <xdr:row>7</xdr:row>
      <xdr:rowOff>620857</xdr:rowOff>
    </xdr:to>
    <xdr:sp macro="[0]!Reset" textlink="">
      <xdr:nvSpPr>
        <xdr:cNvPr id="5" name="Oval 4"/>
        <xdr:cNvSpPr/>
      </xdr:nvSpPr>
      <xdr:spPr>
        <a:xfrm>
          <a:off x="9602066" y="2885209"/>
          <a:ext cx="1110961" cy="1069398"/>
        </a:xfrm>
        <a:prstGeom prst="ellipse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numCol="2" rtlCol="0" anchor="ctr" anchorCtr="1"/>
        <a:lstStyle/>
        <a:p>
          <a:pPr algn="ctr"/>
          <a:r>
            <a:rPr lang="zh-CN" altLang="en-US" sz="2000" b="1"/>
            <a:t>重新刷新</a:t>
          </a:r>
          <a:endParaRPr lang="en-US" sz="2000" b="1"/>
        </a:p>
      </xdr:txBody>
    </xdr:sp>
    <xdr:clientData/>
  </xdr:twoCellAnchor>
  <xdr:twoCellAnchor editAs="oneCell">
    <xdr:from>
      <xdr:col>11</xdr:col>
      <xdr:colOff>251115</xdr:colOff>
      <xdr:row>0</xdr:row>
      <xdr:rowOff>0</xdr:rowOff>
    </xdr:from>
    <xdr:to>
      <xdr:col>15</xdr:col>
      <xdr:colOff>728231</xdr:colOff>
      <xdr:row>5</xdr:row>
      <xdr:rowOff>113434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3842" y="0"/>
          <a:ext cx="2295525" cy="23907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37"/>
  <sheetViews>
    <sheetView tabSelected="1" zoomScale="110" zoomScaleNormal="110" workbookViewId="0">
      <selection activeCell="L7" sqref="L7"/>
    </sheetView>
  </sheetViews>
  <sheetFormatPr defaultColWidth="0" defaultRowHeight="15" x14ac:dyDescent="0.25"/>
  <cols>
    <col min="1" max="1" width="21" style="10" customWidth="1"/>
    <col min="2" max="2" width="11" style="10" customWidth="1"/>
    <col min="3" max="6" width="11.28515625" style="10" bestFit="1" customWidth="1"/>
    <col min="7" max="7" width="11.28515625" style="10" customWidth="1"/>
    <col min="8" max="8" width="11.28515625" style="10" bestFit="1" customWidth="1"/>
    <col min="9" max="9" width="6.5703125" style="10" customWidth="1"/>
    <col min="10" max="12" width="9.140625" style="10" customWidth="1"/>
    <col min="13" max="13" width="9.140625" style="10" hidden="1" customWidth="1"/>
    <col min="14" max="15" width="9.140625" style="10" customWidth="1"/>
    <col min="16" max="16" width="13.140625" style="10" customWidth="1"/>
    <col min="17" max="17" width="9.140625" style="10" hidden="1" customWidth="1"/>
    <col min="18" max="16384" width="9.140625" style="10" hidden="1"/>
  </cols>
  <sheetData>
    <row r="1" spans="1:16" ht="36" customHeight="1" x14ac:dyDescent="0.55000000000000004">
      <c r="C1" s="11" t="s">
        <v>0</v>
      </c>
      <c r="D1" s="11" t="s">
        <v>1</v>
      </c>
      <c r="E1" s="11" t="s">
        <v>2</v>
      </c>
      <c r="F1" s="11" t="s">
        <v>3</v>
      </c>
      <c r="G1" s="11" t="s">
        <v>4</v>
      </c>
      <c r="J1" s="27" t="s">
        <v>136</v>
      </c>
      <c r="K1" s="27"/>
      <c r="L1" s="27"/>
      <c r="M1" s="27"/>
      <c r="N1" s="27"/>
      <c r="O1" s="27"/>
      <c r="P1" s="27"/>
    </row>
    <row r="2" spans="1:16" x14ac:dyDescent="0.25">
      <c r="B2" s="23"/>
      <c r="C2" s="23"/>
      <c r="D2" s="23"/>
      <c r="E2" s="23"/>
      <c r="F2" s="23"/>
      <c r="G2" s="23"/>
      <c r="H2" s="23"/>
      <c r="I2" s="23"/>
      <c r="J2" s="27"/>
      <c r="K2" s="27"/>
      <c r="L2" s="27"/>
      <c r="M2" s="27"/>
      <c r="N2" s="27"/>
      <c r="O2" s="27"/>
      <c r="P2" s="27"/>
    </row>
    <row r="3" spans="1:16" ht="15.75" thickBot="1" x14ac:dyDescent="0.3">
      <c r="B3" s="23"/>
      <c r="C3" s="23"/>
      <c r="D3" s="23"/>
      <c r="E3" s="23"/>
      <c r="F3" s="23"/>
      <c r="G3" s="23"/>
      <c r="H3" s="23"/>
      <c r="I3" s="23"/>
      <c r="J3" s="27"/>
      <c r="K3" s="27"/>
      <c r="L3" s="27"/>
      <c r="M3" s="27"/>
      <c r="N3" s="27"/>
      <c r="O3" s="27"/>
      <c r="P3" s="27"/>
    </row>
    <row r="4" spans="1:16" ht="43.5" customHeight="1" thickTop="1" thickBot="1" x14ac:dyDescent="0.75">
      <c r="B4" s="35" t="s">
        <v>101</v>
      </c>
      <c r="C4" s="33"/>
      <c r="D4" s="33"/>
      <c r="E4" s="33"/>
      <c r="F4" s="33"/>
      <c r="G4" s="33"/>
      <c r="H4" s="33"/>
      <c r="I4" s="34"/>
      <c r="J4" s="27"/>
      <c r="K4" s="27"/>
      <c r="L4" s="27"/>
      <c r="M4" s="27"/>
      <c r="N4" s="27"/>
      <c r="O4" s="27"/>
      <c r="P4" s="27"/>
    </row>
    <row r="5" spans="1:16" ht="69" thickTop="1" x14ac:dyDescent="0.7">
      <c r="B5" s="12"/>
      <c r="C5" s="13" t="str">
        <f>INDEX(Dice!$B$1:$B$7,Main!C14)</f>
        <v>%</v>
      </c>
      <c r="D5" s="13" t="str">
        <f>INDEX(Dice!$B$1:$B$7,Main!D14)</f>
        <v>%</v>
      </c>
      <c r="E5" s="13" t="str">
        <f>INDEX(Dice!$B$1:$B$7,Main!E14)</f>
        <v>#</v>
      </c>
      <c r="F5" s="13" t="str">
        <f>INDEX(Dice!$B$1:$B$7,Main!F14)</f>
        <v>%</v>
      </c>
      <c r="G5" s="13" t="str">
        <f>INDEX(Dice!$B$1:$B$7,Main!G14)</f>
        <v>%</v>
      </c>
      <c r="H5" s="12"/>
      <c r="I5" s="12"/>
      <c r="J5" s="28"/>
      <c r="K5" s="28"/>
    </row>
    <row r="6" spans="1:16" ht="16.5" customHeight="1" x14ac:dyDescent="0.7">
      <c r="B6" s="12"/>
      <c r="C6" s="13"/>
      <c r="D6" s="13"/>
      <c r="E6" s="14" t="str">
        <f>IF(B11=1,C11,D11)</f>
        <v>1 也是鬼牌</v>
      </c>
      <c r="F6" s="13"/>
      <c r="G6" s="24" t="str">
        <f>P12</f>
        <v>最少要叫两个二以上</v>
      </c>
      <c r="H6" s="24"/>
      <c r="I6" s="15"/>
      <c r="J6" s="28"/>
      <c r="K6" s="28"/>
    </row>
    <row r="7" spans="1:16" ht="68.25" x14ac:dyDescent="0.7">
      <c r="A7" s="22"/>
      <c r="B7" s="12"/>
      <c r="C7" s="16" t="str">
        <f>L15</f>
        <v>两个</v>
      </c>
      <c r="D7" s="17" t="str">
        <f>INDEX(Dice!B1:B6,Main!J15)</f>
        <v>@</v>
      </c>
      <c r="E7" s="18" t="str">
        <f>IF(B11=0,"]","H")</f>
        <v>H</v>
      </c>
      <c r="F7" s="19"/>
      <c r="G7" s="20" t="str">
        <f>L16</f>
        <v>两个</v>
      </c>
      <c r="H7" s="21">
        <f>J16</f>
        <v>2</v>
      </c>
      <c r="I7" s="15"/>
    </row>
    <row r="8" spans="1:16" ht="57.75" customHeight="1" x14ac:dyDescent="0.7">
      <c r="B8" s="15"/>
      <c r="C8" s="21" t="str">
        <f>INDEX(Dice!$B$1:$B$6,Main!C16)</f>
        <v>@</v>
      </c>
      <c r="D8" s="21" t="str">
        <f>INDEX(Dice!$B$1:$B$6,Main!D16)</f>
        <v>$</v>
      </c>
      <c r="E8" s="21" t="str">
        <f>INDEX(Dice!$B$1:$B$6,Main!E16)</f>
        <v>%</v>
      </c>
      <c r="F8" s="21" t="str">
        <f>INDEX(Dice!$B$1:$B$6,Main!F16)</f>
        <v>@</v>
      </c>
      <c r="G8" s="21" t="str">
        <f>INDEX(Dice!$B$1:$B$6,Main!G16)</f>
        <v>#</v>
      </c>
      <c r="H8" s="15"/>
      <c r="I8" s="15"/>
    </row>
    <row r="9" spans="1:16" ht="39" customHeight="1" x14ac:dyDescent="0.55000000000000004">
      <c r="B9" s="32" t="s">
        <v>102</v>
      </c>
      <c r="C9" s="31"/>
      <c r="D9" s="31"/>
      <c r="E9" s="31"/>
      <c r="F9" s="31"/>
      <c r="G9" s="31"/>
      <c r="H9" s="31"/>
      <c r="I9" s="31"/>
      <c r="N9" s="26" t="s">
        <v>135</v>
      </c>
      <c r="O9" s="25"/>
      <c r="P9" s="25"/>
    </row>
    <row r="10" spans="1:16" s="29" customFormat="1" x14ac:dyDescent="0.25">
      <c r="L10" s="29" t="s">
        <v>134</v>
      </c>
    </row>
    <row r="11" spans="1:16" s="29" customFormat="1" x14ac:dyDescent="0.25">
      <c r="A11" s="29" t="s">
        <v>90</v>
      </c>
      <c r="B11" s="29">
        <v>1</v>
      </c>
      <c r="C11" s="29" t="s">
        <v>112</v>
      </c>
      <c r="D11" s="29" t="s">
        <v>113</v>
      </c>
      <c r="G11" s="29" t="s">
        <v>114</v>
      </c>
      <c r="H11" s="29">
        <v>0</v>
      </c>
      <c r="J11" s="29" t="s">
        <v>118</v>
      </c>
    </row>
    <row r="12" spans="1:16" s="29" customFormat="1" x14ac:dyDescent="0.25">
      <c r="A12" s="29" t="s">
        <v>89</v>
      </c>
      <c r="B12" s="29">
        <v>0</v>
      </c>
      <c r="G12" s="29" t="s">
        <v>115</v>
      </c>
      <c r="H12" s="29">
        <v>2</v>
      </c>
      <c r="J12" s="29">
        <v>2</v>
      </c>
      <c r="K12" s="29">
        <v>2</v>
      </c>
      <c r="L12" s="29" t="str">
        <f>INDEX(Dice!C$1:C$10,Main!K12)</f>
        <v>两个</v>
      </c>
      <c r="M12" s="29" t="str">
        <f>INDEX(Dice!D$1:D$6,Main!J12)</f>
        <v>二</v>
      </c>
      <c r="N12" s="29" t="s">
        <v>132</v>
      </c>
      <c r="O12" s="29" t="s">
        <v>133</v>
      </c>
      <c r="P12" s="29" t="str">
        <f>CONCATENATE(N12,L12,M12,O12)</f>
        <v>最少要叫两个二以上</v>
      </c>
    </row>
    <row r="13" spans="1:16" s="29" customFormat="1" x14ac:dyDescent="0.25"/>
    <row r="14" spans="1:16" s="29" customFormat="1" x14ac:dyDescent="0.25">
      <c r="C14" s="30">
        <f>IF($B12=1,7,C15)</f>
        <v>5</v>
      </c>
      <c r="D14" s="30">
        <f t="shared" ref="D14:G14" si="0">IF($B12=1,7,D15)</f>
        <v>5</v>
      </c>
      <c r="E14" s="30">
        <f t="shared" si="0"/>
        <v>3</v>
      </c>
      <c r="F14" s="30">
        <f t="shared" si="0"/>
        <v>5</v>
      </c>
      <c r="G14" s="30">
        <f t="shared" si="0"/>
        <v>5</v>
      </c>
      <c r="H14" s="29" t="s">
        <v>117</v>
      </c>
      <c r="J14" s="29" t="s">
        <v>108</v>
      </c>
      <c r="K14" s="29" t="s">
        <v>109</v>
      </c>
      <c r="N14" s="29">
        <v>55</v>
      </c>
    </row>
    <row r="15" spans="1:16" s="29" customFormat="1" x14ac:dyDescent="0.25">
      <c r="A15" s="29" t="s">
        <v>87</v>
      </c>
      <c r="C15" s="30">
        <v>5</v>
      </c>
      <c r="D15" s="30">
        <v>5</v>
      </c>
      <c r="E15" s="30">
        <v>3</v>
      </c>
      <c r="F15" s="30">
        <v>5</v>
      </c>
      <c r="G15" s="30">
        <v>5</v>
      </c>
      <c r="H15" s="29" t="s">
        <v>116</v>
      </c>
      <c r="J15" s="30">
        <v>2</v>
      </c>
      <c r="K15" s="30">
        <v>2</v>
      </c>
      <c r="L15" s="29" t="str">
        <f>INDEX(Dice!C$1:C$10,Main!K15)</f>
        <v>两个</v>
      </c>
      <c r="M15" s="29" t="str">
        <f>CONCATENATE(J15,K15)</f>
        <v>22</v>
      </c>
      <c r="N15" s="29">
        <f>INDEX(B27:B86,MATCH(M15,E27:E86,0))</f>
        <v>7</v>
      </c>
    </row>
    <row r="16" spans="1:16" s="29" customFormat="1" x14ac:dyDescent="0.25">
      <c r="A16" s="29" t="s">
        <v>88</v>
      </c>
      <c r="C16" s="30">
        <v>2</v>
      </c>
      <c r="D16" s="30">
        <v>4</v>
      </c>
      <c r="E16" s="30">
        <v>5</v>
      </c>
      <c r="F16" s="30">
        <v>2</v>
      </c>
      <c r="G16" s="30">
        <v>3</v>
      </c>
      <c r="J16" s="30">
        <v>2</v>
      </c>
      <c r="K16" s="30">
        <v>2</v>
      </c>
      <c r="L16" s="29" t="str">
        <f>INDEX(Dice!C$1:C$10,Main!K16)</f>
        <v>两个</v>
      </c>
      <c r="M16" s="29" t="str">
        <f>CONCATENATE(J16,K16)</f>
        <v>22</v>
      </c>
      <c r="N16" s="29">
        <f>INDEX(B27:B86,MATCH(M16,E27:E86,0))</f>
        <v>7</v>
      </c>
    </row>
    <row r="17" spans="1:17" s="29" customFormat="1" x14ac:dyDescent="0.25">
      <c r="J17" s="29" t="s">
        <v>119</v>
      </c>
      <c r="K17" s="30">
        <f>INDEX(F19:F24,J16)+3</f>
        <v>3</v>
      </c>
    </row>
    <row r="18" spans="1:17" s="29" customFormat="1" x14ac:dyDescent="0.25">
      <c r="B18" s="29" t="s">
        <v>104</v>
      </c>
      <c r="C18" s="29" t="s">
        <v>103</v>
      </c>
      <c r="E18" s="29" t="s">
        <v>105</v>
      </c>
      <c r="F18" s="29" t="s">
        <v>110</v>
      </c>
      <c r="J18" s="29" t="s">
        <v>108</v>
      </c>
      <c r="K18" s="29" t="s">
        <v>109</v>
      </c>
    </row>
    <row r="19" spans="1:17" s="29" customFormat="1" x14ac:dyDescent="0.25">
      <c r="A19" s="29">
        <v>1</v>
      </c>
      <c r="B19" s="29">
        <f t="shared" ref="B19:B24" si="1">COUNTIF(C$15:G$16,A19)</f>
        <v>0</v>
      </c>
      <c r="C19" s="30">
        <f>B19</f>
        <v>0</v>
      </c>
      <c r="D19" s="30" t="str">
        <f>IF(E19&gt;0,1,"")</f>
        <v/>
      </c>
      <c r="E19" s="30">
        <f t="shared" ref="E19:E24" si="2">COUNTIF(C$15:G$15,A19)</f>
        <v>0</v>
      </c>
      <c r="F19" s="30">
        <f>E19</f>
        <v>0</v>
      </c>
      <c r="G19" s="30" t="str">
        <f>IF(F19&gt;0,6,"")</f>
        <v/>
      </c>
      <c r="H19" s="29" t="s">
        <v>106</v>
      </c>
      <c r="I19" s="30">
        <f>LARGE(G19:G24,1)</f>
        <v>4</v>
      </c>
      <c r="J19" s="30">
        <f>IF(I19=6,1,I19+1)</f>
        <v>5</v>
      </c>
      <c r="K19" s="30">
        <f>INDEX(F19:F24,MATCH(I19,G19:G24,0))</f>
        <v>4</v>
      </c>
    </row>
    <row r="20" spans="1:17" s="29" customFormat="1" x14ac:dyDescent="0.25">
      <c r="A20" s="29">
        <v>2</v>
      </c>
      <c r="B20" s="29">
        <f t="shared" si="1"/>
        <v>2</v>
      </c>
      <c r="C20" s="30">
        <f>IF(B$11=1,B20+C$19,B20)</f>
        <v>2</v>
      </c>
      <c r="D20" s="30" t="str">
        <f>IF(E20&gt;0,2,"")</f>
        <v/>
      </c>
      <c r="E20" s="30">
        <f t="shared" si="2"/>
        <v>0</v>
      </c>
      <c r="F20" s="30">
        <f>IF(B$11=1,E20+F$19,E20)</f>
        <v>0</v>
      </c>
      <c r="G20" s="30" t="str">
        <f>IF(F20&gt;0,1,"")</f>
        <v/>
      </c>
      <c r="H20" s="29" t="s">
        <v>107</v>
      </c>
      <c r="I20" s="30">
        <f>SMALL(G19:G24,1)</f>
        <v>2</v>
      </c>
      <c r="J20" s="30">
        <f>IF(I20=6,1,I20+1)</f>
        <v>3</v>
      </c>
      <c r="K20" s="30">
        <f>INDEX(F19:F24,MATCH(I20,G19:G24,0))</f>
        <v>1</v>
      </c>
    </row>
    <row r="21" spans="1:17" s="29" customFormat="1" x14ac:dyDescent="0.25">
      <c r="A21" s="29">
        <v>3</v>
      </c>
      <c r="B21" s="29">
        <f t="shared" si="1"/>
        <v>2</v>
      </c>
      <c r="C21" s="30">
        <f t="shared" ref="C21:C24" si="3">IF(B$11=1,B21+C$19,B21)</f>
        <v>2</v>
      </c>
      <c r="D21" s="30">
        <f>IF(E21&gt;0,3,"")</f>
        <v>3</v>
      </c>
      <c r="E21" s="30">
        <f t="shared" si="2"/>
        <v>1</v>
      </c>
      <c r="F21" s="30">
        <f t="shared" ref="F21:F24" si="4">IF(B$11=1,E21+F$19,E21)</f>
        <v>1</v>
      </c>
      <c r="G21" s="30">
        <f>IF(F21&gt;0,2,"")</f>
        <v>2</v>
      </c>
      <c r="J21" s="30"/>
      <c r="K21" s="30"/>
    </row>
    <row r="22" spans="1:17" s="29" customFormat="1" x14ac:dyDescent="0.25">
      <c r="A22" s="29">
        <v>4</v>
      </c>
      <c r="B22" s="29">
        <f t="shared" si="1"/>
        <v>1</v>
      </c>
      <c r="C22" s="30">
        <f t="shared" si="3"/>
        <v>1</v>
      </c>
      <c r="D22" s="30" t="str">
        <f>IF(E22&gt;0,4,"")</f>
        <v/>
      </c>
      <c r="E22" s="30">
        <f t="shared" si="2"/>
        <v>0</v>
      </c>
      <c r="F22" s="30">
        <f t="shared" si="4"/>
        <v>0</v>
      </c>
      <c r="G22" s="30" t="str">
        <f>IF(F22&gt;0,3,"")</f>
        <v/>
      </c>
      <c r="H22" s="29" t="s">
        <v>111</v>
      </c>
      <c r="J22" s="30">
        <v>3</v>
      </c>
      <c r="K22" s="30">
        <v>4</v>
      </c>
      <c r="M22" s="29" t="str">
        <f>CONCATENATE(J22,K22)</f>
        <v>34</v>
      </c>
      <c r="N22" s="29">
        <f>INDEX(B27:B86,MATCH(M22,E27:E86,0))</f>
        <v>20</v>
      </c>
    </row>
    <row r="23" spans="1:17" s="29" customFormat="1" x14ac:dyDescent="0.25">
      <c r="A23" s="29">
        <v>5</v>
      </c>
      <c r="B23" s="29">
        <f t="shared" si="1"/>
        <v>5</v>
      </c>
      <c r="C23" s="30">
        <f t="shared" si="3"/>
        <v>5</v>
      </c>
      <c r="D23" s="30">
        <f>IF(E23&gt;0,5,"")</f>
        <v>5</v>
      </c>
      <c r="E23" s="30">
        <f t="shared" si="2"/>
        <v>4</v>
      </c>
      <c r="F23" s="30">
        <f t="shared" si="4"/>
        <v>4</v>
      </c>
      <c r="G23" s="30">
        <f>IF(F23&gt;0,4,"")</f>
        <v>4</v>
      </c>
      <c r="N23" s="29">
        <f>IF(N22&lt;60,N22+1,60)</f>
        <v>21</v>
      </c>
      <c r="O23" s="30" t="str">
        <f>INDEX(E27:E86,N23)</f>
        <v>44</v>
      </c>
      <c r="P23" s="30" t="str">
        <f>LEFT(O23,1)</f>
        <v>4</v>
      </c>
      <c r="Q23" s="30" t="str">
        <f>RIGHT(O23,LEN(O23)-1)</f>
        <v>4</v>
      </c>
    </row>
    <row r="24" spans="1:17" s="29" customFormat="1" x14ac:dyDescent="0.25">
      <c r="A24" s="29">
        <v>6</v>
      </c>
      <c r="B24" s="29">
        <f t="shared" si="1"/>
        <v>0</v>
      </c>
      <c r="C24" s="30">
        <f t="shared" si="3"/>
        <v>0</v>
      </c>
      <c r="D24" s="30" t="str">
        <f>IF(E24&gt;0,6,"")</f>
        <v/>
      </c>
      <c r="E24" s="30">
        <f t="shared" si="2"/>
        <v>0</v>
      </c>
      <c r="F24" s="30">
        <f t="shared" si="4"/>
        <v>0</v>
      </c>
      <c r="G24" s="30" t="str">
        <f>IF(F24&gt;0,5,"")</f>
        <v/>
      </c>
    </row>
    <row r="25" spans="1:17" s="29" customFormat="1" x14ac:dyDescent="0.25"/>
    <row r="26" spans="1:17" s="29" customFormat="1" x14ac:dyDescent="0.25">
      <c r="C26" s="30" t="s">
        <v>108</v>
      </c>
      <c r="D26" s="30" t="s">
        <v>109</v>
      </c>
      <c r="E26" s="30"/>
    </row>
    <row r="27" spans="1:17" s="29" customFormat="1" x14ac:dyDescent="0.25">
      <c r="A27" s="29">
        <f>COUNTIF(D$19:D$24,C27)</f>
        <v>0</v>
      </c>
      <c r="B27" s="29">
        <v>1</v>
      </c>
      <c r="C27" s="30">
        <v>2</v>
      </c>
      <c r="D27" s="30">
        <v>1</v>
      </c>
      <c r="E27" s="30" t="str">
        <f t="shared" ref="E27:E32" si="5">CONCATENATE(C27,D27)</f>
        <v>21</v>
      </c>
      <c r="F27" s="29" t="str">
        <f>IF(A27=1,D27,"")</f>
        <v/>
      </c>
      <c r="H27" s="29" t="s">
        <v>122</v>
      </c>
      <c r="I27" s="29" t="s">
        <v>124</v>
      </c>
    </row>
    <row r="28" spans="1:17" s="29" customFormat="1" x14ac:dyDescent="0.25">
      <c r="A28" s="29">
        <f t="shared" ref="A28:A86" si="6">COUNTIF(D$19:D$24,C28)</f>
        <v>1</v>
      </c>
      <c r="B28" s="29">
        <v>2</v>
      </c>
      <c r="C28" s="30">
        <v>3</v>
      </c>
      <c r="D28" s="30">
        <v>1</v>
      </c>
      <c r="E28" s="30" t="str">
        <f t="shared" si="5"/>
        <v>31</v>
      </c>
      <c r="F28" s="29">
        <f t="shared" ref="F28:F86" si="7">IF(A28=1,D28,"")</f>
        <v>1</v>
      </c>
      <c r="H28" s="29" t="s">
        <v>123</v>
      </c>
      <c r="I28" s="29" t="s">
        <v>125</v>
      </c>
    </row>
    <row r="29" spans="1:17" s="29" customFormat="1" x14ac:dyDescent="0.25">
      <c r="A29" s="29">
        <f t="shared" si="6"/>
        <v>0</v>
      </c>
      <c r="B29" s="29">
        <v>3</v>
      </c>
      <c r="C29" s="30">
        <v>4</v>
      </c>
      <c r="D29" s="30">
        <v>1</v>
      </c>
      <c r="E29" s="30" t="str">
        <f t="shared" si="5"/>
        <v>41</v>
      </c>
      <c r="F29" s="29" t="str">
        <f t="shared" si="7"/>
        <v/>
      </c>
    </row>
    <row r="30" spans="1:17" s="29" customFormat="1" x14ac:dyDescent="0.25">
      <c r="A30" s="29">
        <f t="shared" si="6"/>
        <v>1</v>
      </c>
      <c r="B30" s="29">
        <v>4</v>
      </c>
      <c r="C30" s="30">
        <v>5</v>
      </c>
      <c r="D30" s="30">
        <v>1</v>
      </c>
      <c r="E30" s="30" t="str">
        <f t="shared" si="5"/>
        <v>51</v>
      </c>
      <c r="F30" s="29">
        <f t="shared" si="7"/>
        <v>1</v>
      </c>
      <c r="K30" s="29" t="s">
        <v>121</v>
      </c>
      <c r="M30" s="29">
        <f>J15</f>
        <v>2</v>
      </c>
      <c r="N30" s="29">
        <f>N15</f>
        <v>7</v>
      </c>
      <c r="O30" s="29">
        <f>INDEX(N33:N38,M30)</f>
        <v>7</v>
      </c>
      <c r="P30" s="29">
        <f>IF(O30&gt;=N30,1,0)</f>
        <v>1</v>
      </c>
    </row>
    <row r="31" spans="1:17" s="29" customFormat="1" x14ac:dyDescent="0.25">
      <c r="A31" s="29">
        <f t="shared" si="6"/>
        <v>0</v>
      </c>
      <c r="B31" s="29">
        <v>5</v>
      </c>
      <c r="C31" s="30">
        <v>6</v>
      </c>
      <c r="D31" s="30">
        <v>1</v>
      </c>
      <c r="E31" s="30" t="str">
        <f t="shared" si="5"/>
        <v>61</v>
      </c>
      <c r="F31" s="29" t="str">
        <f t="shared" si="7"/>
        <v/>
      </c>
      <c r="K31" s="29" t="s">
        <v>120</v>
      </c>
      <c r="M31" s="29">
        <f>J16</f>
        <v>2</v>
      </c>
      <c r="N31" s="29">
        <f>N16</f>
        <v>7</v>
      </c>
      <c r="O31" s="29">
        <f>INDEX(N33:N38,M31)</f>
        <v>7</v>
      </c>
      <c r="P31" s="29">
        <f>IF(O31&gt;=N31,1,0)</f>
        <v>1</v>
      </c>
    </row>
    <row r="32" spans="1:17" s="29" customFormat="1" x14ac:dyDescent="0.25">
      <c r="A32" s="29">
        <f t="shared" si="6"/>
        <v>0</v>
      </c>
      <c r="B32" s="29">
        <v>6</v>
      </c>
      <c r="C32" s="30">
        <v>1</v>
      </c>
      <c r="D32" s="30">
        <v>1</v>
      </c>
      <c r="E32" s="30" t="str">
        <f t="shared" si="5"/>
        <v>11</v>
      </c>
      <c r="F32" s="29" t="str">
        <f t="shared" si="7"/>
        <v/>
      </c>
    </row>
    <row r="33" spans="1:14" s="29" customFormat="1" x14ac:dyDescent="0.25">
      <c r="A33" s="29">
        <f t="shared" si="6"/>
        <v>0</v>
      </c>
      <c r="B33" s="29">
        <v>7</v>
      </c>
      <c r="C33" s="30">
        <v>2</v>
      </c>
      <c r="D33" s="30">
        <v>2</v>
      </c>
      <c r="E33" s="30" t="str">
        <f t="shared" ref="E33:E85" si="8">CONCATENATE(C33,D33)</f>
        <v>22</v>
      </c>
      <c r="F33" s="29" t="str">
        <f t="shared" si="7"/>
        <v/>
      </c>
      <c r="J33" s="29">
        <v>1</v>
      </c>
      <c r="K33" s="29">
        <f t="shared" ref="K33:K38" si="9">C19</f>
        <v>0</v>
      </c>
      <c r="M33" s="29" t="str">
        <f>CONCATENATE(J33,K33)</f>
        <v>10</v>
      </c>
      <c r="N33" s="29" t="e">
        <f>INDEX(B$27:B$86,MATCH(M33,E$27:E$86,0))</f>
        <v>#N/A</v>
      </c>
    </row>
    <row r="34" spans="1:14" s="29" customFormat="1" x14ac:dyDescent="0.25">
      <c r="A34" s="29">
        <f t="shared" si="6"/>
        <v>1</v>
      </c>
      <c r="B34" s="29">
        <v>8</v>
      </c>
      <c r="C34" s="30">
        <v>3</v>
      </c>
      <c r="D34" s="30">
        <v>2</v>
      </c>
      <c r="E34" s="30" t="str">
        <f t="shared" si="8"/>
        <v>32</v>
      </c>
      <c r="F34" s="29">
        <f t="shared" si="7"/>
        <v>2</v>
      </c>
      <c r="J34" s="29">
        <v>2</v>
      </c>
      <c r="K34" s="29">
        <f t="shared" si="9"/>
        <v>2</v>
      </c>
      <c r="M34" s="29" t="str">
        <f t="shared" ref="M34:M38" si="10">CONCATENATE(J34,K34)</f>
        <v>22</v>
      </c>
      <c r="N34" s="29">
        <f t="shared" ref="N34:N38" si="11">INDEX(B$27:B$86,MATCH(M34,E$27:E$86,0))</f>
        <v>7</v>
      </c>
    </row>
    <row r="35" spans="1:14" s="29" customFormat="1" x14ac:dyDescent="0.25">
      <c r="A35" s="29">
        <f t="shared" si="6"/>
        <v>0</v>
      </c>
      <c r="B35" s="29">
        <v>9</v>
      </c>
      <c r="C35" s="30">
        <v>4</v>
      </c>
      <c r="D35" s="30">
        <v>2</v>
      </c>
      <c r="E35" s="30" t="str">
        <f t="shared" si="8"/>
        <v>42</v>
      </c>
      <c r="F35" s="29" t="str">
        <f t="shared" si="7"/>
        <v/>
      </c>
      <c r="J35" s="29">
        <v>3</v>
      </c>
      <c r="K35" s="29">
        <f t="shared" si="9"/>
        <v>2</v>
      </c>
      <c r="M35" s="29" t="str">
        <f t="shared" si="10"/>
        <v>32</v>
      </c>
      <c r="N35" s="29">
        <f t="shared" si="11"/>
        <v>8</v>
      </c>
    </row>
    <row r="36" spans="1:14" s="29" customFormat="1" x14ac:dyDescent="0.25">
      <c r="A36" s="29">
        <f t="shared" si="6"/>
        <v>1</v>
      </c>
      <c r="B36" s="29">
        <v>10</v>
      </c>
      <c r="C36" s="30">
        <v>5</v>
      </c>
      <c r="D36" s="30">
        <v>2</v>
      </c>
      <c r="E36" s="30" t="str">
        <f t="shared" si="8"/>
        <v>52</v>
      </c>
      <c r="F36" s="29">
        <f t="shared" si="7"/>
        <v>2</v>
      </c>
      <c r="J36" s="29">
        <v>4</v>
      </c>
      <c r="K36" s="29">
        <f t="shared" si="9"/>
        <v>1</v>
      </c>
      <c r="M36" s="29" t="str">
        <f t="shared" si="10"/>
        <v>41</v>
      </c>
      <c r="N36" s="29">
        <f t="shared" si="11"/>
        <v>3</v>
      </c>
    </row>
    <row r="37" spans="1:14" s="29" customFormat="1" x14ac:dyDescent="0.25">
      <c r="A37" s="29">
        <f t="shared" si="6"/>
        <v>0</v>
      </c>
      <c r="B37" s="29">
        <v>11</v>
      </c>
      <c r="C37" s="30">
        <v>6</v>
      </c>
      <c r="D37" s="30">
        <v>2</v>
      </c>
      <c r="E37" s="30" t="str">
        <f t="shared" si="8"/>
        <v>62</v>
      </c>
      <c r="F37" s="29" t="str">
        <f t="shared" si="7"/>
        <v/>
      </c>
      <c r="J37" s="29">
        <v>5</v>
      </c>
      <c r="K37" s="29">
        <f t="shared" si="9"/>
        <v>5</v>
      </c>
      <c r="M37" s="29" t="str">
        <f t="shared" si="10"/>
        <v>55</v>
      </c>
      <c r="N37" s="29">
        <f t="shared" si="11"/>
        <v>28</v>
      </c>
    </row>
    <row r="38" spans="1:14" s="29" customFormat="1" x14ac:dyDescent="0.25">
      <c r="A38" s="29">
        <f t="shared" si="6"/>
        <v>0</v>
      </c>
      <c r="B38" s="29">
        <v>12</v>
      </c>
      <c r="C38" s="30">
        <v>1</v>
      </c>
      <c r="D38" s="30">
        <v>2</v>
      </c>
      <c r="E38" s="30" t="str">
        <f t="shared" si="8"/>
        <v>12</v>
      </c>
      <c r="F38" s="29" t="str">
        <f t="shared" si="7"/>
        <v/>
      </c>
      <c r="J38" s="29">
        <v>6</v>
      </c>
      <c r="K38" s="29">
        <f t="shared" si="9"/>
        <v>0</v>
      </c>
      <c r="M38" s="29" t="str">
        <f t="shared" si="10"/>
        <v>60</v>
      </c>
      <c r="N38" s="29" t="e">
        <f t="shared" si="11"/>
        <v>#N/A</v>
      </c>
    </row>
    <row r="39" spans="1:14" s="29" customFormat="1" x14ac:dyDescent="0.25">
      <c r="A39" s="29">
        <f t="shared" si="6"/>
        <v>0</v>
      </c>
      <c r="B39" s="29">
        <v>13</v>
      </c>
      <c r="C39" s="30">
        <v>2</v>
      </c>
      <c r="D39" s="30">
        <v>3</v>
      </c>
      <c r="E39" s="30" t="str">
        <f t="shared" si="8"/>
        <v>23</v>
      </c>
      <c r="F39" s="29" t="str">
        <f t="shared" si="7"/>
        <v/>
      </c>
    </row>
    <row r="40" spans="1:14" s="29" customFormat="1" x14ac:dyDescent="0.25">
      <c r="A40" s="29">
        <f t="shared" si="6"/>
        <v>1</v>
      </c>
      <c r="B40" s="29">
        <v>14</v>
      </c>
      <c r="C40" s="30">
        <v>3</v>
      </c>
      <c r="D40" s="30">
        <v>3</v>
      </c>
      <c r="E40" s="30" t="str">
        <f t="shared" si="8"/>
        <v>33</v>
      </c>
      <c r="F40" s="29">
        <f t="shared" si="7"/>
        <v>3</v>
      </c>
    </row>
    <row r="41" spans="1:14" s="29" customFormat="1" x14ac:dyDescent="0.25">
      <c r="A41" s="29">
        <f t="shared" si="6"/>
        <v>0</v>
      </c>
      <c r="B41" s="29">
        <v>15</v>
      </c>
      <c r="C41" s="30">
        <v>4</v>
      </c>
      <c r="D41" s="30">
        <v>3</v>
      </c>
      <c r="E41" s="30" t="str">
        <f t="shared" si="8"/>
        <v>43</v>
      </c>
      <c r="F41" s="29" t="str">
        <f t="shared" si="7"/>
        <v/>
      </c>
    </row>
    <row r="42" spans="1:14" s="29" customFormat="1" x14ac:dyDescent="0.25">
      <c r="A42" s="29">
        <f t="shared" si="6"/>
        <v>1</v>
      </c>
      <c r="B42" s="29">
        <v>16</v>
      </c>
      <c r="C42" s="30">
        <v>5</v>
      </c>
      <c r="D42" s="30">
        <v>3</v>
      </c>
      <c r="E42" s="30" t="str">
        <f t="shared" si="8"/>
        <v>53</v>
      </c>
      <c r="F42" s="29">
        <f t="shared" si="7"/>
        <v>3</v>
      </c>
    </row>
    <row r="43" spans="1:14" s="29" customFormat="1" x14ac:dyDescent="0.25">
      <c r="A43" s="29">
        <f t="shared" si="6"/>
        <v>0</v>
      </c>
      <c r="B43" s="29">
        <v>17</v>
      </c>
      <c r="C43" s="30">
        <v>6</v>
      </c>
      <c r="D43" s="30">
        <v>3</v>
      </c>
      <c r="E43" s="30" t="str">
        <f t="shared" si="8"/>
        <v>63</v>
      </c>
      <c r="F43" s="29" t="str">
        <f t="shared" si="7"/>
        <v/>
      </c>
    </row>
    <row r="44" spans="1:14" s="29" customFormat="1" x14ac:dyDescent="0.25">
      <c r="A44" s="29">
        <f t="shared" si="6"/>
        <v>0</v>
      </c>
      <c r="B44" s="29">
        <v>18</v>
      </c>
      <c r="C44" s="30">
        <v>1</v>
      </c>
      <c r="D44" s="30">
        <v>3</v>
      </c>
      <c r="E44" s="30" t="str">
        <f t="shared" si="8"/>
        <v>13</v>
      </c>
      <c r="F44" s="29" t="str">
        <f t="shared" si="7"/>
        <v/>
      </c>
    </row>
    <row r="45" spans="1:14" s="29" customFormat="1" x14ac:dyDescent="0.25">
      <c r="A45" s="29">
        <f t="shared" si="6"/>
        <v>0</v>
      </c>
      <c r="B45" s="29">
        <v>19</v>
      </c>
      <c r="C45" s="30">
        <v>2</v>
      </c>
      <c r="D45" s="30">
        <v>4</v>
      </c>
      <c r="E45" s="30" t="str">
        <f t="shared" si="8"/>
        <v>24</v>
      </c>
      <c r="F45" s="29" t="str">
        <f t="shared" si="7"/>
        <v/>
      </c>
    </row>
    <row r="46" spans="1:14" s="29" customFormat="1" x14ac:dyDescent="0.25">
      <c r="A46" s="29">
        <f t="shared" si="6"/>
        <v>1</v>
      </c>
      <c r="B46" s="29">
        <v>20</v>
      </c>
      <c r="C46" s="30">
        <v>3</v>
      </c>
      <c r="D46" s="30">
        <v>4</v>
      </c>
      <c r="E46" s="30" t="str">
        <f t="shared" si="8"/>
        <v>34</v>
      </c>
      <c r="F46" s="29">
        <f t="shared" si="7"/>
        <v>4</v>
      </c>
    </row>
    <row r="47" spans="1:14" s="29" customFormat="1" x14ac:dyDescent="0.25">
      <c r="A47" s="29">
        <f t="shared" si="6"/>
        <v>0</v>
      </c>
      <c r="B47" s="29">
        <v>21</v>
      </c>
      <c r="C47" s="30">
        <v>4</v>
      </c>
      <c r="D47" s="30">
        <v>4</v>
      </c>
      <c r="E47" s="30" t="str">
        <f t="shared" si="8"/>
        <v>44</v>
      </c>
      <c r="F47" s="29" t="str">
        <f t="shared" si="7"/>
        <v/>
      </c>
    </row>
    <row r="48" spans="1:14" s="29" customFormat="1" x14ac:dyDescent="0.25">
      <c r="A48" s="29">
        <f t="shared" si="6"/>
        <v>1</v>
      </c>
      <c r="B48" s="29">
        <v>22</v>
      </c>
      <c r="C48" s="30">
        <v>5</v>
      </c>
      <c r="D48" s="30">
        <v>4</v>
      </c>
      <c r="E48" s="30" t="str">
        <f t="shared" si="8"/>
        <v>54</v>
      </c>
      <c r="F48" s="29">
        <f t="shared" si="7"/>
        <v>4</v>
      </c>
    </row>
    <row r="49" spans="1:6" s="29" customFormat="1" x14ac:dyDescent="0.25">
      <c r="A49" s="29">
        <f t="shared" si="6"/>
        <v>0</v>
      </c>
      <c r="B49" s="29">
        <v>23</v>
      </c>
      <c r="C49" s="30">
        <v>6</v>
      </c>
      <c r="D49" s="30">
        <v>4</v>
      </c>
      <c r="E49" s="30" t="str">
        <f t="shared" si="8"/>
        <v>64</v>
      </c>
      <c r="F49" s="29" t="str">
        <f t="shared" si="7"/>
        <v/>
      </c>
    </row>
    <row r="50" spans="1:6" s="29" customFormat="1" x14ac:dyDescent="0.25">
      <c r="A50" s="29">
        <f t="shared" si="6"/>
        <v>0</v>
      </c>
      <c r="B50" s="29">
        <v>24</v>
      </c>
      <c r="C50" s="30">
        <v>1</v>
      </c>
      <c r="D50" s="30">
        <v>4</v>
      </c>
      <c r="E50" s="30" t="str">
        <f t="shared" si="8"/>
        <v>14</v>
      </c>
      <c r="F50" s="29" t="str">
        <f t="shared" si="7"/>
        <v/>
      </c>
    </row>
    <row r="51" spans="1:6" s="29" customFormat="1" x14ac:dyDescent="0.25">
      <c r="A51" s="29">
        <f t="shared" si="6"/>
        <v>0</v>
      </c>
      <c r="B51" s="29">
        <v>25</v>
      </c>
      <c r="C51" s="30">
        <v>2</v>
      </c>
      <c r="D51" s="30">
        <v>5</v>
      </c>
      <c r="E51" s="30" t="str">
        <f t="shared" si="8"/>
        <v>25</v>
      </c>
      <c r="F51" s="29" t="str">
        <f t="shared" si="7"/>
        <v/>
      </c>
    </row>
    <row r="52" spans="1:6" s="29" customFormat="1" x14ac:dyDescent="0.25">
      <c r="A52" s="29">
        <f t="shared" si="6"/>
        <v>1</v>
      </c>
      <c r="B52" s="29">
        <v>26</v>
      </c>
      <c r="C52" s="30">
        <v>3</v>
      </c>
      <c r="D52" s="30">
        <v>5</v>
      </c>
      <c r="E52" s="30" t="str">
        <f t="shared" si="8"/>
        <v>35</v>
      </c>
      <c r="F52" s="29">
        <f t="shared" si="7"/>
        <v>5</v>
      </c>
    </row>
    <row r="53" spans="1:6" s="29" customFormat="1" x14ac:dyDescent="0.25">
      <c r="A53" s="29">
        <f t="shared" si="6"/>
        <v>0</v>
      </c>
      <c r="B53" s="29">
        <v>27</v>
      </c>
      <c r="C53" s="30">
        <v>4</v>
      </c>
      <c r="D53" s="30">
        <v>5</v>
      </c>
      <c r="E53" s="30" t="str">
        <f t="shared" si="8"/>
        <v>45</v>
      </c>
      <c r="F53" s="29" t="str">
        <f t="shared" si="7"/>
        <v/>
      </c>
    </row>
    <row r="54" spans="1:6" s="29" customFormat="1" x14ac:dyDescent="0.25">
      <c r="A54" s="29">
        <f t="shared" si="6"/>
        <v>1</v>
      </c>
      <c r="B54" s="29">
        <v>28</v>
      </c>
      <c r="C54" s="30">
        <v>5</v>
      </c>
      <c r="D54" s="30">
        <v>5</v>
      </c>
      <c r="E54" s="30" t="str">
        <f t="shared" si="8"/>
        <v>55</v>
      </c>
      <c r="F54" s="29">
        <f t="shared" si="7"/>
        <v>5</v>
      </c>
    </row>
    <row r="55" spans="1:6" s="29" customFormat="1" x14ac:dyDescent="0.25">
      <c r="A55" s="29">
        <f t="shared" si="6"/>
        <v>0</v>
      </c>
      <c r="B55" s="29">
        <v>29</v>
      </c>
      <c r="C55" s="30">
        <v>6</v>
      </c>
      <c r="D55" s="30">
        <v>5</v>
      </c>
      <c r="E55" s="30" t="str">
        <f t="shared" si="8"/>
        <v>65</v>
      </c>
      <c r="F55" s="29" t="str">
        <f t="shared" si="7"/>
        <v/>
      </c>
    </row>
    <row r="56" spans="1:6" s="29" customFormat="1" x14ac:dyDescent="0.25">
      <c r="A56" s="29">
        <f t="shared" si="6"/>
        <v>0</v>
      </c>
      <c r="B56" s="29">
        <v>30</v>
      </c>
      <c r="C56" s="30">
        <v>1</v>
      </c>
      <c r="D56" s="30">
        <v>5</v>
      </c>
      <c r="E56" s="30" t="str">
        <f t="shared" si="8"/>
        <v>15</v>
      </c>
      <c r="F56" s="29" t="str">
        <f t="shared" si="7"/>
        <v/>
      </c>
    </row>
    <row r="57" spans="1:6" s="29" customFormat="1" x14ac:dyDescent="0.25">
      <c r="A57" s="29">
        <f t="shared" si="6"/>
        <v>0</v>
      </c>
      <c r="B57" s="29">
        <v>31</v>
      </c>
      <c r="C57" s="30">
        <v>2</v>
      </c>
      <c r="D57" s="30">
        <v>6</v>
      </c>
      <c r="E57" s="30" t="str">
        <f t="shared" si="8"/>
        <v>26</v>
      </c>
      <c r="F57" s="29" t="str">
        <f t="shared" si="7"/>
        <v/>
      </c>
    </row>
    <row r="58" spans="1:6" s="29" customFormat="1" x14ac:dyDescent="0.25">
      <c r="A58" s="29">
        <f t="shared" si="6"/>
        <v>1</v>
      </c>
      <c r="B58" s="29">
        <v>32</v>
      </c>
      <c r="C58" s="30">
        <v>3</v>
      </c>
      <c r="D58" s="30">
        <v>6</v>
      </c>
      <c r="E58" s="30" t="str">
        <f t="shared" si="8"/>
        <v>36</v>
      </c>
      <c r="F58" s="29">
        <f t="shared" si="7"/>
        <v>6</v>
      </c>
    </row>
    <row r="59" spans="1:6" s="29" customFormat="1" x14ac:dyDescent="0.25">
      <c r="A59" s="29">
        <f t="shared" si="6"/>
        <v>0</v>
      </c>
      <c r="B59" s="29">
        <v>33</v>
      </c>
      <c r="C59" s="30">
        <v>4</v>
      </c>
      <c r="D59" s="30">
        <v>6</v>
      </c>
      <c r="E59" s="30" t="str">
        <f t="shared" si="8"/>
        <v>46</v>
      </c>
      <c r="F59" s="29" t="str">
        <f t="shared" si="7"/>
        <v/>
      </c>
    </row>
    <row r="60" spans="1:6" s="29" customFormat="1" x14ac:dyDescent="0.25">
      <c r="A60" s="29">
        <f t="shared" si="6"/>
        <v>1</v>
      </c>
      <c r="B60" s="29">
        <v>34</v>
      </c>
      <c r="C60" s="30">
        <v>5</v>
      </c>
      <c r="D60" s="30">
        <v>6</v>
      </c>
      <c r="E60" s="30" t="str">
        <f t="shared" si="8"/>
        <v>56</v>
      </c>
      <c r="F60" s="29">
        <f t="shared" si="7"/>
        <v>6</v>
      </c>
    </row>
    <row r="61" spans="1:6" s="29" customFormat="1" x14ac:dyDescent="0.25">
      <c r="A61" s="29">
        <f t="shared" si="6"/>
        <v>0</v>
      </c>
      <c r="B61" s="29">
        <v>35</v>
      </c>
      <c r="C61" s="30">
        <v>6</v>
      </c>
      <c r="D61" s="30">
        <v>6</v>
      </c>
      <c r="E61" s="30" t="str">
        <f t="shared" si="8"/>
        <v>66</v>
      </c>
      <c r="F61" s="29" t="str">
        <f t="shared" si="7"/>
        <v/>
      </c>
    </row>
    <row r="62" spans="1:6" s="29" customFormat="1" x14ac:dyDescent="0.25">
      <c r="A62" s="29">
        <f t="shared" si="6"/>
        <v>0</v>
      </c>
      <c r="B62" s="29">
        <v>36</v>
      </c>
      <c r="C62" s="30">
        <v>1</v>
      </c>
      <c r="D62" s="30">
        <v>6</v>
      </c>
      <c r="E62" s="30" t="str">
        <f t="shared" si="8"/>
        <v>16</v>
      </c>
      <c r="F62" s="29" t="str">
        <f t="shared" si="7"/>
        <v/>
      </c>
    </row>
    <row r="63" spans="1:6" s="29" customFormat="1" x14ac:dyDescent="0.25">
      <c r="A63" s="29">
        <f t="shared" si="6"/>
        <v>0</v>
      </c>
      <c r="B63" s="29">
        <v>37</v>
      </c>
      <c r="C63" s="30">
        <v>2</v>
      </c>
      <c r="D63" s="30">
        <v>7</v>
      </c>
      <c r="E63" s="30" t="str">
        <f t="shared" si="8"/>
        <v>27</v>
      </c>
      <c r="F63" s="29" t="str">
        <f t="shared" si="7"/>
        <v/>
      </c>
    </row>
    <row r="64" spans="1:6" s="29" customFormat="1" x14ac:dyDescent="0.25">
      <c r="A64" s="29">
        <f t="shared" si="6"/>
        <v>1</v>
      </c>
      <c r="B64" s="29">
        <v>38</v>
      </c>
      <c r="C64" s="30">
        <v>3</v>
      </c>
      <c r="D64" s="30">
        <v>7</v>
      </c>
      <c r="E64" s="30" t="str">
        <f t="shared" si="8"/>
        <v>37</v>
      </c>
      <c r="F64" s="29">
        <f t="shared" si="7"/>
        <v>7</v>
      </c>
    </row>
    <row r="65" spans="1:6" s="29" customFormat="1" x14ac:dyDescent="0.25">
      <c r="A65" s="29">
        <f t="shared" si="6"/>
        <v>0</v>
      </c>
      <c r="B65" s="29">
        <v>39</v>
      </c>
      <c r="C65" s="30">
        <v>4</v>
      </c>
      <c r="D65" s="30">
        <v>7</v>
      </c>
      <c r="E65" s="30" t="str">
        <f t="shared" si="8"/>
        <v>47</v>
      </c>
      <c r="F65" s="29" t="str">
        <f t="shared" si="7"/>
        <v/>
      </c>
    </row>
    <row r="66" spans="1:6" s="29" customFormat="1" x14ac:dyDescent="0.25">
      <c r="A66" s="29">
        <f t="shared" si="6"/>
        <v>1</v>
      </c>
      <c r="B66" s="29">
        <v>40</v>
      </c>
      <c r="C66" s="30">
        <v>5</v>
      </c>
      <c r="D66" s="30">
        <v>7</v>
      </c>
      <c r="E66" s="30" t="str">
        <f t="shared" si="8"/>
        <v>57</v>
      </c>
      <c r="F66" s="29">
        <f t="shared" si="7"/>
        <v>7</v>
      </c>
    </row>
    <row r="67" spans="1:6" s="29" customFormat="1" x14ac:dyDescent="0.25">
      <c r="A67" s="29">
        <f t="shared" si="6"/>
        <v>0</v>
      </c>
      <c r="B67" s="29">
        <v>41</v>
      </c>
      <c r="C67" s="30">
        <v>6</v>
      </c>
      <c r="D67" s="30">
        <v>7</v>
      </c>
      <c r="E67" s="30" t="str">
        <f t="shared" si="8"/>
        <v>67</v>
      </c>
      <c r="F67" s="29" t="str">
        <f t="shared" si="7"/>
        <v/>
      </c>
    </row>
    <row r="68" spans="1:6" s="29" customFormat="1" x14ac:dyDescent="0.25">
      <c r="A68" s="29">
        <f t="shared" si="6"/>
        <v>0</v>
      </c>
      <c r="B68" s="29">
        <v>42</v>
      </c>
      <c r="C68" s="30">
        <v>1</v>
      </c>
      <c r="D68" s="30">
        <v>7</v>
      </c>
      <c r="E68" s="30" t="str">
        <f t="shared" si="8"/>
        <v>17</v>
      </c>
      <c r="F68" s="29" t="str">
        <f t="shared" si="7"/>
        <v/>
      </c>
    </row>
    <row r="69" spans="1:6" s="29" customFormat="1" x14ac:dyDescent="0.25">
      <c r="A69" s="29">
        <f t="shared" si="6"/>
        <v>0</v>
      </c>
      <c r="B69" s="29">
        <v>43</v>
      </c>
      <c r="C69" s="30">
        <v>2</v>
      </c>
      <c r="D69" s="30">
        <v>8</v>
      </c>
      <c r="E69" s="30" t="str">
        <f t="shared" si="8"/>
        <v>28</v>
      </c>
      <c r="F69" s="29" t="str">
        <f t="shared" si="7"/>
        <v/>
      </c>
    </row>
    <row r="70" spans="1:6" s="29" customFormat="1" x14ac:dyDescent="0.25">
      <c r="A70" s="29">
        <f t="shared" si="6"/>
        <v>1</v>
      </c>
      <c r="B70" s="29">
        <v>44</v>
      </c>
      <c r="C70" s="30">
        <v>3</v>
      </c>
      <c r="D70" s="30">
        <v>8</v>
      </c>
      <c r="E70" s="30" t="str">
        <f t="shared" si="8"/>
        <v>38</v>
      </c>
      <c r="F70" s="29">
        <f t="shared" si="7"/>
        <v>8</v>
      </c>
    </row>
    <row r="71" spans="1:6" s="29" customFormat="1" x14ac:dyDescent="0.25">
      <c r="A71" s="29">
        <f t="shared" si="6"/>
        <v>0</v>
      </c>
      <c r="B71" s="29">
        <v>45</v>
      </c>
      <c r="C71" s="30">
        <v>4</v>
      </c>
      <c r="D71" s="30">
        <v>8</v>
      </c>
      <c r="E71" s="30" t="str">
        <f t="shared" si="8"/>
        <v>48</v>
      </c>
      <c r="F71" s="29" t="str">
        <f t="shared" si="7"/>
        <v/>
      </c>
    </row>
    <row r="72" spans="1:6" s="29" customFormat="1" x14ac:dyDescent="0.25">
      <c r="A72" s="29">
        <f t="shared" si="6"/>
        <v>1</v>
      </c>
      <c r="B72" s="29">
        <v>46</v>
      </c>
      <c r="C72" s="30">
        <v>5</v>
      </c>
      <c r="D72" s="30">
        <v>8</v>
      </c>
      <c r="E72" s="30" t="str">
        <f t="shared" si="8"/>
        <v>58</v>
      </c>
      <c r="F72" s="29">
        <f t="shared" si="7"/>
        <v>8</v>
      </c>
    </row>
    <row r="73" spans="1:6" s="29" customFormat="1" x14ac:dyDescent="0.25">
      <c r="A73" s="29">
        <f t="shared" si="6"/>
        <v>0</v>
      </c>
      <c r="B73" s="29">
        <v>47</v>
      </c>
      <c r="C73" s="30">
        <v>6</v>
      </c>
      <c r="D73" s="30">
        <v>8</v>
      </c>
      <c r="E73" s="30" t="str">
        <f t="shared" si="8"/>
        <v>68</v>
      </c>
      <c r="F73" s="29" t="str">
        <f t="shared" si="7"/>
        <v/>
      </c>
    </row>
    <row r="74" spans="1:6" s="29" customFormat="1" x14ac:dyDescent="0.25">
      <c r="A74" s="29">
        <f t="shared" si="6"/>
        <v>0</v>
      </c>
      <c r="B74" s="29">
        <v>48</v>
      </c>
      <c r="C74" s="30">
        <v>1</v>
      </c>
      <c r="D74" s="30">
        <v>8</v>
      </c>
      <c r="E74" s="30" t="str">
        <f t="shared" si="8"/>
        <v>18</v>
      </c>
      <c r="F74" s="29" t="str">
        <f t="shared" si="7"/>
        <v/>
      </c>
    </row>
    <row r="75" spans="1:6" s="29" customFormat="1" x14ac:dyDescent="0.25">
      <c r="A75" s="29">
        <f t="shared" si="6"/>
        <v>0</v>
      </c>
      <c r="B75" s="29">
        <v>49</v>
      </c>
      <c r="C75" s="30">
        <v>2</v>
      </c>
      <c r="D75" s="30">
        <v>9</v>
      </c>
      <c r="E75" s="30" t="str">
        <f t="shared" si="8"/>
        <v>29</v>
      </c>
      <c r="F75" s="29" t="str">
        <f t="shared" si="7"/>
        <v/>
      </c>
    </row>
    <row r="76" spans="1:6" s="29" customFormat="1" x14ac:dyDescent="0.25">
      <c r="A76" s="29">
        <f t="shared" si="6"/>
        <v>1</v>
      </c>
      <c r="B76" s="29">
        <v>50</v>
      </c>
      <c r="C76" s="30">
        <v>3</v>
      </c>
      <c r="D76" s="30">
        <v>9</v>
      </c>
      <c r="E76" s="30" t="str">
        <f t="shared" si="8"/>
        <v>39</v>
      </c>
      <c r="F76" s="29">
        <f t="shared" si="7"/>
        <v>9</v>
      </c>
    </row>
    <row r="77" spans="1:6" s="29" customFormat="1" x14ac:dyDescent="0.25">
      <c r="A77" s="29">
        <f t="shared" si="6"/>
        <v>0</v>
      </c>
      <c r="B77" s="29">
        <v>51</v>
      </c>
      <c r="C77" s="30">
        <v>4</v>
      </c>
      <c r="D77" s="30">
        <v>9</v>
      </c>
      <c r="E77" s="30" t="str">
        <f t="shared" si="8"/>
        <v>49</v>
      </c>
      <c r="F77" s="29" t="str">
        <f t="shared" si="7"/>
        <v/>
      </c>
    </row>
    <row r="78" spans="1:6" s="29" customFormat="1" x14ac:dyDescent="0.25">
      <c r="A78" s="29">
        <f t="shared" si="6"/>
        <v>1</v>
      </c>
      <c r="B78" s="29">
        <v>52</v>
      </c>
      <c r="C78" s="30">
        <v>5</v>
      </c>
      <c r="D78" s="30">
        <v>9</v>
      </c>
      <c r="E78" s="30" t="str">
        <f t="shared" si="8"/>
        <v>59</v>
      </c>
      <c r="F78" s="29">
        <f t="shared" si="7"/>
        <v>9</v>
      </c>
    </row>
    <row r="79" spans="1:6" s="29" customFormat="1" x14ac:dyDescent="0.25">
      <c r="A79" s="29">
        <f t="shared" si="6"/>
        <v>0</v>
      </c>
      <c r="B79" s="29">
        <v>53</v>
      </c>
      <c r="C79" s="30">
        <v>6</v>
      </c>
      <c r="D79" s="30">
        <v>9</v>
      </c>
      <c r="E79" s="30" t="str">
        <f t="shared" si="8"/>
        <v>69</v>
      </c>
      <c r="F79" s="29" t="str">
        <f t="shared" si="7"/>
        <v/>
      </c>
    </row>
    <row r="80" spans="1:6" s="29" customFormat="1" x14ac:dyDescent="0.25">
      <c r="A80" s="29">
        <f t="shared" si="6"/>
        <v>0</v>
      </c>
      <c r="B80" s="29">
        <v>54</v>
      </c>
      <c r="C80" s="30">
        <v>1</v>
      </c>
      <c r="D80" s="30">
        <v>9</v>
      </c>
      <c r="E80" s="30" t="str">
        <f t="shared" si="8"/>
        <v>19</v>
      </c>
      <c r="F80" s="29" t="str">
        <f t="shared" si="7"/>
        <v/>
      </c>
    </row>
    <row r="81" spans="1:6" s="29" customFormat="1" x14ac:dyDescent="0.25">
      <c r="A81" s="29">
        <f t="shared" si="6"/>
        <v>0</v>
      </c>
      <c r="B81" s="29">
        <v>55</v>
      </c>
      <c r="C81" s="30">
        <v>2</v>
      </c>
      <c r="D81" s="30">
        <v>10</v>
      </c>
      <c r="E81" s="30" t="str">
        <f t="shared" si="8"/>
        <v>210</v>
      </c>
      <c r="F81" s="29" t="str">
        <f t="shared" si="7"/>
        <v/>
      </c>
    </row>
    <row r="82" spans="1:6" s="29" customFormat="1" x14ac:dyDescent="0.25">
      <c r="A82" s="29">
        <f t="shared" si="6"/>
        <v>1</v>
      </c>
      <c r="B82" s="29">
        <v>56</v>
      </c>
      <c r="C82" s="30">
        <v>3</v>
      </c>
      <c r="D82" s="30">
        <v>10</v>
      </c>
      <c r="E82" s="30" t="str">
        <f t="shared" si="8"/>
        <v>310</v>
      </c>
      <c r="F82" s="29">
        <f t="shared" si="7"/>
        <v>10</v>
      </c>
    </row>
    <row r="83" spans="1:6" s="29" customFormat="1" x14ac:dyDescent="0.25">
      <c r="A83" s="29">
        <f t="shared" si="6"/>
        <v>0</v>
      </c>
      <c r="B83" s="29">
        <v>57</v>
      </c>
      <c r="C83" s="30">
        <v>4</v>
      </c>
      <c r="D83" s="30">
        <v>10</v>
      </c>
      <c r="E83" s="30" t="str">
        <f t="shared" si="8"/>
        <v>410</v>
      </c>
      <c r="F83" s="29" t="str">
        <f t="shared" si="7"/>
        <v/>
      </c>
    </row>
    <row r="84" spans="1:6" s="29" customFormat="1" x14ac:dyDescent="0.25">
      <c r="A84" s="29">
        <f t="shared" si="6"/>
        <v>1</v>
      </c>
      <c r="B84" s="29">
        <v>58</v>
      </c>
      <c r="C84" s="30">
        <v>5</v>
      </c>
      <c r="D84" s="30">
        <v>10</v>
      </c>
      <c r="E84" s="30" t="str">
        <f t="shared" si="8"/>
        <v>510</v>
      </c>
      <c r="F84" s="29">
        <f t="shared" si="7"/>
        <v>10</v>
      </c>
    </row>
    <row r="85" spans="1:6" s="29" customFormat="1" x14ac:dyDescent="0.25">
      <c r="A85" s="29">
        <f t="shared" si="6"/>
        <v>0</v>
      </c>
      <c r="B85" s="29">
        <v>59</v>
      </c>
      <c r="C85" s="30">
        <v>6</v>
      </c>
      <c r="D85" s="30">
        <v>10</v>
      </c>
      <c r="E85" s="30" t="str">
        <f t="shared" si="8"/>
        <v>610</v>
      </c>
      <c r="F85" s="29" t="str">
        <f t="shared" si="7"/>
        <v/>
      </c>
    </row>
    <row r="86" spans="1:6" s="29" customFormat="1" x14ac:dyDescent="0.25">
      <c r="A86" s="29">
        <f t="shared" si="6"/>
        <v>0</v>
      </c>
      <c r="B86" s="29">
        <v>60</v>
      </c>
      <c r="C86" s="30">
        <v>1</v>
      </c>
      <c r="D86" s="30">
        <v>10</v>
      </c>
      <c r="E86" s="30" t="str">
        <f>CONCATENATE(C86,D86)</f>
        <v>110</v>
      </c>
      <c r="F86" s="29" t="str">
        <f t="shared" si="7"/>
        <v/>
      </c>
    </row>
    <row r="87" spans="1:6" s="29" customFormat="1" x14ac:dyDescent="0.25"/>
    <row r="88" spans="1:6" s="29" customFormat="1" x14ac:dyDescent="0.25"/>
    <row r="89" spans="1:6" s="29" customFormat="1" x14ac:dyDescent="0.25"/>
    <row r="90" spans="1:6" s="29" customFormat="1" x14ac:dyDescent="0.25"/>
    <row r="91" spans="1:6" s="29" customFormat="1" x14ac:dyDescent="0.25"/>
    <row r="92" spans="1:6" s="29" customFormat="1" x14ac:dyDescent="0.25"/>
    <row r="93" spans="1:6" s="29" customFormat="1" x14ac:dyDescent="0.25"/>
    <row r="94" spans="1:6" s="29" customFormat="1" x14ac:dyDescent="0.25"/>
    <row r="95" spans="1:6" s="29" customFormat="1" x14ac:dyDescent="0.25"/>
    <row r="96" spans="1:6" s="29" customFormat="1" x14ac:dyDescent="0.25"/>
    <row r="97" s="29" customFormat="1" x14ac:dyDescent="0.25"/>
    <row r="98" s="29" customFormat="1" x14ac:dyDescent="0.25"/>
    <row r="99" s="29" customFormat="1" x14ac:dyDescent="0.25"/>
    <row r="100" s="29" customFormat="1" x14ac:dyDescent="0.25"/>
    <row r="101" s="29" customFormat="1" x14ac:dyDescent="0.25"/>
    <row r="102" s="29" customFormat="1" x14ac:dyDescent="0.25"/>
    <row r="103" s="29" customFormat="1" x14ac:dyDescent="0.25"/>
    <row r="104" s="29" customFormat="1" x14ac:dyDescent="0.25"/>
    <row r="105" s="29" customFormat="1" x14ac:dyDescent="0.25"/>
    <row r="106" s="29" customFormat="1" x14ac:dyDescent="0.25"/>
    <row r="107" s="29" customFormat="1" x14ac:dyDescent="0.25"/>
    <row r="108" s="29" customFormat="1" x14ac:dyDescent="0.25"/>
    <row r="109" s="29" customFormat="1" x14ac:dyDescent="0.25"/>
    <row r="110" s="29" customFormat="1" x14ac:dyDescent="0.25"/>
    <row r="111" s="29" customFormat="1" x14ac:dyDescent="0.25"/>
    <row r="112" s="29" customFormat="1" x14ac:dyDescent="0.25"/>
    <row r="113" s="29" customFormat="1" x14ac:dyDescent="0.25"/>
    <row r="114" s="29" customFormat="1" x14ac:dyDescent="0.25"/>
    <row r="115" s="29" customFormat="1" x14ac:dyDescent="0.25"/>
    <row r="116" s="29" customFormat="1" x14ac:dyDescent="0.25"/>
    <row r="117" s="29" customFormat="1" x14ac:dyDescent="0.25"/>
    <row r="118" s="29" customFormat="1" x14ac:dyDescent="0.25"/>
    <row r="119" s="29" customFormat="1" x14ac:dyDescent="0.25"/>
    <row r="120" s="29" customFormat="1" x14ac:dyDescent="0.25"/>
    <row r="121" s="29" customFormat="1" x14ac:dyDescent="0.25"/>
    <row r="122" s="29" customFormat="1" x14ac:dyDescent="0.25"/>
    <row r="123" s="29" customFormat="1" x14ac:dyDescent="0.25"/>
    <row r="124" s="29" customFormat="1" x14ac:dyDescent="0.25"/>
    <row r="125" s="29" customFormat="1" x14ac:dyDescent="0.25"/>
    <row r="126" s="29" customFormat="1" x14ac:dyDescent="0.25"/>
    <row r="127" s="29" customFormat="1" x14ac:dyDescent="0.25"/>
    <row r="128" s="29" customFormat="1" x14ac:dyDescent="0.25"/>
    <row r="129" s="29" customFormat="1" x14ac:dyDescent="0.25"/>
    <row r="130" s="29" customFormat="1" x14ac:dyDescent="0.25"/>
    <row r="131" s="29" customFormat="1" x14ac:dyDescent="0.25"/>
    <row r="132" s="29" customFormat="1" x14ac:dyDescent="0.25"/>
    <row r="133" s="29" customFormat="1" x14ac:dyDescent="0.25"/>
    <row r="134" s="29" customFormat="1" x14ac:dyDescent="0.25"/>
    <row r="135" s="29" customFormat="1" x14ac:dyDescent="0.25"/>
    <row r="136" s="29" customFormat="1" x14ac:dyDescent="0.25"/>
    <row r="137" s="29" customFormat="1" x14ac:dyDescent="0.25"/>
  </sheetData>
  <mergeCells count="6">
    <mergeCell ref="B4:I4"/>
    <mergeCell ref="B9:I9"/>
    <mergeCell ref="B2:I3"/>
    <mergeCell ref="G6:H6"/>
    <mergeCell ref="N9:P9"/>
    <mergeCell ref="J1:P4"/>
  </mergeCells>
  <conditionalFormatting sqref="A7">
    <cfRule type="notContainsBlanks" dxfId="0" priority="2">
      <formula>LEN(TRIM(A7))&gt;0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8</xdr:col>
                    <xdr:colOff>66675</xdr:colOff>
                    <xdr:row>6</xdr:row>
                    <xdr:rowOff>0</xdr:rowOff>
                  </from>
                  <to>
                    <xdr:col>8</xdr:col>
                    <xdr:colOff>419100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2">
              <controlPr defaultSize="0" autoPict="0">
                <anchor moveWithCells="1" sizeWithCells="1">
                  <from>
                    <xdr:col>5</xdr:col>
                    <xdr:colOff>0</xdr:colOff>
                    <xdr:row>6</xdr:row>
                    <xdr:rowOff>9525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9"/>
  <sheetViews>
    <sheetView workbookViewId="0">
      <selection activeCell="D9" sqref="D9"/>
    </sheetView>
  </sheetViews>
  <sheetFormatPr defaultRowHeight="15" x14ac:dyDescent="0.25"/>
  <sheetData>
    <row r="1" spans="1:18" ht="16.5" x14ac:dyDescent="0.25">
      <c r="A1">
        <v>1</v>
      </c>
      <c r="B1" s="1" t="s">
        <v>65</v>
      </c>
      <c r="C1" t="s">
        <v>91</v>
      </c>
      <c r="D1" t="s">
        <v>127</v>
      </c>
    </row>
    <row r="2" spans="1:18" ht="16.5" x14ac:dyDescent="0.25">
      <c r="A2">
        <v>2</v>
      </c>
      <c r="B2" s="1" t="s">
        <v>66</v>
      </c>
      <c r="C2" t="s">
        <v>92</v>
      </c>
      <c r="D2" t="s">
        <v>126</v>
      </c>
    </row>
    <row r="3" spans="1:18" ht="16.5" x14ac:dyDescent="0.25">
      <c r="A3">
        <v>3</v>
      </c>
      <c r="B3" s="1" t="s">
        <v>67</v>
      </c>
      <c r="C3" t="s">
        <v>93</v>
      </c>
      <c r="D3" t="s">
        <v>128</v>
      </c>
    </row>
    <row r="4" spans="1:18" ht="16.5" x14ac:dyDescent="0.25">
      <c r="A4">
        <v>4</v>
      </c>
      <c r="B4" s="1" t="s">
        <v>68</v>
      </c>
      <c r="C4" t="s">
        <v>94</v>
      </c>
      <c r="D4" t="s">
        <v>129</v>
      </c>
    </row>
    <row r="5" spans="1:18" ht="16.5" x14ac:dyDescent="0.25">
      <c r="A5">
        <v>5</v>
      </c>
      <c r="B5" s="1" t="s">
        <v>69</v>
      </c>
      <c r="C5" t="s">
        <v>95</v>
      </c>
      <c r="D5" t="s">
        <v>130</v>
      </c>
    </row>
    <row r="6" spans="1:18" ht="16.5" x14ac:dyDescent="0.25">
      <c r="A6">
        <v>6</v>
      </c>
      <c r="B6" s="2" t="s">
        <v>74</v>
      </c>
      <c r="C6" t="s">
        <v>96</v>
      </c>
      <c r="D6" t="s">
        <v>131</v>
      </c>
    </row>
    <row r="7" spans="1:18" ht="16.5" x14ac:dyDescent="0.25">
      <c r="A7">
        <v>7</v>
      </c>
      <c r="B7" s="1" t="s">
        <v>8</v>
      </c>
      <c r="C7" t="s">
        <v>97</v>
      </c>
    </row>
    <row r="8" spans="1:18" ht="16.5" x14ac:dyDescent="0.25">
      <c r="A8">
        <v>8</v>
      </c>
      <c r="B8" s="1" t="s">
        <v>8</v>
      </c>
      <c r="C8" t="s">
        <v>98</v>
      </c>
    </row>
    <row r="9" spans="1:18" ht="16.5" x14ac:dyDescent="0.25">
      <c r="A9">
        <v>9</v>
      </c>
      <c r="B9" s="1" t="s">
        <v>8</v>
      </c>
      <c r="C9" t="s">
        <v>99</v>
      </c>
    </row>
    <row r="10" spans="1:18" ht="16.5" x14ac:dyDescent="0.25">
      <c r="A10">
        <v>10</v>
      </c>
      <c r="B10" s="1" t="s">
        <v>8</v>
      </c>
      <c r="C10" t="s">
        <v>100</v>
      </c>
    </row>
    <row r="11" spans="1:18" ht="16.5" x14ac:dyDescent="0.25">
      <c r="A11">
        <v>11</v>
      </c>
      <c r="B11" s="1" t="s">
        <v>8</v>
      </c>
    </row>
    <row r="12" spans="1:18" ht="46.5" x14ac:dyDescent="0.7">
      <c r="F12" s="3" t="s">
        <v>8</v>
      </c>
      <c r="G12" s="3" t="s">
        <v>9</v>
      </c>
      <c r="H12" s="3" t="s">
        <v>10</v>
      </c>
      <c r="I12" s="3" t="s">
        <v>11</v>
      </c>
      <c r="J12" s="3" t="s">
        <v>20</v>
      </c>
      <c r="K12" s="3" t="s">
        <v>16</v>
      </c>
      <c r="L12" s="3" t="s">
        <v>12</v>
      </c>
      <c r="M12" s="3" t="s">
        <v>13</v>
      </c>
      <c r="N12" s="3" t="s">
        <v>14</v>
      </c>
      <c r="O12" s="3" t="s">
        <v>15</v>
      </c>
      <c r="P12" s="3" t="s">
        <v>17</v>
      </c>
      <c r="Q12" s="3" t="s">
        <v>18</v>
      </c>
      <c r="R12" s="3" t="s">
        <v>19</v>
      </c>
    </row>
    <row r="13" spans="1:18" ht="50.25" x14ac:dyDescent="0.5">
      <c r="F13" s="4" t="s">
        <v>8</v>
      </c>
      <c r="G13" s="4" t="s">
        <v>9</v>
      </c>
      <c r="H13" s="4" t="s">
        <v>10</v>
      </c>
      <c r="I13" s="4" t="s">
        <v>11</v>
      </c>
      <c r="J13" s="4" t="s">
        <v>20</v>
      </c>
      <c r="K13" s="4" t="s">
        <v>16</v>
      </c>
      <c r="L13" s="4" t="s">
        <v>12</v>
      </c>
      <c r="M13" s="4" t="s">
        <v>13</v>
      </c>
      <c r="N13" s="4" t="s">
        <v>14</v>
      </c>
      <c r="O13" s="4" t="s">
        <v>15</v>
      </c>
      <c r="P13" s="4" t="s">
        <v>17</v>
      </c>
      <c r="Q13" s="4" t="s">
        <v>18</v>
      </c>
      <c r="R13" s="4" t="s">
        <v>19</v>
      </c>
    </row>
    <row r="14" spans="1:18" ht="46.5" x14ac:dyDescent="0.7">
      <c r="F14" s="3" t="s">
        <v>5</v>
      </c>
      <c r="G14" s="3" t="s">
        <v>21</v>
      </c>
      <c r="H14" s="3" t="s">
        <v>22</v>
      </c>
      <c r="I14" s="3" t="s">
        <v>23</v>
      </c>
      <c r="J14" s="3" t="s">
        <v>24</v>
      </c>
      <c r="K14" s="3" t="s">
        <v>25</v>
      </c>
      <c r="L14" s="3" t="s">
        <v>26</v>
      </c>
      <c r="M14" s="3" t="s">
        <v>27</v>
      </c>
      <c r="N14" s="3" t="s">
        <v>28</v>
      </c>
      <c r="O14" s="3" t="s">
        <v>29</v>
      </c>
      <c r="P14" s="5" t="s">
        <v>30</v>
      </c>
      <c r="Q14" s="3"/>
      <c r="R14" s="3"/>
    </row>
    <row r="15" spans="1:18" ht="53.25" x14ac:dyDescent="0.7">
      <c r="F15" s="4" t="s">
        <v>5</v>
      </c>
      <c r="G15" s="4" t="s">
        <v>21</v>
      </c>
      <c r="H15" s="4" t="s">
        <v>22</v>
      </c>
      <c r="I15" s="4" t="s">
        <v>23</v>
      </c>
      <c r="J15" s="4" t="s">
        <v>24</v>
      </c>
      <c r="K15" s="4" t="s">
        <v>25</v>
      </c>
      <c r="L15" s="4" t="s">
        <v>26</v>
      </c>
      <c r="M15" s="4" t="s">
        <v>27</v>
      </c>
      <c r="N15" s="4" t="s">
        <v>28</v>
      </c>
      <c r="O15" s="4" t="s">
        <v>29</v>
      </c>
      <c r="P15" s="6" t="s">
        <v>30</v>
      </c>
      <c r="Q15" s="3"/>
      <c r="R15" s="3"/>
    </row>
    <row r="16" spans="1:18" ht="46.5" x14ac:dyDescent="0.7">
      <c r="F16" s="3" t="s">
        <v>31</v>
      </c>
      <c r="G16" s="3" t="s">
        <v>32</v>
      </c>
      <c r="H16" s="3" t="s">
        <v>33</v>
      </c>
      <c r="I16" s="3" t="s">
        <v>34</v>
      </c>
      <c r="J16" s="3" t="s">
        <v>7</v>
      </c>
      <c r="K16" s="3" t="s">
        <v>35</v>
      </c>
      <c r="L16" s="3" t="s">
        <v>36</v>
      </c>
      <c r="M16" s="3" t="s">
        <v>37</v>
      </c>
      <c r="N16" s="3" t="s">
        <v>38</v>
      </c>
      <c r="O16" s="5" t="s">
        <v>39</v>
      </c>
      <c r="P16" s="3"/>
      <c r="Q16" s="3"/>
      <c r="R16" s="3"/>
    </row>
    <row r="17" spans="6:18" ht="53.25" x14ac:dyDescent="0.7">
      <c r="F17" s="4" t="s">
        <v>31</v>
      </c>
      <c r="G17" s="4" t="s">
        <v>32</v>
      </c>
      <c r="H17" s="4" t="s">
        <v>33</v>
      </c>
      <c r="I17" s="4" t="s">
        <v>34</v>
      </c>
      <c r="J17" s="4" t="s">
        <v>7</v>
      </c>
      <c r="K17" s="4" t="s">
        <v>35</v>
      </c>
      <c r="L17" s="4" t="s">
        <v>36</v>
      </c>
      <c r="M17" s="4" t="s">
        <v>37</v>
      </c>
      <c r="N17" s="4" t="s">
        <v>38</v>
      </c>
      <c r="O17" s="6" t="s">
        <v>39</v>
      </c>
      <c r="P17" s="3"/>
      <c r="Q17" s="3"/>
      <c r="R17" s="3"/>
    </row>
    <row r="18" spans="6:18" ht="46.5" x14ac:dyDescent="0.7"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</row>
    <row r="19" spans="6:18" ht="46.5" x14ac:dyDescent="0.7"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</row>
    <row r="20" spans="6:18" ht="46.5" x14ac:dyDescent="0.7"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</row>
    <row r="21" spans="6:18" ht="46.5" x14ac:dyDescent="0.7">
      <c r="F21" s="3" t="s">
        <v>40</v>
      </c>
      <c r="G21" s="3" t="s">
        <v>41</v>
      </c>
      <c r="H21" s="3" t="s">
        <v>42</v>
      </c>
      <c r="I21" s="3" t="s">
        <v>43</v>
      </c>
      <c r="J21" s="3" t="s">
        <v>44</v>
      </c>
      <c r="K21" s="3" t="s">
        <v>45</v>
      </c>
      <c r="L21" s="3" t="s">
        <v>46</v>
      </c>
      <c r="M21" s="3" t="s">
        <v>47</v>
      </c>
      <c r="N21" s="3" t="s">
        <v>48</v>
      </c>
      <c r="O21" s="3" t="s">
        <v>49</v>
      </c>
      <c r="P21" s="3" t="s">
        <v>17</v>
      </c>
      <c r="Q21" s="3" t="s">
        <v>18</v>
      </c>
      <c r="R21" s="3" t="s">
        <v>19</v>
      </c>
    </row>
    <row r="22" spans="6:18" ht="50.25" x14ac:dyDescent="0.5">
      <c r="F22" s="4" t="s">
        <v>40</v>
      </c>
      <c r="G22" s="4" t="s">
        <v>41</v>
      </c>
      <c r="H22" s="4" t="s">
        <v>42</v>
      </c>
      <c r="I22" s="4" t="s">
        <v>43</v>
      </c>
      <c r="J22" s="4" t="s">
        <v>44</v>
      </c>
      <c r="K22" s="4" t="s">
        <v>45</v>
      </c>
      <c r="L22" s="4" t="s">
        <v>46</v>
      </c>
      <c r="M22" s="4" t="s">
        <v>47</v>
      </c>
      <c r="N22" s="4" t="s">
        <v>48</v>
      </c>
      <c r="O22" s="4" t="s">
        <v>49</v>
      </c>
      <c r="P22" s="4" t="s">
        <v>17</v>
      </c>
      <c r="Q22" s="4" t="s">
        <v>18</v>
      </c>
      <c r="R22" s="4" t="s">
        <v>19</v>
      </c>
    </row>
    <row r="23" spans="6:18" ht="46.5" x14ac:dyDescent="0.7">
      <c r="F23" s="3" t="s">
        <v>50</v>
      </c>
      <c r="G23" s="3" t="s">
        <v>51</v>
      </c>
      <c r="H23" s="3" t="s">
        <v>52</v>
      </c>
      <c r="I23" s="3" t="s">
        <v>53</v>
      </c>
      <c r="J23" s="3" t="s">
        <v>54</v>
      </c>
      <c r="K23" s="3" t="s">
        <v>55</v>
      </c>
      <c r="L23" s="3" t="s">
        <v>56</v>
      </c>
      <c r="M23" s="3" t="s">
        <v>57</v>
      </c>
      <c r="N23" s="3" t="s">
        <v>58</v>
      </c>
      <c r="O23" s="3" t="s">
        <v>29</v>
      </c>
      <c r="P23" s="5" t="s">
        <v>30</v>
      </c>
      <c r="Q23" s="3"/>
      <c r="R23" s="3"/>
    </row>
    <row r="24" spans="6:18" ht="53.25" x14ac:dyDescent="0.7">
      <c r="F24" s="4" t="s">
        <v>50</v>
      </c>
      <c r="G24" s="4" t="s">
        <v>51</v>
      </c>
      <c r="H24" s="4" t="s">
        <v>52</v>
      </c>
      <c r="I24" s="4" t="s">
        <v>53</v>
      </c>
      <c r="J24" s="4" t="s">
        <v>54</v>
      </c>
      <c r="K24" s="4" t="s">
        <v>55</v>
      </c>
      <c r="L24" s="4" t="s">
        <v>56</v>
      </c>
      <c r="M24" s="4" t="s">
        <v>57</v>
      </c>
      <c r="N24" s="4" t="s">
        <v>58</v>
      </c>
      <c r="O24" s="4" t="s">
        <v>29</v>
      </c>
      <c r="P24" s="6" t="s">
        <v>30</v>
      </c>
      <c r="Q24" s="3"/>
      <c r="R24" s="3"/>
    </row>
    <row r="25" spans="6:18" ht="46.5" x14ac:dyDescent="0.7">
      <c r="F25" s="3" t="s">
        <v>59</v>
      </c>
      <c r="G25" s="3" t="s">
        <v>60</v>
      </c>
      <c r="H25" s="3" t="s">
        <v>61</v>
      </c>
      <c r="I25" s="3" t="s">
        <v>62</v>
      </c>
      <c r="J25" s="3" t="s">
        <v>6</v>
      </c>
      <c r="K25" s="3" t="s">
        <v>63</v>
      </c>
      <c r="L25" s="3" t="s">
        <v>64</v>
      </c>
      <c r="M25" s="3" t="s">
        <v>37</v>
      </c>
      <c r="N25" s="3" t="s">
        <v>38</v>
      </c>
      <c r="O25" s="5" t="s">
        <v>39</v>
      </c>
      <c r="P25" s="3"/>
      <c r="Q25" s="3"/>
      <c r="R25" s="3"/>
    </row>
    <row r="26" spans="6:18" ht="53.25" x14ac:dyDescent="0.7">
      <c r="F26" s="4" t="s">
        <v>59</v>
      </c>
      <c r="G26" s="4" t="s">
        <v>60</v>
      </c>
      <c r="H26" s="4" t="s">
        <v>61</v>
      </c>
      <c r="I26" s="4" t="s">
        <v>62</v>
      </c>
      <c r="J26" s="4" t="s">
        <v>6</v>
      </c>
      <c r="K26" s="4" t="s">
        <v>63</v>
      </c>
      <c r="L26" s="4" t="s">
        <v>64</v>
      </c>
      <c r="M26" s="4" t="s">
        <v>37</v>
      </c>
      <c r="N26" s="4" t="s">
        <v>38</v>
      </c>
      <c r="O26" s="6" t="s">
        <v>39</v>
      </c>
      <c r="P26" s="3"/>
      <c r="Q26" s="3"/>
      <c r="R26" s="3"/>
    </row>
    <row r="28" spans="6:18" ht="71.25" x14ac:dyDescent="0.9">
      <c r="F28" s="7" t="s">
        <v>65</v>
      </c>
      <c r="G28" s="7" t="s">
        <v>66</v>
      </c>
      <c r="H28" s="7" t="s">
        <v>67</v>
      </c>
      <c r="I28" s="7" t="s">
        <v>68</v>
      </c>
      <c r="J28" s="7" t="s">
        <v>69</v>
      </c>
      <c r="K28" s="7" t="s">
        <v>74</v>
      </c>
      <c r="L28" s="7" t="s">
        <v>70</v>
      </c>
      <c r="M28" s="7" t="s">
        <v>71</v>
      </c>
      <c r="N28" s="7" t="s">
        <v>72</v>
      </c>
      <c r="O28" s="7" t="s">
        <v>73</v>
      </c>
      <c r="P28" s="8"/>
      <c r="Q28" s="8"/>
    </row>
    <row r="29" spans="6:18" ht="68.25" x14ac:dyDescent="0.7">
      <c r="F29" s="7" t="s">
        <v>75</v>
      </c>
      <c r="G29" s="7" t="s">
        <v>76</v>
      </c>
      <c r="H29" s="7" t="s">
        <v>77</v>
      </c>
      <c r="I29" s="7" t="s">
        <v>78</v>
      </c>
      <c r="J29" s="7" t="s">
        <v>79</v>
      </c>
      <c r="K29" s="9" t="s">
        <v>80</v>
      </c>
      <c r="L29" s="7" t="s">
        <v>81</v>
      </c>
      <c r="M29" s="7" t="s">
        <v>82</v>
      </c>
      <c r="N29" s="7" t="s">
        <v>83</v>
      </c>
      <c r="O29" s="7" t="s">
        <v>84</v>
      </c>
      <c r="P29" s="7" t="s">
        <v>85</v>
      </c>
      <c r="Q29" s="7" t="s">
        <v>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Dice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2017-04-06T01:07:18Z</dcterms:created>
  <dcterms:modified xsi:type="dcterms:W3CDTF">2017-04-06T13:20:33Z</dcterms:modified>
</cp:coreProperties>
</file>