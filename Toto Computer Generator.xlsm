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 activeTab="2"/>
  </bookViews>
  <sheets>
    <sheet name="Main" sheetId="1" r:id="rId1"/>
    <sheet name="Dreams" sheetId="2" r:id="rId2"/>
    <sheet name="Exclusion" sheetId="3" r:id="rId3"/>
  </sheets>
  <definedNames>
    <definedName name="_xlnm._FilterDatabase" localSheetId="1" hidden="1">Dreams!$A$1:$B$308</definedName>
    <definedName name="Dream_Felt">Dreams!$D$2:$D$204</definedName>
    <definedName name="Dreams">Dreams!$A$2:$A$308</definedName>
    <definedName name="Dreams_Things">Dreams!$A$2:$A$308</definedName>
    <definedName name="Numbr">Exclusion!#REF!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3" l="1"/>
  <c r="B12" i="3"/>
  <c r="C10" i="3" l="1"/>
  <c r="E9" i="3"/>
  <c r="F9" i="3"/>
  <c r="G9" i="3"/>
  <c r="H9" i="3"/>
  <c r="I9" i="3"/>
  <c r="J9" i="3"/>
  <c r="D9" i="3"/>
  <c r="E8" i="3"/>
  <c r="F8" i="3"/>
  <c r="G8" i="3"/>
  <c r="H8" i="3"/>
  <c r="I8" i="3"/>
  <c r="J8" i="3"/>
  <c r="D8" i="3"/>
  <c r="E7" i="3"/>
  <c r="F7" i="3"/>
  <c r="G7" i="3"/>
  <c r="H7" i="3"/>
  <c r="I7" i="3"/>
  <c r="J7" i="3"/>
  <c r="D7" i="3"/>
  <c r="E6" i="3"/>
  <c r="F6" i="3"/>
  <c r="G6" i="3"/>
  <c r="H6" i="3"/>
  <c r="I6" i="3"/>
  <c r="J6" i="3"/>
  <c r="D6" i="3"/>
  <c r="P7" i="3"/>
  <c r="P13" i="3"/>
  <c r="C7" i="3" l="1"/>
  <c r="C6" i="3"/>
  <c r="C9" i="3"/>
  <c r="C8" i="3"/>
  <c r="Q9" i="3" l="1"/>
  <c r="R9" i="3" s="1"/>
  <c r="R7" i="3" s="1"/>
  <c r="Q7" i="3"/>
  <c r="N7" i="3"/>
  <c r="N9" i="3"/>
  <c r="O9" i="3" s="1"/>
  <c r="O7" i="3" s="1"/>
  <c r="B3" i="3" s="1"/>
  <c r="N5" i="3"/>
  <c r="N2" i="3" s="1"/>
  <c r="B4" i="3" l="1"/>
  <c r="N4" i="3"/>
  <c r="O5" i="3" s="1"/>
  <c r="O2" i="3" s="1"/>
  <c r="O4" i="3" l="1"/>
  <c r="P5" i="3" s="1"/>
  <c r="P2" i="3" s="1"/>
  <c r="P4" i="3" l="1"/>
  <c r="Q5" i="3" s="1"/>
  <c r="Q2" i="3" s="1"/>
  <c r="Q4" i="3" l="1"/>
  <c r="R5" i="3" s="1"/>
  <c r="R2" i="3" s="1"/>
  <c r="R11" i="3" l="1"/>
  <c r="N11" i="3"/>
  <c r="B2" i="3"/>
  <c r="B1" i="3" s="1"/>
  <c r="R4" i="3"/>
  <c r="P11" i="3" l="1"/>
  <c r="Q13" i="3" s="1"/>
  <c r="O13" i="3" l="1"/>
</calcChain>
</file>

<file path=xl/sharedStrings.xml><?xml version="1.0" encoding="utf-8"?>
<sst xmlns="http://schemas.openxmlformats.org/spreadsheetml/2006/main" count="548" uniqueCount="531">
  <si>
    <t>&lt;Select&gt;</t>
  </si>
  <si>
    <t>System 7</t>
  </si>
  <si>
    <t>System 8</t>
  </si>
  <si>
    <t>System 9</t>
  </si>
  <si>
    <t>System 10</t>
  </si>
  <si>
    <t>System 11</t>
  </si>
  <si>
    <t>System 12</t>
  </si>
  <si>
    <t>System 6</t>
  </si>
  <si>
    <t>6/49 Toto Computerized Generator Programmed By Remy Lim 2017</t>
  </si>
  <si>
    <t>Bathroom</t>
  </si>
  <si>
    <t>Brush</t>
  </si>
  <si>
    <t>Carrot</t>
  </si>
  <si>
    <t>Accident</t>
  </si>
  <si>
    <t>Admiral</t>
  </si>
  <si>
    <t>Ambulance</t>
  </si>
  <si>
    <t>Anything dirty</t>
  </si>
  <si>
    <t>Anything oval</t>
  </si>
  <si>
    <t>Anything round</t>
  </si>
  <si>
    <t>Army</t>
  </si>
  <si>
    <t xml:space="preserve">Arrow </t>
  </si>
  <si>
    <t>Astronaut</t>
  </si>
  <si>
    <t>Baby</t>
  </si>
  <si>
    <t>Baby (Newborn)</t>
  </si>
  <si>
    <t>Bad man</t>
  </si>
  <si>
    <t>Bad woman</t>
  </si>
  <si>
    <t>Balloons</t>
  </si>
  <si>
    <t>Beard</t>
  </si>
  <si>
    <t>Bed</t>
  </si>
  <si>
    <t>Bees</t>
  </si>
  <si>
    <t>Bicycle</t>
  </si>
  <si>
    <t>Big bird</t>
  </si>
  <si>
    <t>Big fire</t>
  </si>
  <si>
    <t>Big fish</t>
  </si>
  <si>
    <t>Big grave</t>
  </si>
  <si>
    <t>Big hole</t>
  </si>
  <si>
    <t>Big house</t>
  </si>
  <si>
    <t>Big knife</t>
  </si>
  <si>
    <t>Big ship</t>
  </si>
  <si>
    <t>Big spirit</t>
  </si>
  <si>
    <t>Big stick</t>
  </si>
  <si>
    <t>Bird (Big)</t>
  </si>
  <si>
    <t>Birth</t>
  </si>
  <si>
    <t>Bishop</t>
  </si>
  <si>
    <t>Blood (Human)</t>
  </si>
  <si>
    <t>Bloodshed</t>
  </si>
  <si>
    <t>Boat</t>
  </si>
  <si>
    <t>Body</t>
  </si>
  <si>
    <t>Body builder</t>
  </si>
  <si>
    <t>Boxer</t>
  </si>
  <si>
    <t>Bread</t>
  </si>
  <si>
    <t>Bush</t>
  </si>
  <si>
    <t>Butterfly</t>
  </si>
  <si>
    <t>Camel</t>
  </si>
  <si>
    <t>Canary</t>
  </si>
  <si>
    <t>Car</t>
  </si>
  <si>
    <t>Carnival</t>
  </si>
  <si>
    <t>Carriage</t>
  </si>
  <si>
    <t>Cat</t>
  </si>
  <si>
    <t>Cattle</t>
  </si>
  <si>
    <t>Cave</t>
  </si>
  <si>
    <t>Chickens</t>
  </si>
  <si>
    <t>Chief</t>
  </si>
  <si>
    <t>Child (Small)</t>
  </si>
  <si>
    <t>Chinese king</t>
  </si>
  <si>
    <t>Chinese Queen</t>
  </si>
  <si>
    <t>Chocolate</t>
  </si>
  <si>
    <t>Church</t>
  </si>
  <si>
    <t>Cigars</t>
  </si>
  <si>
    <t>Circus</t>
  </si>
  <si>
    <t>Clock</t>
  </si>
  <si>
    <t>Clothes</t>
  </si>
  <si>
    <t>Clown</t>
  </si>
  <si>
    <t>Coffin</t>
  </si>
  <si>
    <t>Computers</t>
  </si>
  <si>
    <t>Cooking</t>
  </si>
  <si>
    <t>Copper</t>
  </si>
  <si>
    <t>Cripple</t>
  </si>
  <si>
    <t>Crocodile</t>
  </si>
  <si>
    <t>Crown</t>
  </si>
  <si>
    <t>Dead man</t>
  </si>
  <si>
    <t>Dead woman</t>
  </si>
  <si>
    <t>Desert</t>
  </si>
  <si>
    <t>Detective</t>
  </si>
  <si>
    <t>Devil</t>
  </si>
  <si>
    <t>Diamond</t>
  </si>
  <si>
    <t>Diamond woman</t>
  </si>
  <si>
    <t>Dirty (Anything)</t>
  </si>
  <si>
    <t>Dirty woman</t>
  </si>
  <si>
    <t>Doctor</t>
  </si>
  <si>
    <t>Dog</t>
  </si>
  <si>
    <t>Door</t>
  </si>
  <si>
    <t>Drunken man</t>
  </si>
  <si>
    <t>Ducks</t>
  </si>
  <si>
    <t>Dung (Human)</t>
  </si>
  <si>
    <t>Dwarf</t>
  </si>
  <si>
    <t>Eagle</t>
  </si>
  <si>
    <t>Eggs</t>
  </si>
  <si>
    <t>Elephant</t>
  </si>
  <si>
    <t>Eye (Left)</t>
  </si>
  <si>
    <t>Eye (Right)</t>
  </si>
  <si>
    <t>Fat man</t>
  </si>
  <si>
    <t>Feathers</t>
  </si>
  <si>
    <t>Fight</t>
  </si>
  <si>
    <t>Fire (Big)</t>
  </si>
  <si>
    <t>Fire (Small)</t>
  </si>
  <si>
    <t>Fireworks</t>
  </si>
  <si>
    <t>Fish (Big)</t>
  </si>
  <si>
    <t>Fish (Small)</t>
  </si>
  <si>
    <t>Fisherman</t>
  </si>
  <si>
    <t>Flowers</t>
  </si>
  <si>
    <t>Foot (Left)</t>
  </si>
  <si>
    <t>Foot (Right)</t>
  </si>
  <si>
    <t>Football</t>
  </si>
  <si>
    <t>Forest</t>
  </si>
  <si>
    <t>Fortune (Small)</t>
  </si>
  <si>
    <t>Fowl</t>
  </si>
  <si>
    <t>Fox</t>
  </si>
  <si>
    <t>Frog</t>
  </si>
  <si>
    <t>Funeral</t>
  </si>
  <si>
    <t>Furniture</t>
  </si>
  <si>
    <t>General</t>
  </si>
  <si>
    <t>Gentleman</t>
  </si>
  <si>
    <t>Ghosts</t>
  </si>
  <si>
    <t>Girl (Servant)</t>
  </si>
  <si>
    <t>Gold money</t>
  </si>
  <si>
    <t>Grave</t>
  </si>
  <si>
    <t>Grave (Big)</t>
  </si>
  <si>
    <t>Graveyard</t>
  </si>
  <si>
    <t>Gum</t>
  </si>
  <si>
    <t>Hair</t>
  </si>
  <si>
    <t>Hand (Left)</t>
  </si>
  <si>
    <t>Hand (Right)</t>
  </si>
  <si>
    <t>Handkerchief</t>
  </si>
  <si>
    <t>Head</t>
  </si>
  <si>
    <t>Healer (Traditional)</t>
  </si>
  <si>
    <t>Hole</t>
  </si>
  <si>
    <t>Hole (Big)</t>
  </si>
  <si>
    <t>Hook</t>
  </si>
  <si>
    <t>Horse</t>
  </si>
  <si>
    <t>Horse (White)</t>
  </si>
  <si>
    <t>Hospital</t>
  </si>
  <si>
    <t>House (Big)</t>
  </si>
  <si>
    <t>House (Small)</t>
  </si>
  <si>
    <t>Human blood</t>
  </si>
  <si>
    <t>Human dung</t>
  </si>
  <si>
    <t>Hut</t>
  </si>
  <si>
    <t>Indian</t>
  </si>
  <si>
    <t>Injury</t>
  </si>
  <si>
    <t>Jewellery</t>
  </si>
  <si>
    <t>Jockey</t>
  </si>
  <si>
    <t>Key</t>
  </si>
  <si>
    <t>King</t>
  </si>
  <si>
    <t>Kite</t>
  </si>
  <si>
    <t>Knife</t>
  </si>
  <si>
    <t>Knife (Big)</t>
  </si>
  <si>
    <t>Knife (Small)</t>
  </si>
  <si>
    <t>Lawyer</t>
  </si>
  <si>
    <t>Left eye</t>
  </si>
  <si>
    <t>Left foot</t>
  </si>
  <si>
    <t>Left hand</t>
  </si>
  <si>
    <t>Letter</t>
  </si>
  <si>
    <t>Lightening</t>
  </si>
  <si>
    <t>Lion</t>
  </si>
  <si>
    <t>Lioness</t>
  </si>
  <si>
    <t>Little boy</t>
  </si>
  <si>
    <t>Little girl</t>
  </si>
  <si>
    <t>Loafer</t>
  </si>
  <si>
    <t>Madman</t>
  </si>
  <si>
    <t>Magic</t>
  </si>
  <si>
    <t>Man (Dead)</t>
  </si>
  <si>
    <t>Man (Old)</t>
  </si>
  <si>
    <t>Man(White)</t>
  </si>
  <si>
    <t>Meat</t>
  </si>
  <si>
    <t>Medicine</t>
  </si>
  <si>
    <t>Milk</t>
  </si>
  <si>
    <t>Minister</t>
  </si>
  <si>
    <t>Money</t>
  </si>
  <si>
    <t>Monkey</t>
  </si>
  <si>
    <t>Monster</t>
  </si>
  <si>
    <t>Moon</t>
  </si>
  <si>
    <t>Motor car</t>
  </si>
  <si>
    <t>Mouth</t>
  </si>
  <si>
    <t>Mud</t>
  </si>
  <si>
    <t>Music</t>
  </si>
  <si>
    <t>Naked woman</t>
  </si>
  <si>
    <t>Native</t>
  </si>
  <si>
    <t>Native woman</t>
  </si>
  <si>
    <t>Newborn baby</t>
  </si>
  <si>
    <t>Nightmare</t>
  </si>
  <si>
    <t>Nose</t>
  </si>
  <si>
    <t>Nurse</t>
  </si>
  <si>
    <t>Old man</t>
  </si>
  <si>
    <t>Old woman</t>
  </si>
  <si>
    <t>Orange</t>
  </si>
  <si>
    <t>Oval (Anything)</t>
  </si>
  <si>
    <t>Owl</t>
  </si>
  <si>
    <t>Ox Blood</t>
  </si>
  <si>
    <t>Paper money</t>
  </si>
  <si>
    <t>Pearls</t>
  </si>
  <si>
    <t>Pig</t>
  </si>
  <si>
    <t>Pigeon</t>
  </si>
  <si>
    <t>Planets</t>
  </si>
  <si>
    <t>Policeman</t>
  </si>
  <si>
    <t>Prostitute</t>
  </si>
  <si>
    <t>Pumpkin</t>
  </si>
  <si>
    <t>Purse</t>
  </si>
  <si>
    <t>Queen</t>
  </si>
  <si>
    <t>Rabbit</t>
  </si>
  <si>
    <t>Rain</t>
  </si>
  <si>
    <t>Rainbow</t>
  </si>
  <si>
    <t>Rats</t>
  </si>
  <si>
    <t>Revolution</t>
  </si>
  <si>
    <t>Right eye</t>
  </si>
  <si>
    <t>Right foot</t>
  </si>
  <si>
    <t>Right hand</t>
  </si>
  <si>
    <t>River</t>
  </si>
  <si>
    <t>Round (Anything)</t>
  </si>
  <si>
    <t>Sad news</t>
  </si>
  <si>
    <t>Sailor</t>
  </si>
  <si>
    <t>Salon</t>
  </si>
  <si>
    <t>Sangoma</t>
  </si>
  <si>
    <t>Sardines</t>
  </si>
  <si>
    <t>Scissors</t>
  </si>
  <si>
    <t>Sea sand</t>
  </si>
  <si>
    <t>Sea Water</t>
  </si>
  <si>
    <t>Servant girl</t>
  </si>
  <si>
    <t>Sex</t>
  </si>
  <si>
    <t>Shark</t>
  </si>
  <si>
    <t xml:space="preserve">Shebeen </t>
  </si>
  <si>
    <t>Sheep</t>
  </si>
  <si>
    <t>Ship (Big)</t>
  </si>
  <si>
    <t>Shoes</t>
  </si>
  <si>
    <t>Shower</t>
  </si>
  <si>
    <t>Shrimp</t>
  </si>
  <si>
    <t>Silver money</t>
  </si>
  <si>
    <t>Sjhambok</t>
  </si>
  <si>
    <t>Sky</t>
  </si>
  <si>
    <t>Small child</t>
  </si>
  <si>
    <t>Small fire</t>
  </si>
  <si>
    <t>Small fish</t>
  </si>
  <si>
    <t>Small Fortune</t>
  </si>
  <si>
    <t>Small house</t>
  </si>
  <si>
    <t>Small knife</t>
  </si>
  <si>
    <t>Small water</t>
  </si>
  <si>
    <t>Smoke</t>
  </si>
  <si>
    <t>Snail</t>
  </si>
  <si>
    <t>Snake</t>
  </si>
  <si>
    <t>Soccer team</t>
  </si>
  <si>
    <t>Space ship</t>
  </si>
  <si>
    <t>Spear</t>
  </si>
  <si>
    <t>Spider</t>
  </si>
  <si>
    <t>Spirit (A Spirit)</t>
  </si>
  <si>
    <t>Spirit (Big)</t>
  </si>
  <si>
    <t>Spirits</t>
  </si>
  <si>
    <t>Stadium</t>
  </si>
  <si>
    <t>Stallion</t>
  </si>
  <si>
    <t>Stars</t>
  </si>
  <si>
    <t>Stick</t>
  </si>
  <si>
    <t>Stick (Big)</t>
  </si>
  <si>
    <t>Storm</t>
  </si>
  <si>
    <t>Stranger</t>
  </si>
  <si>
    <t>Stream</t>
  </si>
  <si>
    <t>Strong Man</t>
  </si>
  <si>
    <t>Stud farm</t>
  </si>
  <si>
    <t>Sun</t>
  </si>
  <si>
    <t>Suprise</t>
  </si>
  <si>
    <t>Tattoos</t>
  </si>
  <si>
    <t>Teacher</t>
  </si>
  <si>
    <t>Tears</t>
  </si>
  <si>
    <t>Teeth</t>
  </si>
  <si>
    <t>Thief</t>
  </si>
  <si>
    <t>Throat</t>
  </si>
  <si>
    <t>Thunder</t>
  </si>
  <si>
    <t>Tiger</t>
  </si>
  <si>
    <t>Tornado</t>
  </si>
  <si>
    <t>Traditional healer</t>
  </si>
  <si>
    <t>Train</t>
  </si>
  <si>
    <t>Tramp</t>
  </si>
  <si>
    <t>Trap</t>
  </si>
  <si>
    <t>Treasure</t>
  </si>
  <si>
    <t>Tree</t>
  </si>
  <si>
    <t>Trumpet</t>
  </si>
  <si>
    <t>Turkey</t>
  </si>
  <si>
    <t>Turtle</t>
  </si>
  <si>
    <t>TV</t>
  </si>
  <si>
    <t>Umbrella</t>
  </si>
  <si>
    <t>Vixen</t>
  </si>
  <si>
    <t>Vulture</t>
  </si>
  <si>
    <t>Wasp</t>
  </si>
  <si>
    <t>Water (Sea)</t>
  </si>
  <si>
    <t>Water (Small)</t>
  </si>
  <si>
    <t>Wealth</t>
  </si>
  <si>
    <t>Whale</t>
  </si>
  <si>
    <t>Wheat</t>
  </si>
  <si>
    <t>White horse</t>
  </si>
  <si>
    <t>White man</t>
  </si>
  <si>
    <t>White woman</t>
  </si>
  <si>
    <t>Wild cat</t>
  </si>
  <si>
    <t>Woman</t>
  </si>
  <si>
    <t>Woman (Dead)</t>
  </si>
  <si>
    <t>Woman (Diamond)</t>
  </si>
  <si>
    <t>Woman (Dirty)</t>
  </si>
  <si>
    <t>Woman (Naked)</t>
  </si>
  <si>
    <t>Woman (Native)</t>
  </si>
  <si>
    <t>Woman (Old)</t>
  </si>
  <si>
    <t>Woman (White)</t>
  </si>
  <si>
    <t>Woman (Young)</t>
  </si>
  <si>
    <t>Wood</t>
  </si>
  <si>
    <t>Wrestler</t>
  </si>
  <si>
    <t>Young woman</t>
  </si>
  <si>
    <t>Number</t>
  </si>
  <si>
    <t>Divine Marriage</t>
  </si>
  <si>
    <t>Reality</t>
  </si>
  <si>
    <t>Truth</t>
  </si>
  <si>
    <t>Rules</t>
  </si>
  <si>
    <t>Clockwork</t>
  </si>
  <si>
    <t>Attraction of Opposites</t>
  </si>
  <si>
    <t>Time</t>
  </si>
  <si>
    <t>Understanding</t>
  </si>
  <si>
    <t>Thoughtfulness</t>
  </si>
  <si>
    <t>Meditation</t>
  </si>
  <si>
    <t>Mental Superirity</t>
  </si>
  <si>
    <t>Cleansing</t>
  </si>
  <si>
    <t>Preparation</t>
  </si>
  <si>
    <t>Growth</t>
  </si>
  <si>
    <t>Inhibition</t>
  </si>
  <si>
    <t>Lack of Harmony</t>
  </si>
  <si>
    <t>Perseverance</t>
  </si>
  <si>
    <t>Intellect</t>
  </si>
  <si>
    <t>High Potential</t>
  </si>
  <si>
    <t>Spiritual Awareness</t>
  </si>
  <si>
    <t>Emotionally Numb</t>
  </si>
  <si>
    <t>Superficially</t>
  </si>
  <si>
    <t>Not Genuine</t>
  </si>
  <si>
    <t>Teamwork</t>
  </si>
  <si>
    <t>Trust</t>
  </si>
  <si>
    <t>Set in Mind</t>
  </si>
  <si>
    <t>Learned from Past</t>
  </si>
  <si>
    <t>Dependence</t>
  </si>
  <si>
    <t>Sacred Union</t>
  </si>
  <si>
    <t>Easy Money</t>
  </si>
  <si>
    <t>Unconditional Love</t>
  </si>
  <si>
    <t>Commitment</t>
  </si>
  <si>
    <t>Benovalent</t>
  </si>
  <si>
    <t>Earth</t>
  </si>
  <si>
    <t>Karma</t>
  </si>
  <si>
    <t>Dwelling</t>
  </si>
  <si>
    <t>Trapped</t>
  </si>
  <si>
    <t>Move on</t>
  </si>
  <si>
    <t>Rewards</t>
  </si>
  <si>
    <t>Happiness</t>
  </si>
  <si>
    <t>Love</t>
  </si>
  <si>
    <t>Success</t>
  </si>
  <si>
    <t>Creativity</t>
  </si>
  <si>
    <t>Arrogant</t>
  </si>
  <si>
    <t>High Position and Power</t>
  </si>
  <si>
    <t>People Pleaser</t>
  </si>
  <si>
    <t>Lofty</t>
  </si>
  <si>
    <t>Unrealistic Goals</t>
  </si>
  <si>
    <t>Too Idealistic</t>
  </si>
  <si>
    <t>Not Practical</t>
  </si>
  <si>
    <t>Not Goal Oriented</t>
  </si>
  <si>
    <t>Turning Point</t>
  </si>
  <si>
    <t>Full Transition</t>
  </si>
  <si>
    <t>Lack of Responsibility</t>
  </si>
  <si>
    <t>Need Support</t>
  </si>
  <si>
    <t>Withdrawn</t>
  </si>
  <si>
    <t>Isolated</t>
  </si>
  <si>
    <t>Great Vision</t>
  </si>
  <si>
    <t>Independence</t>
  </si>
  <si>
    <t>Overcoming Struggles</t>
  </si>
  <si>
    <t>Stand Up</t>
  </si>
  <si>
    <t>Stubbornness</t>
  </si>
  <si>
    <t>Hesitance</t>
  </si>
  <si>
    <t>Conflict</t>
  </si>
  <si>
    <t>Materialistic</t>
  </si>
  <si>
    <t>Spirituality</t>
  </si>
  <si>
    <t>Treachery</t>
  </si>
  <si>
    <t>Deception</t>
  </si>
  <si>
    <t>Lies</t>
  </si>
  <si>
    <t>Selfishness</t>
  </si>
  <si>
    <t>Gateway</t>
  </si>
  <si>
    <t>Soul</t>
  </si>
  <si>
    <t>Innocence</t>
  </si>
  <si>
    <t>Naivet</t>
  </si>
  <si>
    <t>Vulnerability</t>
  </si>
  <si>
    <t>Tenderness</t>
  </si>
  <si>
    <t>Spiritual Cleansing</t>
  </si>
  <si>
    <t>Spiritual Destruction</t>
  </si>
  <si>
    <t>Celebrating Birthday</t>
  </si>
  <si>
    <t>Dissolution</t>
  </si>
  <si>
    <t>Difficult Condition</t>
  </si>
  <si>
    <t>Unexpected</t>
  </si>
  <si>
    <t>Adaptation</t>
  </si>
  <si>
    <t>Ever Changing Circumstances</t>
  </si>
  <si>
    <t>Overindulgences</t>
  </si>
  <si>
    <t>Too Much Desires</t>
  </si>
  <si>
    <t>Restraint</t>
  </si>
  <si>
    <t>Maintain Focus</t>
  </si>
  <si>
    <t>Death</t>
  </si>
  <si>
    <t>Paradoxical</t>
  </si>
  <si>
    <t>Obstacles</t>
  </si>
  <si>
    <t>Persevere</t>
  </si>
  <si>
    <t>Bad Luck</t>
  </si>
  <si>
    <t>Spiritual Strength</t>
  </si>
  <si>
    <t>Divine Perfection</t>
  </si>
  <si>
    <t>Cycles</t>
  </si>
  <si>
    <t>Repetition</t>
  </si>
  <si>
    <t>Intuition</t>
  </si>
  <si>
    <t>Mastery</t>
  </si>
  <si>
    <t>Englightenment</t>
  </si>
  <si>
    <t>Capacity to Achieve</t>
  </si>
  <si>
    <t>Creativity and Vision</t>
  </si>
  <si>
    <t>Partnership</t>
  </si>
  <si>
    <t>Equality</t>
  </si>
  <si>
    <t>Balance</t>
  </si>
  <si>
    <t>Closure</t>
  </si>
  <si>
    <t>Great Strength</t>
  </si>
  <si>
    <t>Gains</t>
  </si>
  <si>
    <t>Laws</t>
  </si>
  <si>
    <t>Completion</t>
  </si>
  <si>
    <t>Rebirth</t>
  </si>
  <si>
    <t>Inspiration</t>
  </si>
  <si>
    <t>Reformation</t>
  </si>
  <si>
    <t>Longevity</t>
  </si>
  <si>
    <t>Power</t>
  </si>
  <si>
    <t>Authority</t>
  </si>
  <si>
    <t>Auspicity</t>
  </si>
  <si>
    <t>Material Gains</t>
  </si>
  <si>
    <t>Regeneration</t>
  </si>
  <si>
    <t>Instinct</t>
  </si>
  <si>
    <t>Mental Perfection</t>
  </si>
  <si>
    <t>Healing</t>
  </si>
  <si>
    <t>Attainment of High Spirituality</t>
  </si>
  <si>
    <t>Uniqueness</t>
  </si>
  <si>
    <t>Eccentricity</t>
  </si>
  <si>
    <t>Cooperation</t>
  </si>
  <si>
    <t>Tranquility</t>
  </si>
  <si>
    <t>Perfection</t>
  </si>
  <si>
    <t>Warmth</t>
  </si>
  <si>
    <t>Union</t>
  </si>
  <si>
    <t>Marriage</t>
  </si>
  <si>
    <t>Family</t>
  </si>
  <si>
    <t>Domestic Bliss</t>
  </si>
  <si>
    <t>Emotional Stage</t>
  </si>
  <si>
    <t>Mental Stage</t>
  </si>
  <si>
    <t>Spiritual Stage</t>
  </si>
  <si>
    <t>Spontaneity</t>
  </si>
  <si>
    <t>Persuasiveness</t>
  </si>
  <si>
    <t>Boldness</t>
  </si>
  <si>
    <t>Daring Nature</t>
  </si>
  <si>
    <t>Action</t>
  </si>
  <si>
    <t>Humanity</t>
  </si>
  <si>
    <t>Heaven and Earth</t>
  </si>
  <si>
    <t>Alter Course</t>
  </si>
  <si>
    <t>Materialistic Matters</t>
  </si>
  <si>
    <t>Sensitive</t>
  </si>
  <si>
    <t>Senses In Tune</t>
  </si>
  <si>
    <t>Change in Path</t>
  </si>
  <si>
    <t>Five Senses</t>
  </si>
  <si>
    <t>Stability</t>
  </si>
  <si>
    <t>Physical Limitations</t>
  </si>
  <si>
    <t>Hard Labor</t>
  </si>
  <si>
    <t>Earthly Things</t>
  </si>
  <si>
    <t>Four Elements (earth, Wind, Fire , Water)</t>
  </si>
  <si>
    <t>Life</t>
  </si>
  <si>
    <t>Vitality</t>
  </si>
  <si>
    <t>Inner Strength</t>
  </si>
  <si>
    <t>Imagination</t>
  </si>
  <si>
    <t>Energy</t>
  </si>
  <si>
    <t>Experience</t>
  </si>
  <si>
    <t>Trilogy</t>
  </si>
  <si>
    <t>Past</t>
  </si>
  <si>
    <t>Present</t>
  </si>
  <si>
    <t>Future</t>
  </si>
  <si>
    <t>Father</t>
  </si>
  <si>
    <t>Mother</t>
  </si>
  <si>
    <t>Child</t>
  </si>
  <si>
    <t>Mind</t>
  </si>
  <si>
    <t>Self Exploration</t>
  </si>
  <si>
    <t>Charm</t>
  </si>
  <si>
    <t>Diversity</t>
  </si>
  <si>
    <t>Marriage Cooperation</t>
  </si>
  <si>
    <t>Double Strength</t>
  </si>
  <si>
    <t>Double Weakness</t>
  </si>
  <si>
    <t>Balance Partnership</t>
  </si>
  <si>
    <t>Soul Receptivity</t>
  </si>
  <si>
    <t>Dualities</t>
  </si>
  <si>
    <t>Opposites</t>
  </si>
  <si>
    <t>Male</t>
  </si>
  <si>
    <t>Female</t>
  </si>
  <si>
    <t>Mother and Father</t>
  </si>
  <si>
    <t>Light and Dark</t>
  </si>
  <si>
    <t>Heaven and Hell</t>
  </si>
  <si>
    <t>Yin and Yang</t>
  </si>
  <si>
    <t>Individuality</t>
  </si>
  <si>
    <t>Autonomy</t>
  </si>
  <si>
    <t>Leadership</t>
  </si>
  <si>
    <t>Winner</t>
  </si>
  <si>
    <t>Best</t>
  </si>
  <si>
    <t>Higher Spiritual Force</t>
  </si>
  <si>
    <t>Solitude</t>
  </si>
  <si>
    <t>Loneliness</t>
  </si>
  <si>
    <t>Originality</t>
  </si>
  <si>
    <t>Confidence</t>
  </si>
  <si>
    <t>Ego</t>
  </si>
  <si>
    <t>Creative</t>
  </si>
  <si>
    <t>Death Prediction</t>
  </si>
  <si>
    <t>Numbers</t>
  </si>
  <si>
    <t>What You Saw In Your Dream ?</t>
  </si>
  <si>
    <t>Dream_Things</t>
  </si>
  <si>
    <t xml:space="preserve">Dream_Felt </t>
  </si>
  <si>
    <t>What Happened In Your Dream ?</t>
  </si>
  <si>
    <t>Group1</t>
  </si>
  <si>
    <t>Group2</t>
  </si>
  <si>
    <t>Group3</t>
  </si>
  <si>
    <t>Group4</t>
  </si>
  <si>
    <t>Group5</t>
  </si>
  <si>
    <t>Odd</t>
  </si>
  <si>
    <t>Even</t>
  </si>
  <si>
    <t>Small</t>
  </si>
  <si>
    <t>Big</t>
  </si>
  <si>
    <t>Low</t>
  </si>
  <si>
    <t>High</t>
  </si>
  <si>
    <t>Range</t>
  </si>
  <si>
    <t>Odd/Even Error</t>
  </si>
  <si>
    <t>Big/Small Error</t>
  </si>
  <si>
    <t>Grouping Error</t>
  </si>
  <si>
    <t>Sum</t>
  </si>
  <si>
    <t>Small Mismatch</t>
  </si>
  <si>
    <t>Big Mismatch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</si>
</sst>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0.0%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7">
    <xf numFmtId="0" fontId="0" fillId="0" borderId="0" xfId="0"/>
    <xf numFmtId="0" fontId="0" fillId="2" borderId="0" xfId="0" applyFill="1"/>
    <xf numFmtId="0" fontId="0" fillId="3" borderId="9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37" fontId="0" fillId="2" borderId="7" xfId="0" applyNumberFormat="1" applyFill="1" applyBorder="1" applyAlignment="1">
      <alignment horizontal="center"/>
    </xf>
    <xf numFmtId="164" fontId="0" fillId="2" borderId="7" xfId="2" applyNumberFormat="1" applyFont="1" applyFill="1" applyBorder="1" applyAlignment="1">
      <alignment horizontal="center"/>
    </xf>
    <xf numFmtId="0" fontId="0" fillId="2" borderId="8" xfId="0" applyFill="1" applyBorder="1"/>
    <xf numFmtId="37" fontId="0" fillId="3" borderId="0" xfId="1" applyNumberFormat="1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16" fmlaLink="A10" fmlaRange="$A$1:$A$8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Spin" dx="22" fmlaLink="$N$3" max="7" page="10" val="7"/>
</file>

<file path=xl/ctrlProps/ctrlProp9.xml><?xml version="1.0" encoding="utf-8"?>
<formControlPr xmlns="http://schemas.microsoft.com/office/spreadsheetml/2009/9/main" objectType="Spin" dx="22" fmlaLink="$O$3" max="7" page="10" val="0"/>
</file>

<file path=xl/ctrlProps/ctrlProp10.xml><?xml version="1.0" encoding="utf-8"?>
<formControlPr xmlns="http://schemas.microsoft.com/office/spreadsheetml/2009/9/main" objectType="Spin" dx="22" fmlaLink="$P$3" max="7" page="10" val="0"/>
</file>

<file path=xl/ctrlProps/ctrlProp11.xml><?xml version="1.0" encoding="utf-8"?>
<formControlPr xmlns="http://schemas.microsoft.com/office/spreadsheetml/2009/9/main" objectType="Spin" dx="22" fmlaLink="$Q$3" max="7" page="10" val="0"/>
</file>

<file path=xl/ctrlProps/ctrlProp12.xml><?xml version="1.0" encoding="utf-8"?>
<formControlPr xmlns="http://schemas.microsoft.com/office/spreadsheetml/2009/9/main" objectType="Spin" dx="22" fmlaLink="$R$3" max="7" page="10" val="0"/>
</file>

<file path=xl/ctrlProps/ctrlProp13.xml><?xml version="1.0" encoding="utf-8"?>
<formControlPr xmlns="http://schemas.microsoft.com/office/spreadsheetml/2009/9/main" objectType="Spin" dx="22" fmlaLink="$N$8" max="7" page="10" val="4"/>
</file>

<file path=xl/ctrlProps/ctrlProp14.xml><?xml version="1.0" encoding="utf-8"?>
<formControlPr xmlns="http://schemas.microsoft.com/office/spreadsheetml/2009/9/main" objectType="Spin" dx="22" fmlaLink="$O$8" max="7" page="10" val="6"/>
</file>

<file path=xl/ctrlProps/ctrlProp15.xml><?xml version="1.0" encoding="utf-8"?>
<formControlPr xmlns="http://schemas.microsoft.com/office/spreadsheetml/2009/9/main" objectType="Spin" dx="22" fmlaLink="$Q$8" max="7" page="10" val="7"/>
</file>

<file path=xl/ctrlProps/ctrlProp16.xml><?xml version="1.0" encoding="utf-8"?>
<formControlPr xmlns="http://schemas.microsoft.com/office/spreadsheetml/2009/9/main" objectType="Spin" dx="22" fmlaLink="$R$8" max="7" page="10" val="4"/>
</file>

<file path=xl/ctrlProps/ctrlProp17.xml><?xml version="1.0" encoding="utf-8"?>
<formControlPr xmlns="http://schemas.microsoft.com/office/spreadsheetml/2009/9/main" objectType="Scroll" dx="22" fmlaLink="$P$12" horiz="1" max="1000" page="10" val="514"/>
</file>

<file path=xl/ctrlProps/ctrlProp18.xml><?xml version="1.0" encoding="utf-8"?>
<formControlPr xmlns="http://schemas.microsoft.com/office/spreadsheetml/2009/9/main" objectType="Spin" dx="22" fmlaLink="$P$8" max="5" min="1" page="10" val="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3</xdr:col>
          <xdr:colOff>0</xdr:colOff>
          <xdr:row>10</xdr:row>
          <xdr:rowOff>161925</xdr:rowOff>
        </xdr:to>
        <xdr:sp macro="" textlink="">
          <xdr:nvSpPr>
            <xdr:cNvPr id="1025" name="Gener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180975</xdr:rowOff>
        </xdr:from>
        <xdr:to>
          <xdr:col>1</xdr:col>
          <xdr:colOff>9525</xdr:colOff>
          <xdr:row>10</xdr:row>
          <xdr:rowOff>9525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323850</xdr:colOff>
      <xdr:row>11</xdr:row>
      <xdr:rowOff>161925</xdr:rowOff>
    </xdr:from>
    <xdr:to>
      <xdr:col>9</xdr:col>
      <xdr:colOff>57149</xdr:colOff>
      <xdr:row>28</xdr:row>
      <xdr:rowOff>24490</xdr:rowOff>
    </xdr:to>
    <xdr:pic>
      <xdr:nvPicPr>
        <xdr:cNvPr id="5" name="Picture 4" descr="Image result for toto singapore pool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542925"/>
          <a:ext cx="5838824" cy="31010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171450</xdr:rowOff>
        </xdr:from>
        <xdr:to>
          <xdr:col>6</xdr:col>
          <xdr:colOff>3638550</xdr:colOff>
          <xdr:row>2</xdr:row>
          <xdr:rowOff>9525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Things In Your Dream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19050</xdr:rowOff>
        </xdr:from>
        <xdr:to>
          <xdr:col>11</xdr:col>
          <xdr:colOff>1609725</xdr:colOff>
          <xdr:row>2</xdr:row>
          <xdr:rowOff>9525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Dreams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180975</xdr:rowOff>
        </xdr:from>
        <xdr:to>
          <xdr:col>8</xdr:col>
          <xdr:colOff>3848100</xdr:colOff>
          <xdr:row>2</xdr:row>
          <xdr:rowOff>19050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What You Felt In Your Dream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</xdr:row>
          <xdr:rowOff>28575</xdr:rowOff>
        </xdr:from>
        <xdr:to>
          <xdr:col>11</xdr:col>
          <xdr:colOff>1609725</xdr:colOff>
          <xdr:row>4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9525</xdr:rowOff>
        </xdr:from>
        <xdr:to>
          <xdr:col>13</xdr:col>
          <xdr:colOff>0</xdr:colOff>
          <xdr:row>1</xdr:row>
          <xdr:rowOff>171450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0</xdr:row>
          <xdr:rowOff>19050</xdr:rowOff>
        </xdr:from>
        <xdr:to>
          <xdr:col>10</xdr:col>
          <xdr:colOff>581025</xdr:colOff>
          <xdr:row>2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Predict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0</xdr:rowOff>
        </xdr:from>
        <xdr:to>
          <xdr:col>13</xdr:col>
          <xdr:colOff>0</xdr:colOff>
          <xdr:row>1</xdr:row>
          <xdr:rowOff>180975</xdr:rowOff>
        </xdr:to>
        <xdr:sp macro="" textlink="">
          <xdr:nvSpPr>
            <xdr:cNvPr id="3077" name="Number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</xdr:row>
          <xdr:rowOff>19050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3079" name="Spinner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2</xdr:row>
          <xdr:rowOff>19050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3080" name="Spinner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2</xdr:row>
          <xdr:rowOff>19050</xdr:rowOff>
        </xdr:from>
        <xdr:to>
          <xdr:col>15</xdr:col>
          <xdr:colOff>476250</xdr:colOff>
          <xdr:row>5</xdr:row>
          <xdr:rowOff>0</xdr:rowOff>
        </xdr:to>
        <xdr:sp macro="" textlink="">
          <xdr:nvSpPr>
            <xdr:cNvPr id="3081" name="Spinner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19050</xdr:rowOff>
        </xdr:from>
        <xdr:to>
          <xdr:col>16</xdr:col>
          <xdr:colOff>476250</xdr:colOff>
          <xdr:row>5</xdr:row>
          <xdr:rowOff>0</xdr:rowOff>
        </xdr:to>
        <xdr:sp macro="" textlink="">
          <xdr:nvSpPr>
            <xdr:cNvPr id="3082" name="Spinner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19050</xdr:rowOff>
        </xdr:from>
        <xdr:to>
          <xdr:col>17</xdr:col>
          <xdr:colOff>466725</xdr:colOff>
          <xdr:row>5</xdr:row>
          <xdr:rowOff>0</xdr:rowOff>
        </xdr:to>
        <xdr:sp macro="" textlink="">
          <xdr:nvSpPr>
            <xdr:cNvPr id="3083" name="Spinner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7</xdr:row>
          <xdr:rowOff>0</xdr:rowOff>
        </xdr:from>
        <xdr:to>
          <xdr:col>14</xdr:col>
          <xdr:colOff>0</xdr:colOff>
          <xdr:row>8</xdr:row>
          <xdr:rowOff>171450</xdr:rowOff>
        </xdr:to>
        <xdr:sp macro="" textlink="">
          <xdr:nvSpPr>
            <xdr:cNvPr id="3084" name="Spinner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7</xdr:row>
          <xdr:rowOff>0</xdr:rowOff>
        </xdr:from>
        <xdr:to>
          <xdr:col>14</xdr:col>
          <xdr:colOff>476250</xdr:colOff>
          <xdr:row>8</xdr:row>
          <xdr:rowOff>171450</xdr:rowOff>
        </xdr:to>
        <xdr:sp macro="" textlink="">
          <xdr:nvSpPr>
            <xdr:cNvPr id="3085" name="Spinner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7</xdr:row>
          <xdr:rowOff>0</xdr:rowOff>
        </xdr:from>
        <xdr:to>
          <xdr:col>17</xdr:col>
          <xdr:colOff>0</xdr:colOff>
          <xdr:row>8</xdr:row>
          <xdr:rowOff>171450</xdr:rowOff>
        </xdr:to>
        <xdr:sp macro="" textlink="">
          <xdr:nvSpPr>
            <xdr:cNvPr id="3086" name="Spinner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7</xdr:row>
          <xdr:rowOff>0</xdr:rowOff>
        </xdr:from>
        <xdr:to>
          <xdr:col>17</xdr:col>
          <xdr:colOff>485775</xdr:colOff>
          <xdr:row>8</xdr:row>
          <xdr:rowOff>171450</xdr:rowOff>
        </xdr:to>
        <xdr:sp macro="" textlink="">
          <xdr:nvSpPr>
            <xdr:cNvPr id="3087" name="Spinner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11</xdr:row>
          <xdr:rowOff>9525</xdr:rowOff>
        </xdr:from>
        <xdr:to>
          <xdr:col>17</xdr:col>
          <xdr:colOff>476250</xdr:colOff>
          <xdr:row>12</xdr:row>
          <xdr:rowOff>0</xdr:rowOff>
        </xdr:to>
        <xdr:sp macro="" textlink="">
          <xdr:nvSpPr>
            <xdr:cNvPr id="3088" name="Scroll Bar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15</xdr:col>
          <xdr:colOff>485775</xdr:colOff>
          <xdr:row>8</xdr:row>
          <xdr:rowOff>171450</xdr:rowOff>
        </xdr:to>
        <xdr:sp macro="" textlink="">
          <xdr:nvSpPr>
            <xdr:cNvPr id="3089" name="Spinner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0</xdr:row>
          <xdr:rowOff>19050</xdr:rowOff>
        </xdr:from>
        <xdr:to>
          <xdr:col>19</xdr:col>
          <xdr:colOff>9525</xdr:colOff>
          <xdr:row>4</xdr:row>
          <xdr:rowOff>171450</xdr:rowOff>
        </xdr:to>
        <xdr:sp macro="" textlink="">
          <xdr:nvSpPr>
            <xdr:cNvPr id="3090" name="START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control" Target="../activeX/activeX2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7.xml"/><Relationship Id="rId1" Type="http://schemas.openxmlformats.org/officeDocument/2006/relationships/drawing" Target="../drawings/drawing3.xml"/><Relationship Id="rId6" Type="http://schemas.openxmlformats.org/officeDocument/2006/relationships/image" Target="../media/image4.emf"/><Relationship Id="rId11" Type="http://schemas.openxmlformats.org/officeDocument/2006/relationships/ctrlProp" Target="../ctrlProps/ctrlProp12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image" Target="../media/image3.emf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0"/>
  <sheetViews>
    <sheetView topLeftCell="A10" workbookViewId="0">
      <selection activeCell="E11" sqref="E11"/>
    </sheetView>
  </sheetViews>
  <sheetFormatPr defaultColWidth="0" defaultRowHeight="15" zeroHeight="1" x14ac:dyDescent="0.25"/>
  <cols>
    <col min="1" max="1" width="18.42578125" style="1" customWidth="1"/>
    <col min="2" max="10" width="9.140625" style="1" customWidth="1"/>
    <col min="11" max="22" width="0" style="1" hidden="1" customWidth="1"/>
    <col min="23" max="16384" width="9.140625" style="1" hidden="1"/>
  </cols>
  <sheetData>
    <row r="1" spans="1:16" hidden="1" x14ac:dyDescent="0.25">
      <c r="A1" s="1" t="s">
        <v>0</v>
      </c>
      <c r="K1" s="1">
        <v>31</v>
      </c>
      <c r="L1" s="1">
        <v>10</v>
      </c>
      <c r="M1" s="1">
        <v>9</v>
      </c>
      <c r="N1" s="1">
        <v>29</v>
      </c>
      <c r="O1" s="1">
        <v>4</v>
      </c>
      <c r="P1" s="1">
        <v>22</v>
      </c>
    </row>
    <row r="2" spans="1:16" hidden="1" x14ac:dyDescent="0.25">
      <c r="A2" s="1" t="s">
        <v>7</v>
      </c>
    </row>
    <row r="3" spans="1:16" hidden="1" x14ac:dyDescent="0.25">
      <c r="A3" s="1" t="s">
        <v>1</v>
      </c>
    </row>
    <row r="4" spans="1:16" hidden="1" x14ac:dyDescent="0.25">
      <c r="A4" s="1" t="s">
        <v>2</v>
      </c>
    </row>
    <row r="5" spans="1:16" hidden="1" x14ac:dyDescent="0.25">
      <c r="A5" s="1" t="s">
        <v>3</v>
      </c>
    </row>
    <row r="6" spans="1:16" hidden="1" x14ac:dyDescent="0.25">
      <c r="A6" s="1" t="s">
        <v>4</v>
      </c>
    </row>
    <row r="7" spans="1:16" hidden="1" x14ac:dyDescent="0.25">
      <c r="A7" s="1" t="s">
        <v>5</v>
      </c>
    </row>
    <row r="8" spans="1:16" hidden="1" x14ac:dyDescent="0.25">
      <c r="A8" s="1" t="s">
        <v>6</v>
      </c>
    </row>
    <row r="9" spans="1:16" hidden="1" x14ac:dyDescent="0.25"/>
    <row r="10" spans="1:16" x14ac:dyDescent="0.25">
      <c r="A10" s="1">
        <v>2</v>
      </c>
    </row>
    <row r="11" spans="1:16" x14ac:dyDescent="0.25"/>
    <row r="12" spans="1:16" x14ac:dyDescent="0.25"/>
    <row r="13" spans="1:16" x14ac:dyDescent="0.25"/>
    <row r="14" spans="1:16" x14ac:dyDescent="0.25">
      <c r="A14"/>
    </row>
    <row r="15" spans="1:16" x14ac:dyDescent="0.25"/>
    <row r="16" spans="1:16" x14ac:dyDescent="0.25"/>
    <row r="17" spans="4:4" x14ac:dyDescent="0.25"/>
    <row r="18" spans="4:4" x14ac:dyDescent="0.25"/>
    <row r="19" spans="4:4" x14ac:dyDescent="0.25"/>
    <row r="20" spans="4:4" x14ac:dyDescent="0.25"/>
    <row r="21" spans="4:4" x14ac:dyDescent="0.25"/>
    <row r="22" spans="4:4" x14ac:dyDescent="0.25"/>
    <row r="23" spans="4:4" x14ac:dyDescent="0.25"/>
    <row r="24" spans="4:4" x14ac:dyDescent="0.25"/>
    <row r="25" spans="4:4" x14ac:dyDescent="0.25"/>
    <row r="26" spans="4:4" x14ac:dyDescent="0.25"/>
    <row r="27" spans="4:4" x14ac:dyDescent="0.25"/>
    <row r="28" spans="4:4" x14ac:dyDescent="0.25"/>
    <row r="29" spans="4:4" x14ac:dyDescent="0.25"/>
    <row r="30" spans="4:4" x14ac:dyDescent="0.25">
      <c r="D30" s="1" t="s">
        <v>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Generate">
          <controlPr defaultSize="0"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3</xdr:col>
                <xdr:colOff>0</xdr:colOff>
                <xdr:row>10</xdr:row>
                <xdr:rowOff>161925</xdr:rowOff>
              </to>
            </anchor>
          </controlPr>
        </control>
      </mc:Choice>
      <mc:Fallback>
        <control shapeId="1025" r:id="rId4" name="Generate"/>
      </mc:Fallback>
    </mc:AlternateContent>
    <mc:AlternateContent xmlns:mc="http://schemas.openxmlformats.org/markup-compatibility/2006">
      <mc:Choice Requires="x14">
        <control shapeId="1027" r:id="rId6" name="Drop Down 3">
          <controlPr defaultSize="0" autoLine="0" autoPict="0">
            <anchor moveWithCells="1">
              <from>
                <xdr:col>0</xdr:col>
                <xdr:colOff>9525</xdr:colOff>
                <xdr:row>8</xdr:row>
                <xdr:rowOff>180975</xdr:rowOff>
              </from>
              <to>
                <xdr:col>1</xdr:col>
                <xdr:colOff>9525</xdr:colOff>
                <xdr:row>10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8"/>
  <sheetViews>
    <sheetView topLeftCell="G1" workbookViewId="0">
      <selection activeCell="G4" sqref="G4"/>
    </sheetView>
  </sheetViews>
  <sheetFormatPr defaultColWidth="0" defaultRowHeight="15" x14ac:dyDescent="0.25"/>
  <cols>
    <col min="1" max="1" width="18.5703125" hidden="1" customWidth="1"/>
    <col min="2" max="3" width="0" hidden="1" customWidth="1"/>
    <col min="4" max="4" width="38.28515625" hidden="1" customWidth="1"/>
    <col min="5" max="6" width="0" hidden="1" customWidth="1"/>
    <col min="7" max="7" width="54.85546875" customWidth="1"/>
    <col min="8" max="8" width="0" hidden="1" customWidth="1"/>
    <col min="9" max="9" width="57.85546875" customWidth="1"/>
    <col min="10" max="10" width="0" hidden="1" customWidth="1"/>
    <col min="11" max="11" width="9.140625" customWidth="1"/>
    <col min="12" max="12" width="24.28515625" customWidth="1"/>
    <col min="13" max="13" width="9.140625" customWidth="1"/>
    <col min="14" max="16384" width="9.140625" hidden="1"/>
  </cols>
  <sheetData>
    <row r="1" spans="1:9" x14ac:dyDescent="0.25">
      <c r="A1" t="s">
        <v>510</v>
      </c>
      <c r="B1" t="s">
        <v>310</v>
      </c>
      <c r="C1">
        <v>3</v>
      </c>
      <c r="D1" t="s">
        <v>511</v>
      </c>
      <c r="E1" t="s">
        <v>508</v>
      </c>
      <c r="F1">
        <v>3</v>
      </c>
      <c r="G1" t="s">
        <v>509</v>
      </c>
      <c r="I1" t="s">
        <v>512</v>
      </c>
    </row>
    <row r="2" spans="1:9" x14ac:dyDescent="0.25">
      <c r="A2" t="s">
        <v>12</v>
      </c>
      <c r="B2">
        <v>3</v>
      </c>
      <c r="D2" t="s">
        <v>451</v>
      </c>
      <c r="E2">
        <v>5</v>
      </c>
    </row>
    <row r="3" spans="1:9" x14ac:dyDescent="0.25">
      <c r="A3" t="s">
        <v>13</v>
      </c>
      <c r="B3">
        <v>36</v>
      </c>
      <c r="D3" t="s">
        <v>393</v>
      </c>
      <c r="E3">
        <v>14</v>
      </c>
    </row>
    <row r="4" spans="1:9" x14ac:dyDescent="0.25">
      <c r="A4" t="s">
        <v>14</v>
      </c>
      <c r="B4">
        <v>46</v>
      </c>
      <c r="D4" t="s">
        <v>454</v>
      </c>
      <c r="E4">
        <v>5</v>
      </c>
    </row>
    <row r="5" spans="1:9" x14ac:dyDescent="0.25">
      <c r="A5" t="s">
        <v>15</v>
      </c>
      <c r="B5">
        <v>34</v>
      </c>
      <c r="D5" t="s">
        <v>354</v>
      </c>
      <c r="E5">
        <v>24</v>
      </c>
    </row>
    <row r="6" spans="1:9" x14ac:dyDescent="0.25">
      <c r="A6" t="s">
        <v>16</v>
      </c>
      <c r="B6">
        <v>10</v>
      </c>
      <c r="D6" t="s">
        <v>433</v>
      </c>
      <c r="E6">
        <v>7</v>
      </c>
    </row>
    <row r="7" spans="1:9" x14ac:dyDescent="0.25">
      <c r="A7" t="s">
        <v>17</v>
      </c>
      <c r="B7">
        <v>9</v>
      </c>
      <c r="D7" t="s">
        <v>316</v>
      </c>
      <c r="E7">
        <v>42</v>
      </c>
    </row>
    <row r="8" spans="1:9" x14ac:dyDescent="0.25">
      <c r="A8" t="s">
        <v>18</v>
      </c>
      <c r="B8">
        <v>43</v>
      </c>
      <c r="D8" t="s">
        <v>427</v>
      </c>
      <c r="E8">
        <v>8</v>
      </c>
    </row>
    <row r="9" spans="1:9" x14ac:dyDescent="0.25">
      <c r="A9" t="s">
        <v>19</v>
      </c>
      <c r="B9">
        <v>37</v>
      </c>
      <c r="D9" t="s">
        <v>426</v>
      </c>
      <c r="E9">
        <v>8</v>
      </c>
    </row>
    <row r="10" spans="1:9" x14ac:dyDescent="0.25">
      <c r="A10" t="s">
        <v>20</v>
      </c>
      <c r="B10">
        <v>43</v>
      </c>
      <c r="D10" t="s">
        <v>496</v>
      </c>
      <c r="E10">
        <v>1</v>
      </c>
    </row>
    <row r="11" spans="1:9" x14ac:dyDescent="0.25">
      <c r="A11" t="s">
        <v>21</v>
      </c>
      <c r="B11">
        <v>9</v>
      </c>
      <c r="D11" t="s">
        <v>403</v>
      </c>
      <c r="E11">
        <v>13</v>
      </c>
    </row>
    <row r="12" spans="1:9" x14ac:dyDescent="0.25">
      <c r="A12" t="s">
        <v>22</v>
      </c>
      <c r="B12">
        <v>27</v>
      </c>
      <c r="D12" t="s">
        <v>415</v>
      </c>
      <c r="E12">
        <v>11</v>
      </c>
    </row>
    <row r="13" spans="1:9" x14ac:dyDescent="0.25">
      <c r="A13" t="s">
        <v>23</v>
      </c>
      <c r="B13">
        <v>26</v>
      </c>
      <c r="D13" t="s">
        <v>485</v>
      </c>
      <c r="E13">
        <v>2</v>
      </c>
    </row>
    <row r="14" spans="1:9" x14ac:dyDescent="0.25">
      <c r="A14" t="s">
        <v>24</v>
      </c>
      <c r="B14">
        <v>15</v>
      </c>
      <c r="D14" t="s">
        <v>343</v>
      </c>
      <c r="E14">
        <v>27</v>
      </c>
    </row>
    <row r="15" spans="1:9" x14ac:dyDescent="0.25">
      <c r="A15" t="s">
        <v>25</v>
      </c>
      <c r="B15">
        <v>38</v>
      </c>
      <c r="D15" t="s">
        <v>499</v>
      </c>
      <c r="E15">
        <v>1</v>
      </c>
    </row>
    <row r="16" spans="1:9" x14ac:dyDescent="0.25">
      <c r="A16" t="s">
        <v>9</v>
      </c>
      <c r="B16">
        <v>1</v>
      </c>
      <c r="D16" t="s">
        <v>41</v>
      </c>
      <c r="E16">
        <v>13</v>
      </c>
    </row>
    <row r="17" spans="1:5" x14ac:dyDescent="0.25">
      <c r="A17" t="s">
        <v>26</v>
      </c>
      <c r="B17">
        <v>46</v>
      </c>
      <c r="D17" t="s">
        <v>46</v>
      </c>
      <c r="E17">
        <v>3</v>
      </c>
    </row>
    <row r="18" spans="1:5" x14ac:dyDescent="0.25">
      <c r="A18" t="s">
        <v>27</v>
      </c>
      <c r="B18">
        <v>4</v>
      </c>
      <c r="D18" t="s">
        <v>449</v>
      </c>
      <c r="E18">
        <v>5</v>
      </c>
    </row>
    <row r="19" spans="1:5" x14ac:dyDescent="0.25">
      <c r="A19" t="s">
        <v>28</v>
      </c>
      <c r="B19">
        <v>26</v>
      </c>
      <c r="D19" t="s">
        <v>411</v>
      </c>
      <c r="E19">
        <v>11</v>
      </c>
    </row>
    <row r="20" spans="1:5" x14ac:dyDescent="0.25">
      <c r="A20" t="s">
        <v>29</v>
      </c>
      <c r="B20">
        <v>11</v>
      </c>
      <c r="D20" t="s">
        <v>389</v>
      </c>
      <c r="E20">
        <v>16</v>
      </c>
    </row>
    <row r="21" spans="1:5" x14ac:dyDescent="0.25">
      <c r="A21" t="s">
        <v>30</v>
      </c>
      <c r="B21">
        <v>19</v>
      </c>
      <c r="D21" t="s">
        <v>458</v>
      </c>
      <c r="E21">
        <v>5</v>
      </c>
    </row>
    <row r="22" spans="1:5" x14ac:dyDescent="0.25">
      <c r="A22" t="s">
        <v>31</v>
      </c>
      <c r="B22">
        <v>31</v>
      </c>
      <c r="D22" t="s">
        <v>480</v>
      </c>
      <c r="E22">
        <v>3</v>
      </c>
    </row>
    <row r="23" spans="1:5" x14ac:dyDescent="0.25">
      <c r="A23" t="s">
        <v>32</v>
      </c>
      <c r="B23">
        <v>13</v>
      </c>
      <c r="D23" t="s">
        <v>477</v>
      </c>
      <c r="E23">
        <v>3</v>
      </c>
    </row>
    <row r="24" spans="1:5" x14ac:dyDescent="0.25">
      <c r="A24" t="s">
        <v>33</v>
      </c>
      <c r="B24">
        <v>35</v>
      </c>
      <c r="D24" t="s">
        <v>322</v>
      </c>
      <c r="E24">
        <v>40</v>
      </c>
    </row>
    <row r="25" spans="1:5" x14ac:dyDescent="0.25">
      <c r="A25" t="s">
        <v>34</v>
      </c>
      <c r="B25">
        <v>35</v>
      </c>
      <c r="D25" t="s">
        <v>315</v>
      </c>
      <c r="E25">
        <v>43</v>
      </c>
    </row>
    <row r="26" spans="1:5" x14ac:dyDescent="0.25">
      <c r="A26" t="s">
        <v>35</v>
      </c>
      <c r="B26">
        <v>25</v>
      </c>
      <c r="D26" t="s">
        <v>416</v>
      </c>
      <c r="E26">
        <v>10</v>
      </c>
    </row>
    <row r="27" spans="1:5" x14ac:dyDescent="0.25">
      <c r="A27" t="s">
        <v>36</v>
      </c>
      <c r="B27">
        <v>29</v>
      </c>
      <c r="D27" t="s">
        <v>342</v>
      </c>
      <c r="E27">
        <v>27</v>
      </c>
    </row>
    <row r="28" spans="1:5" x14ac:dyDescent="0.25">
      <c r="A28" t="s">
        <v>37</v>
      </c>
      <c r="B28">
        <v>22</v>
      </c>
      <c r="D28" t="s">
        <v>420</v>
      </c>
      <c r="E28">
        <v>9</v>
      </c>
    </row>
    <row r="29" spans="1:5" x14ac:dyDescent="0.25">
      <c r="A29" t="s">
        <v>38</v>
      </c>
      <c r="B29">
        <v>31</v>
      </c>
      <c r="D29" t="s">
        <v>420</v>
      </c>
      <c r="E29">
        <v>3</v>
      </c>
    </row>
    <row r="30" spans="1:5" x14ac:dyDescent="0.25">
      <c r="A30" t="s">
        <v>39</v>
      </c>
      <c r="B30">
        <v>7</v>
      </c>
      <c r="D30" t="s">
        <v>504</v>
      </c>
      <c r="E30">
        <v>1</v>
      </c>
    </row>
    <row r="31" spans="1:5" x14ac:dyDescent="0.25">
      <c r="A31" t="s">
        <v>40</v>
      </c>
      <c r="B31">
        <v>19</v>
      </c>
      <c r="D31" t="s">
        <v>374</v>
      </c>
      <c r="E31">
        <v>18</v>
      </c>
    </row>
    <row r="32" spans="1:5" x14ac:dyDescent="0.25">
      <c r="A32" t="s">
        <v>41</v>
      </c>
      <c r="B32">
        <v>40</v>
      </c>
      <c r="D32" t="s">
        <v>436</v>
      </c>
      <c r="E32">
        <v>6</v>
      </c>
    </row>
    <row r="33" spans="1:5" x14ac:dyDescent="0.25">
      <c r="A33" t="s">
        <v>42</v>
      </c>
      <c r="B33">
        <v>31</v>
      </c>
      <c r="D33" t="s">
        <v>506</v>
      </c>
      <c r="E33">
        <v>24</v>
      </c>
    </row>
    <row r="34" spans="1:5" x14ac:dyDescent="0.25">
      <c r="A34" t="s">
        <v>43</v>
      </c>
      <c r="B34">
        <v>1</v>
      </c>
      <c r="D34" t="s">
        <v>353</v>
      </c>
      <c r="E34">
        <v>3</v>
      </c>
    </row>
    <row r="35" spans="1:5" x14ac:dyDescent="0.25">
      <c r="A35" t="s">
        <v>44</v>
      </c>
      <c r="B35">
        <v>39</v>
      </c>
      <c r="D35" t="s">
        <v>412</v>
      </c>
      <c r="E35">
        <v>11</v>
      </c>
    </row>
    <row r="36" spans="1:5" x14ac:dyDescent="0.25">
      <c r="A36" t="s">
        <v>45</v>
      </c>
      <c r="B36">
        <v>10</v>
      </c>
      <c r="D36" t="s">
        <v>406</v>
      </c>
      <c r="E36">
        <v>12</v>
      </c>
    </row>
    <row r="37" spans="1:5" x14ac:dyDescent="0.25">
      <c r="A37" t="s">
        <v>46</v>
      </c>
      <c r="B37">
        <v>20</v>
      </c>
      <c r="D37" t="s">
        <v>450</v>
      </c>
      <c r="E37">
        <v>5</v>
      </c>
    </row>
    <row r="38" spans="1:5" x14ac:dyDescent="0.25">
      <c r="A38" t="s">
        <v>47</v>
      </c>
      <c r="B38">
        <v>44</v>
      </c>
      <c r="D38" t="s">
        <v>507</v>
      </c>
      <c r="E38">
        <v>4</v>
      </c>
    </row>
    <row r="39" spans="1:5" x14ac:dyDescent="0.25">
      <c r="A39" t="s">
        <v>48</v>
      </c>
      <c r="B39">
        <v>25</v>
      </c>
      <c r="D39" t="s">
        <v>399</v>
      </c>
      <c r="E39">
        <v>13</v>
      </c>
    </row>
    <row r="40" spans="1:5" x14ac:dyDescent="0.25">
      <c r="A40" t="s">
        <v>49</v>
      </c>
      <c r="B40">
        <v>19</v>
      </c>
      <c r="D40" t="s">
        <v>378</v>
      </c>
      <c r="E40">
        <v>18</v>
      </c>
    </row>
    <row r="41" spans="1:5" x14ac:dyDescent="0.25">
      <c r="A41" t="s">
        <v>10</v>
      </c>
      <c r="B41">
        <v>3</v>
      </c>
      <c r="D41" t="s">
        <v>338</v>
      </c>
      <c r="E41">
        <v>29</v>
      </c>
    </row>
    <row r="42" spans="1:5" x14ac:dyDescent="0.25">
      <c r="A42" t="s">
        <v>50</v>
      </c>
      <c r="B42">
        <v>26</v>
      </c>
      <c r="D42" t="s">
        <v>391</v>
      </c>
      <c r="E42">
        <v>15</v>
      </c>
    </row>
    <row r="43" spans="1:5" x14ac:dyDescent="0.25">
      <c r="A43" t="s">
        <v>51</v>
      </c>
      <c r="B43">
        <v>18</v>
      </c>
      <c r="D43" t="s">
        <v>390</v>
      </c>
      <c r="E43">
        <v>15</v>
      </c>
    </row>
    <row r="44" spans="1:5" x14ac:dyDescent="0.25">
      <c r="A44" t="s">
        <v>52</v>
      </c>
      <c r="B44">
        <v>42</v>
      </c>
      <c r="D44" t="s">
        <v>481</v>
      </c>
      <c r="E44">
        <v>2</v>
      </c>
    </row>
    <row r="45" spans="1:5" x14ac:dyDescent="0.25">
      <c r="A45" t="s">
        <v>53</v>
      </c>
      <c r="B45">
        <v>15</v>
      </c>
      <c r="D45" t="s">
        <v>311</v>
      </c>
      <c r="E45">
        <v>44</v>
      </c>
    </row>
    <row r="46" spans="1:5" x14ac:dyDescent="0.25">
      <c r="A46" t="s">
        <v>54</v>
      </c>
      <c r="B46">
        <v>2</v>
      </c>
      <c r="D46" t="s">
        <v>405</v>
      </c>
      <c r="E46">
        <v>12</v>
      </c>
    </row>
    <row r="47" spans="1:5" x14ac:dyDescent="0.25">
      <c r="A47" t="s">
        <v>55</v>
      </c>
      <c r="B47">
        <v>47</v>
      </c>
      <c r="D47" t="s">
        <v>443</v>
      </c>
      <c r="E47">
        <v>6</v>
      </c>
    </row>
    <row r="48" spans="1:5" x14ac:dyDescent="0.25">
      <c r="A48" t="s">
        <v>56</v>
      </c>
      <c r="B48">
        <v>11</v>
      </c>
      <c r="D48" t="s">
        <v>483</v>
      </c>
      <c r="E48">
        <v>2</v>
      </c>
    </row>
    <row r="49" spans="1:5" x14ac:dyDescent="0.25">
      <c r="A49" t="s">
        <v>11</v>
      </c>
      <c r="B49">
        <v>2</v>
      </c>
      <c r="D49" t="s">
        <v>484</v>
      </c>
      <c r="E49">
        <v>2</v>
      </c>
    </row>
    <row r="50" spans="1:5" x14ac:dyDescent="0.25">
      <c r="A50" t="s">
        <v>57</v>
      </c>
      <c r="B50">
        <v>20</v>
      </c>
      <c r="D50" t="s">
        <v>487</v>
      </c>
      <c r="E50">
        <v>2</v>
      </c>
    </row>
    <row r="51" spans="1:5" x14ac:dyDescent="0.25">
      <c r="A51" t="s">
        <v>58</v>
      </c>
      <c r="B51">
        <v>41</v>
      </c>
      <c r="D51" t="s">
        <v>346</v>
      </c>
      <c r="E51">
        <v>25</v>
      </c>
    </row>
    <row r="52" spans="1:5" x14ac:dyDescent="0.25">
      <c r="A52" t="s">
        <v>59</v>
      </c>
      <c r="B52">
        <v>41</v>
      </c>
      <c r="D52" t="s">
        <v>344</v>
      </c>
      <c r="E52">
        <v>26</v>
      </c>
    </row>
    <row r="53" spans="1:5" x14ac:dyDescent="0.25">
      <c r="A53" t="s">
        <v>60</v>
      </c>
      <c r="B53">
        <v>7</v>
      </c>
      <c r="D53" t="s">
        <v>463</v>
      </c>
      <c r="E53">
        <v>4</v>
      </c>
    </row>
    <row r="54" spans="1:5" x14ac:dyDescent="0.25">
      <c r="A54" t="s">
        <v>61</v>
      </c>
      <c r="B54">
        <v>2</v>
      </c>
      <c r="D54" t="s">
        <v>340</v>
      </c>
      <c r="E54">
        <v>28</v>
      </c>
    </row>
    <row r="55" spans="1:5" x14ac:dyDescent="0.25">
      <c r="A55" t="s">
        <v>62</v>
      </c>
      <c r="B55">
        <v>28</v>
      </c>
      <c r="D55" t="s">
        <v>435</v>
      </c>
      <c r="E55">
        <v>7</v>
      </c>
    </row>
    <row r="56" spans="1:5" x14ac:dyDescent="0.25">
      <c r="A56" t="s">
        <v>63</v>
      </c>
      <c r="B56">
        <v>8</v>
      </c>
      <c r="D56" t="s">
        <v>505</v>
      </c>
      <c r="E56">
        <v>1</v>
      </c>
    </row>
    <row r="57" spans="1:5" x14ac:dyDescent="0.25">
      <c r="A57" t="s">
        <v>64</v>
      </c>
      <c r="B57">
        <v>12</v>
      </c>
      <c r="D57" t="s">
        <v>444</v>
      </c>
      <c r="E57">
        <v>6</v>
      </c>
    </row>
    <row r="58" spans="1:5" x14ac:dyDescent="0.25">
      <c r="A58" t="s">
        <v>65</v>
      </c>
      <c r="B58">
        <v>49</v>
      </c>
      <c r="D58" t="s">
        <v>331</v>
      </c>
      <c r="E58">
        <v>32</v>
      </c>
    </row>
    <row r="59" spans="1:5" x14ac:dyDescent="0.25">
      <c r="A59" t="s">
        <v>66</v>
      </c>
      <c r="B59">
        <v>25</v>
      </c>
      <c r="D59" t="s">
        <v>469</v>
      </c>
      <c r="E59">
        <v>3</v>
      </c>
    </row>
    <row r="60" spans="1:5" x14ac:dyDescent="0.25">
      <c r="A60" t="s">
        <v>67</v>
      </c>
      <c r="B60">
        <v>36</v>
      </c>
      <c r="D60" t="s">
        <v>410</v>
      </c>
      <c r="E60">
        <v>11</v>
      </c>
    </row>
    <row r="61" spans="1:5" x14ac:dyDescent="0.25">
      <c r="A61" t="s">
        <v>68</v>
      </c>
      <c r="B61">
        <v>49</v>
      </c>
      <c r="D61" t="s">
        <v>414</v>
      </c>
      <c r="E61">
        <v>11</v>
      </c>
    </row>
    <row r="62" spans="1:5" x14ac:dyDescent="0.25">
      <c r="A62" t="s">
        <v>69</v>
      </c>
      <c r="B62">
        <v>40</v>
      </c>
      <c r="D62" t="s">
        <v>394</v>
      </c>
      <c r="E62">
        <v>14</v>
      </c>
    </row>
    <row r="63" spans="1:5" x14ac:dyDescent="0.25">
      <c r="A63" t="s">
        <v>70</v>
      </c>
      <c r="B63">
        <v>35</v>
      </c>
      <c r="D63" t="s">
        <v>470</v>
      </c>
      <c r="E63">
        <v>3</v>
      </c>
    </row>
    <row r="64" spans="1:5" x14ac:dyDescent="0.25">
      <c r="A64" t="s">
        <v>71</v>
      </c>
      <c r="B64">
        <v>48</v>
      </c>
      <c r="D64" t="s">
        <v>442</v>
      </c>
      <c r="E64">
        <v>6</v>
      </c>
    </row>
    <row r="65" spans="1:5" x14ac:dyDescent="0.25">
      <c r="A65" t="s">
        <v>72</v>
      </c>
      <c r="B65">
        <v>16</v>
      </c>
      <c r="D65" t="s">
        <v>475</v>
      </c>
      <c r="E65">
        <v>3</v>
      </c>
    </row>
    <row r="66" spans="1:5" x14ac:dyDescent="0.25">
      <c r="A66" t="s">
        <v>72</v>
      </c>
      <c r="B66">
        <v>29</v>
      </c>
      <c r="D66" t="s">
        <v>490</v>
      </c>
      <c r="E66">
        <v>2</v>
      </c>
    </row>
    <row r="67" spans="1:5" x14ac:dyDescent="0.25">
      <c r="A67" t="s">
        <v>73</v>
      </c>
      <c r="B67">
        <v>45</v>
      </c>
      <c r="D67" t="s">
        <v>459</v>
      </c>
      <c r="E67">
        <v>5</v>
      </c>
    </row>
    <row r="68" spans="1:5" x14ac:dyDescent="0.25">
      <c r="A68" t="s">
        <v>74</v>
      </c>
      <c r="B68">
        <v>37</v>
      </c>
      <c r="D68" t="s">
        <v>464</v>
      </c>
      <c r="E68">
        <v>4</v>
      </c>
    </row>
    <row r="69" spans="1:5" x14ac:dyDescent="0.25">
      <c r="A69" t="s">
        <v>75</v>
      </c>
      <c r="B69">
        <v>2</v>
      </c>
      <c r="D69" t="s">
        <v>363</v>
      </c>
      <c r="E69">
        <v>21</v>
      </c>
    </row>
    <row r="70" spans="1:5" x14ac:dyDescent="0.25">
      <c r="A70" t="s">
        <v>76</v>
      </c>
      <c r="B70">
        <v>34</v>
      </c>
      <c r="D70" t="s">
        <v>474</v>
      </c>
      <c r="E70">
        <v>3</v>
      </c>
    </row>
    <row r="71" spans="1:5" x14ac:dyDescent="0.25">
      <c r="A71" t="s">
        <v>77</v>
      </c>
      <c r="B71">
        <v>38</v>
      </c>
      <c r="D71" t="s">
        <v>418</v>
      </c>
      <c r="E71">
        <v>10</v>
      </c>
    </row>
    <row r="72" spans="1:5" x14ac:dyDescent="0.25">
      <c r="A72" t="s">
        <v>78</v>
      </c>
      <c r="B72">
        <v>23</v>
      </c>
      <c r="D72" t="s">
        <v>381</v>
      </c>
      <c r="E72">
        <v>18</v>
      </c>
    </row>
    <row r="73" spans="1:5" x14ac:dyDescent="0.25">
      <c r="A73" t="s">
        <v>78</v>
      </c>
      <c r="B73">
        <v>26</v>
      </c>
      <c r="D73" t="s">
        <v>417</v>
      </c>
      <c r="E73">
        <v>10</v>
      </c>
    </row>
    <row r="74" spans="1:5" x14ac:dyDescent="0.25">
      <c r="A74" t="s">
        <v>79</v>
      </c>
      <c r="B74">
        <v>4</v>
      </c>
      <c r="D74" t="s">
        <v>368</v>
      </c>
      <c r="E74">
        <v>20</v>
      </c>
    </row>
    <row r="75" spans="1:5" x14ac:dyDescent="0.25">
      <c r="A75" t="s">
        <v>80</v>
      </c>
      <c r="B75">
        <v>12</v>
      </c>
      <c r="D75" t="s">
        <v>324</v>
      </c>
      <c r="E75">
        <v>40</v>
      </c>
    </row>
    <row r="76" spans="1:5" x14ac:dyDescent="0.25">
      <c r="A76" t="s">
        <v>81</v>
      </c>
      <c r="B76">
        <v>41</v>
      </c>
      <c r="D76" t="s">
        <v>350</v>
      </c>
      <c r="E76">
        <v>24</v>
      </c>
    </row>
    <row r="77" spans="1:5" x14ac:dyDescent="0.25">
      <c r="A77" t="s">
        <v>82</v>
      </c>
      <c r="B77">
        <v>14</v>
      </c>
      <c r="D77" t="s">
        <v>462</v>
      </c>
      <c r="E77">
        <v>4</v>
      </c>
    </row>
    <row r="78" spans="1:5" x14ac:dyDescent="0.25">
      <c r="A78" t="s">
        <v>83</v>
      </c>
      <c r="B78">
        <v>9</v>
      </c>
      <c r="D78" t="s">
        <v>432</v>
      </c>
      <c r="E78">
        <v>7</v>
      </c>
    </row>
    <row r="79" spans="1:5" x14ac:dyDescent="0.25">
      <c r="A79" t="s">
        <v>84</v>
      </c>
      <c r="B79">
        <v>17</v>
      </c>
      <c r="D79" t="s">
        <v>453</v>
      </c>
      <c r="E79">
        <v>5</v>
      </c>
    </row>
    <row r="80" spans="1:5" x14ac:dyDescent="0.25">
      <c r="A80" t="s">
        <v>85</v>
      </c>
      <c r="B80">
        <v>17</v>
      </c>
      <c r="D80" t="s">
        <v>493</v>
      </c>
      <c r="E80">
        <v>2</v>
      </c>
    </row>
    <row r="81" spans="1:5" x14ac:dyDescent="0.25">
      <c r="A81" t="s">
        <v>86</v>
      </c>
      <c r="B81">
        <v>34</v>
      </c>
      <c r="D81" t="s">
        <v>373</v>
      </c>
      <c r="E81">
        <v>19</v>
      </c>
    </row>
    <row r="82" spans="1:5" x14ac:dyDescent="0.25">
      <c r="A82" t="s">
        <v>87</v>
      </c>
      <c r="B82">
        <v>32</v>
      </c>
      <c r="D82" t="s">
        <v>355</v>
      </c>
      <c r="E82">
        <v>24</v>
      </c>
    </row>
    <row r="83" spans="1:5" x14ac:dyDescent="0.25">
      <c r="A83" t="s">
        <v>88</v>
      </c>
      <c r="B83">
        <v>23</v>
      </c>
      <c r="D83" t="s">
        <v>329</v>
      </c>
      <c r="E83">
        <v>33</v>
      </c>
    </row>
    <row r="84" spans="1:5" x14ac:dyDescent="0.25">
      <c r="A84" t="s">
        <v>89</v>
      </c>
      <c r="B84">
        <v>27</v>
      </c>
      <c r="D84" t="s">
        <v>500</v>
      </c>
      <c r="E84">
        <v>1</v>
      </c>
    </row>
    <row r="85" spans="1:5" x14ac:dyDescent="0.25">
      <c r="A85" t="s">
        <v>90</v>
      </c>
      <c r="B85">
        <v>42</v>
      </c>
      <c r="D85" t="s">
        <v>452</v>
      </c>
      <c r="E85">
        <v>5</v>
      </c>
    </row>
    <row r="86" spans="1:5" x14ac:dyDescent="0.25">
      <c r="A86" t="s">
        <v>91</v>
      </c>
      <c r="B86">
        <v>8</v>
      </c>
      <c r="D86" t="s">
        <v>468</v>
      </c>
      <c r="E86">
        <v>3</v>
      </c>
    </row>
    <row r="87" spans="1:5" x14ac:dyDescent="0.25">
      <c r="A87" t="s">
        <v>92</v>
      </c>
      <c r="B87">
        <v>12</v>
      </c>
      <c r="D87" t="s">
        <v>369</v>
      </c>
      <c r="E87">
        <v>19</v>
      </c>
    </row>
    <row r="88" spans="1:5" x14ac:dyDescent="0.25">
      <c r="A88" t="s">
        <v>93</v>
      </c>
      <c r="B88">
        <v>34</v>
      </c>
      <c r="D88" t="s">
        <v>495</v>
      </c>
      <c r="E88">
        <v>1</v>
      </c>
    </row>
    <row r="89" spans="1:5" x14ac:dyDescent="0.25">
      <c r="A89" t="s">
        <v>94</v>
      </c>
      <c r="B89">
        <v>40</v>
      </c>
      <c r="D89" t="s">
        <v>325</v>
      </c>
      <c r="E89">
        <v>36</v>
      </c>
    </row>
    <row r="90" spans="1:5" x14ac:dyDescent="0.25">
      <c r="A90" t="s">
        <v>95</v>
      </c>
      <c r="B90">
        <v>3</v>
      </c>
      <c r="D90" t="s">
        <v>467</v>
      </c>
      <c r="E90">
        <v>3</v>
      </c>
    </row>
    <row r="91" spans="1:5" x14ac:dyDescent="0.25">
      <c r="A91" t="s">
        <v>96</v>
      </c>
      <c r="B91">
        <v>10</v>
      </c>
      <c r="D91" t="s">
        <v>383</v>
      </c>
      <c r="E91">
        <v>16</v>
      </c>
    </row>
    <row r="92" spans="1:5" x14ac:dyDescent="0.25">
      <c r="A92" t="s">
        <v>97</v>
      </c>
      <c r="B92">
        <v>21</v>
      </c>
      <c r="D92" t="s">
        <v>422</v>
      </c>
      <c r="E92">
        <v>9</v>
      </c>
    </row>
    <row r="93" spans="1:5" x14ac:dyDescent="0.25">
      <c r="A93" t="s">
        <v>98</v>
      </c>
      <c r="B93">
        <v>1</v>
      </c>
      <c r="D93" t="s">
        <v>430</v>
      </c>
      <c r="E93">
        <v>8</v>
      </c>
    </row>
    <row r="94" spans="1:5" x14ac:dyDescent="0.25">
      <c r="A94" t="s">
        <v>99</v>
      </c>
      <c r="B94">
        <v>18</v>
      </c>
      <c r="D94" t="s">
        <v>328</v>
      </c>
      <c r="E94">
        <v>34</v>
      </c>
    </row>
    <row r="95" spans="1:5" x14ac:dyDescent="0.25">
      <c r="A95" t="s">
        <v>100</v>
      </c>
      <c r="B95">
        <v>8</v>
      </c>
      <c r="D95" t="s">
        <v>408</v>
      </c>
      <c r="E95">
        <v>11</v>
      </c>
    </row>
    <row r="96" spans="1:5" x14ac:dyDescent="0.25">
      <c r="A96" t="s">
        <v>101</v>
      </c>
      <c r="B96">
        <v>31</v>
      </c>
      <c r="D96" t="s">
        <v>367</v>
      </c>
      <c r="E96">
        <v>20</v>
      </c>
    </row>
    <row r="97" spans="1:5" x14ac:dyDescent="0.25">
      <c r="A97" t="s">
        <v>102</v>
      </c>
      <c r="B97">
        <v>5</v>
      </c>
      <c r="D97" t="s">
        <v>345</v>
      </c>
      <c r="E97">
        <v>26</v>
      </c>
    </row>
    <row r="98" spans="1:5" x14ac:dyDescent="0.25">
      <c r="A98" t="s">
        <v>102</v>
      </c>
      <c r="B98">
        <v>31</v>
      </c>
      <c r="D98" t="s">
        <v>326</v>
      </c>
      <c r="E98">
        <v>35</v>
      </c>
    </row>
    <row r="99" spans="1:5" x14ac:dyDescent="0.25">
      <c r="A99" t="s">
        <v>103</v>
      </c>
      <c r="B99">
        <v>31</v>
      </c>
      <c r="D99" t="s">
        <v>364</v>
      </c>
      <c r="E99">
        <v>21</v>
      </c>
    </row>
    <row r="100" spans="1:5" x14ac:dyDescent="0.25">
      <c r="A100" t="s">
        <v>104</v>
      </c>
      <c r="B100">
        <v>12</v>
      </c>
      <c r="D100" t="s">
        <v>419</v>
      </c>
      <c r="E100">
        <v>10</v>
      </c>
    </row>
    <row r="101" spans="1:5" x14ac:dyDescent="0.25">
      <c r="A101" t="s">
        <v>105</v>
      </c>
      <c r="B101">
        <v>38</v>
      </c>
      <c r="D101" t="s">
        <v>497</v>
      </c>
      <c r="E101">
        <v>1</v>
      </c>
    </row>
    <row r="102" spans="1:5" x14ac:dyDescent="0.25">
      <c r="A102" t="s">
        <v>106</v>
      </c>
      <c r="B102">
        <v>13</v>
      </c>
      <c r="D102" t="s">
        <v>337</v>
      </c>
      <c r="E102">
        <v>34</v>
      </c>
    </row>
    <row r="103" spans="1:5" x14ac:dyDescent="0.25">
      <c r="A103" t="s">
        <v>107</v>
      </c>
      <c r="B103">
        <v>28</v>
      </c>
      <c r="D103" t="s">
        <v>379</v>
      </c>
      <c r="E103">
        <v>18</v>
      </c>
    </row>
    <row r="104" spans="1:5" x14ac:dyDescent="0.25">
      <c r="A104" t="s">
        <v>108</v>
      </c>
      <c r="B104">
        <v>21</v>
      </c>
      <c r="D104" t="s">
        <v>465</v>
      </c>
      <c r="E104">
        <v>3</v>
      </c>
    </row>
    <row r="105" spans="1:5" x14ac:dyDescent="0.25">
      <c r="A105" t="s">
        <v>109</v>
      </c>
      <c r="B105">
        <v>11</v>
      </c>
      <c r="D105" t="s">
        <v>492</v>
      </c>
      <c r="E105">
        <v>2</v>
      </c>
    </row>
    <row r="106" spans="1:5" x14ac:dyDescent="0.25">
      <c r="A106" t="s">
        <v>110</v>
      </c>
      <c r="B106">
        <v>22</v>
      </c>
      <c r="D106" t="s">
        <v>357</v>
      </c>
      <c r="E106">
        <v>23</v>
      </c>
    </row>
    <row r="107" spans="1:5" x14ac:dyDescent="0.25">
      <c r="A107" t="s">
        <v>111</v>
      </c>
      <c r="B107">
        <v>28</v>
      </c>
      <c r="D107" t="s">
        <v>502</v>
      </c>
      <c r="E107">
        <v>1</v>
      </c>
    </row>
    <row r="108" spans="1:5" x14ac:dyDescent="0.25">
      <c r="A108" t="s">
        <v>112</v>
      </c>
      <c r="B108">
        <v>45</v>
      </c>
      <c r="D108" t="s">
        <v>424</v>
      </c>
      <c r="E108">
        <v>9</v>
      </c>
    </row>
    <row r="109" spans="1:5" x14ac:dyDescent="0.25">
      <c r="A109" t="s">
        <v>113</v>
      </c>
      <c r="B109">
        <v>30</v>
      </c>
      <c r="D109" t="s">
        <v>351</v>
      </c>
      <c r="E109">
        <v>24</v>
      </c>
    </row>
    <row r="110" spans="1:5" x14ac:dyDescent="0.25">
      <c r="A110" t="s">
        <v>114</v>
      </c>
      <c r="B110">
        <v>4</v>
      </c>
      <c r="D110" t="s">
        <v>398</v>
      </c>
      <c r="E110">
        <v>14</v>
      </c>
    </row>
    <row r="111" spans="1:5" x14ac:dyDescent="0.25">
      <c r="A111" t="s">
        <v>115</v>
      </c>
      <c r="B111">
        <v>30</v>
      </c>
      <c r="D111" t="s">
        <v>489</v>
      </c>
      <c r="E111">
        <v>2</v>
      </c>
    </row>
    <row r="112" spans="1:5" x14ac:dyDescent="0.25">
      <c r="A112" t="s">
        <v>116</v>
      </c>
      <c r="B112">
        <v>14</v>
      </c>
      <c r="D112" t="s">
        <v>441</v>
      </c>
      <c r="E112">
        <v>6</v>
      </c>
    </row>
    <row r="113" spans="1:5" x14ac:dyDescent="0.25">
      <c r="A113" t="s">
        <v>117</v>
      </c>
      <c r="B113">
        <v>3</v>
      </c>
      <c r="D113" t="s">
        <v>482</v>
      </c>
      <c r="E113">
        <v>2</v>
      </c>
    </row>
    <row r="114" spans="1:5" x14ac:dyDescent="0.25">
      <c r="A114" t="s">
        <v>118</v>
      </c>
      <c r="B114">
        <v>26</v>
      </c>
      <c r="D114" t="s">
        <v>409</v>
      </c>
      <c r="E114">
        <v>11</v>
      </c>
    </row>
    <row r="115" spans="1:5" x14ac:dyDescent="0.25">
      <c r="A115" t="s">
        <v>119</v>
      </c>
      <c r="B115">
        <v>11</v>
      </c>
      <c r="D115" t="s">
        <v>428</v>
      </c>
      <c r="E115">
        <v>8</v>
      </c>
    </row>
    <row r="116" spans="1:5" x14ac:dyDescent="0.25">
      <c r="A116" t="s">
        <v>120</v>
      </c>
      <c r="B116">
        <v>26</v>
      </c>
      <c r="D116" t="s">
        <v>375</v>
      </c>
      <c r="E116">
        <v>18</v>
      </c>
    </row>
    <row r="117" spans="1:5" x14ac:dyDescent="0.25">
      <c r="A117" t="s">
        <v>121</v>
      </c>
      <c r="B117">
        <v>6</v>
      </c>
      <c r="D117" t="s">
        <v>455</v>
      </c>
      <c r="E117">
        <v>4</v>
      </c>
    </row>
    <row r="118" spans="1:5" x14ac:dyDescent="0.25">
      <c r="A118" t="s">
        <v>122</v>
      </c>
      <c r="B118">
        <v>13</v>
      </c>
      <c r="D118" t="s">
        <v>320</v>
      </c>
      <c r="E118">
        <v>39</v>
      </c>
    </row>
    <row r="119" spans="1:5" x14ac:dyDescent="0.25">
      <c r="A119" t="s">
        <v>123</v>
      </c>
      <c r="B119">
        <v>18</v>
      </c>
      <c r="D119" t="s">
        <v>431</v>
      </c>
      <c r="E119">
        <v>7</v>
      </c>
    </row>
    <row r="120" spans="1:5" x14ac:dyDescent="0.25">
      <c r="A120" t="s">
        <v>124</v>
      </c>
      <c r="B120">
        <v>32</v>
      </c>
      <c r="D120" t="s">
        <v>445</v>
      </c>
      <c r="E120">
        <v>6</v>
      </c>
    </row>
    <row r="121" spans="1:5" x14ac:dyDescent="0.25">
      <c r="A121" t="s">
        <v>125</v>
      </c>
      <c r="B121">
        <v>10</v>
      </c>
      <c r="D121" t="s">
        <v>321</v>
      </c>
      <c r="E121">
        <v>39</v>
      </c>
    </row>
    <row r="122" spans="1:5" x14ac:dyDescent="0.25">
      <c r="A122" t="s">
        <v>126</v>
      </c>
      <c r="B122">
        <v>35</v>
      </c>
      <c r="D122" t="s">
        <v>478</v>
      </c>
      <c r="E122">
        <v>3</v>
      </c>
    </row>
    <row r="123" spans="1:5" x14ac:dyDescent="0.25">
      <c r="A123" t="s">
        <v>127</v>
      </c>
      <c r="B123">
        <v>30</v>
      </c>
      <c r="D123" t="s">
        <v>176</v>
      </c>
      <c r="E123">
        <v>24</v>
      </c>
    </row>
    <row r="124" spans="1:5" x14ac:dyDescent="0.25">
      <c r="A124" t="s">
        <v>128</v>
      </c>
      <c r="B124">
        <v>36</v>
      </c>
      <c r="D124" t="s">
        <v>476</v>
      </c>
      <c r="E124">
        <v>3</v>
      </c>
    </row>
    <row r="125" spans="1:5" x14ac:dyDescent="0.25">
      <c r="A125" t="s">
        <v>129</v>
      </c>
      <c r="B125">
        <v>23</v>
      </c>
      <c r="D125" t="s">
        <v>491</v>
      </c>
      <c r="E125">
        <v>2</v>
      </c>
    </row>
    <row r="126" spans="1:5" x14ac:dyDescent="0.25">
      <c r="A126" t="s">
        <v>130</v>
      </c>
      <c r="B126">
        <v>19</v>
      </c>
      <c r="D126" t="s">
        <v>348</v>
      </c>
      <c r="E126">
        <v>25</v>
      </c>
    </row>
    <row r="127" spans="1:5" x14ac:dyDescent="0.25">
      <c r="A127" t="s">
        <v>131</v>
      </c>
      <c r="B127">
        <v>29</v>
      </c>
      <c r="D127" t="s">
        <v>183</v>
      </c>
      <c r="E127">
        <v>7</v>
      </c>
    </row>
    <row r="128" spans="1:5" x14ac:dyDescent="0.25">
      <c r="A128" t="s">
        <v>132</v>
      </c>
      <c r="B128">
        <v>20</v>
      </c>
      <c r="D128" t="s">
        <v>384</v>
      </c>
      <c r="E128">
        <v>16</v>
      </c>
    </row>
    <row r="129" spans="1:5" x14ac:dyDescent="0.25">
      <c r="A129" t="s">
        <v>133</v>
      </c>
      <c r="B129">
        <v>23</v>
      </c>
      <c r="D129" t="s">
        <v>365</v>
      </c>
      <c r="E129">
        <v>20</v>
      </c>
    </row>
    <row r="130" spans="1:5" x14ac:dyDescent="0.25">
      <c r="A130" t="s">
        <v>134</v>
      </c>
      <c r="B130">
        <v>40</v>
      </c>
      <c r="D130" t="s">
        <v>333</v>
      </c>
      <c r="E130">
        <v>30</v>
      </c>
    </row>
    <row r="131" spans="1:5" x14ac:dyDescent="0.25">
      <c r="A131" t="s">
        <v>135</v>
      </c>
      <c r="B131">
        <v>9</v>
      </c>
      <c r="D131" t="s">
        <v>361</v>
      </c>
      <c r="E131">
        <v>22</v>
      </c>
    </row>
    <row r="132" spans="1:5" x14ac:dyDescent="0.25">
      <c r="A132" t="s">
        <v>135</v>
      </c>
      <c r="B132">
        <v>24</v>
      </c>
      <c r="D132" t="s">
        <v>360</v>
      </c>
      <c r="E132">
        <v>22</v>
      </c>
    </row>
    <row r="133" spans="1:5" x14ac:dyDescent="0.25">
      <c r="A133" t="s">
        <v>136</v>
      </c>
      <c r="B133">
        <v>35</v>
      </c>
      <c r="D133" t="s">
        <v>401</v>
      </c>
      <c r="E133">
        <v>13</v>
      </c>
    </row>
    <row r="134" spans="1:5" x14ac:dyDescent="0.25">
      <c r="A134" t="s">
        <v>137</v>
      </c>
      <c r="B134">
        <v>18</v>
      </c>
      <c r="D134" t="s">
        <v>488</v>
      </c>
      <c r="E134">
        <v>2</v>
      </c>
    </row>
    <row r="135" spans="1:5" x14ac:dyDescent="0.25">
      <c r="A135" t="s">
        <v>138</v>
      </c>
      <c r="B135">
        <v>23</v>
      </c>
      <c r="D135" t="s">
        <v>503</v>
      </c>
      <c r="E135">
        <v>1</v>
      </c>
    </row>
    <row r="136" spans="1:5" x14ac:dyDescent="0.25">
      <c r="A136" t="s">
        <v>139</v>
      </c>
      <c r="B136">
        <v>15</v>
      </c>
      <c r="D136" t="s">
        <v>370</v>
      </c>
      <c r="E136">
        <v>19</v>
      </c>
    </row>
    <row r="137" spans="1:5" x14ac:dyDescent="0.25">
      <c r="A137" t="s">
        <v>140</v>
      </c>
      <c r="B137">
        <v>25</v>
      </c>
      <c r="D137" t="s">
        <v>395</v>
      </c>
      <c r="E137">
        <v>14</v>
      </c>
    </row>
    <row r="138" spans="1:5" x14ac:dyDescent="0.25">
      <c r="A138" t="s">
        <v>141</v>
      </c>
      <c r="B138">
        <v>25</v>
      </c>
      <c r="D138" t="s">
        <v>400</v>
      </c>
      <c r="E138">
        <v>13</v>
      </c>
    </row>
    <row r="139" spans="1:5" x14ac:dyDescent="0.25">
      <c r="A139" t="s">
        <v>142</v>
      </c>
      <c r="B139">
        <v>16</v>
      </c>
      <c r="D139" t="s">
        <v>413</v>
      </c>
      <c r="E139">
        <v>11</v>
      </c>
    </row>
    <row r="140" spans="1:5" x14ac:dyDescent="0.25">
      <c r="A140" t="s">
        <v>143</v>
      </c>
      <c r="B140">
        <v>1</v>
      </c>
      <c r="D140" t="s">
        <v>472</v>
      </c>
      <c r="E140">
        <v>3</v>
      </c>
    </row>
    <row r="141" spans="1:5" x14ac:dyDescent="0.25">
      <c r="A141" t="s">
        <v>144</v>
      </c>
      <c r="B141">
        <v>34</v>
      </c>
      <c r="D141" t="s">
        <v>356</v>
      </c>
      <c r="E141">
        <v>23</v>
      </c>
    </row>
    <row r="142" spans="1:5" x14ac:dyDescent="0.25">
      <c r="A142" t="s">
        <v>145</v>
      </c>
      <c r="B142">
        <v>47</v>
      </c>
      <c r="D142" t="s">
        <v>438</v>
      </c>
      <c r="E142">
        <v>6</v>
      </c>
    </row>
    <row r="143" spans="1:5" x14ac:dyDescent="0.25">
      <c r="A143" t="s">
        <v>146</v>
      </c>
      <c r="B143">
        <v>30</v>
      </c>
      <c r="D143" t="s">
        <v>327</v>
      </c>
      <c r="E143">
        <v>34</v>
      </c>
    </row>
    <row r="144" spans="1:5" x14ac:dyDescent="0.25">
      <c r="A144" t="s">
        <v>147</v>
      </c>
      <c r="B144">
        <v>44</v>
      </c>
      <c r="D144" t="s">
        <v>402</v>
      </c>
      <c r="E144">
        <v>13</v>
      </c>
    </row>
    <row r="145" spans="1:5" x14ac:dyDescent="0.25">
      <c r="A145" t="s">
        <v>148</v>
      </c>
      <c r="B145">
        <v>45</v>
      </c>
      <c r="D145" t="s">
        <v>448</v>
      </c>
      <c r="E145">
        <v>5</v>
      </c>
    </row>
    <row r="146" spans="1:5" x14ac:dyDescent="0.25">
      <c r="A146" t="s">
        <v>149</v>
      </c>
      <c r="B146">
        <v>2</v>
      </c>
      <c r="D146" t="s">
        <v>461</v>
      </c>
      <c r="E146">
        <v>4</v>
      </c>
    </row>
    <row r="147" spans="1:5" x14ac:dyDescent="0.25">
      <c r="A147" t="s">
        <v>150</v>
      </c>
      <c r="B147">
        <v>46</v>
      </c>
      <c r="D147" t="s">
        <v>425</v>
      </c>
      <c r="E147">
        <v>8</v>
      </c>
    </row>
    <row r="148" spans="1:5" x14ac:dyDescent="0.25">
      <c r="A148" t="s">
        <v>151</v>
      </c>
      <c r="B148">
        <v>1</v>
      </c>
      <c r="D148" t="s">
        <v>323</v>
      </c>
      <c r="E148">
        <v>40</v>
      </c>
    </row>
    <row r="149" spans="1:5" x14ac:dyDescent="0.25">
      <c r="A149" t="s">
        <v>152</v>
      </c>
      <c r="B149">
        <v>47</v>
      </c>
      <c r="D149" t="s">
        <v>473</v>
      </c>
      <c r="E149">
        <v>3</v>
      </c>
    </row>
    <row r="150" spans="1:5" x14ac:dyDescent="0.25">
      <c r="A150" t="s">
        <v>153</v>
      </c>
      <c r="B150">
        <v>21</v>
      </c>
      <c r="D150" t="s">
        <v>312</v>
      </c>
      <c r="E150">
        <v>49</v>
      </c>
    </row>
    <row r="151" spans="1:5" x14ac:dyDescent="0.25">
      <c r="A151" t="s">
        <v>154</v>
      </c>
      <c r="B151">
        <v>29</v>
      </c>
      <c r="D151" t="s">
        <v>421</v>
      </c>
      <c r="E151">
        <v>9</v>
      </c>
    </row>
    <row r="152" spans="1:5" x14ac:dyDescent="0.25">
      <c r="A152" t="s">
        <v>155</v>
      </c>
      <c r="B152">
        <v>15</v>
      </c>
      <c r="D152" t="s">
        <v>423</v>
      </c>
      <c r="E152">
        <v>9</v>
      </c>
    </row>
    <row r="153" spans="1:5" x14ac:dyDescent="0.25">
      <c r="A153" t="s">
        <v>156</v>
      </c>
      <c r="B153">
        <v>37</v>
      </c>
      <c r="D153" t="s">
        <v>429</v>
      </c>
      <c r="E153">
        <v>8</v>
      </c>
    </row>
    <row r="154" spans="1:5" x14ac:dyDescent="0.25">
      <c r="A154" t="s">
        <v>157</v>
      </c>
      <c r="B154">
        <v>1</v>
      </c>
      <c r="D154" t="s">
        <v>407</v>
      </c>
      <c r="E154">
        <v>12</v>
      </c>
    </row>
    <row r="155" spans="1:5" x14ac:dyDescent="0.25">
      <c r="A155" t="s">
        <v>158</v>
      </c>
      <c r="B155">
        <v>22</v>
      </c>
      <c r="D155" t="s">
        <v>397</v>
      </c>
      <c r="E155">
        <v>14</v>
      </c>
    </row>
    <row r="156" spans="1:5" x14ac:dyDescent="0.25">
      <c r="A156" t="s">
        <v>159</v>
      </c>
      <c r="B156">
        <v>19</v>
      </c>
      <c r="D156" t="s">
        <v>349</v>
      </c>
      <c r="E156">
        <v>24</v>
      </c>
    </row>
    <row r="157" spans="1:5" x14ac:dyDescent="0.25">
      <c r="A157" t="s">
        <v>160</v>
      </c>
      <c r="B157">
        <v>16</v>
      </c>
      <c r="D157" t="s">
        <v>314</v>
      </c>
      <c r="E157">
        <v>43</v>
      </c>
    </row>
    <row r="158" spans="1:5" x14ac:dyDescent="0.25">
      <c r="A158" t="s">
        <v>161</v>
      </c>
      <c r="B158">
        <v>47</v>
      </c>
      <c r="D158" t="s">
        <v>339</v>
      </c>
      <c r="E158">
        <v>44</v>
      </c>
    </row>
    <row r="159" spans="1:5" x14ac:dyDescent="0.25">
      <c r="A159" t="s">
        <v>162</v>
      </c>
      <c r="B159">
        <v>7</v>
      </c>
      <c r="D159" t="s">
        <v>479</v>
      </c>
      <c r="E159">
        <v>3</v>
      </c>
    </row>
    <row r="160" spans="1:5" x14ac:dyDescent="0.25">
      <c r="A160" t="s">
        <v>163</v>
      </c>
      <c r="B160">
        <v>24</v>
      </c>
      <c r="D160" t="s">
        <v>380</v>
      </c>
      <c r="E160">
        <v>18</v>
      </c>
    </row>
    <row r="161" spans="1:5" x14ac:dyDescent="0.25">
      <c r="A161" t="s">
        <v>164</v>
      </c>
      <c r="B161">
        <v>33</v>
      </c>
      <c r="D161" t="s">
        <v>457</v>
      </c>
      <c r="E161">
        <v>5</v>
      </c>
    </row>
    <row r="162" spans="1:5" x14ac:dyDescent="0.25">
      <c r="A162" t="s">
        <v>165</v>
      </c>
      <c r="B162">
        <v>19</v>
      </c>
      <c r="D162" t="s">
        <v>456</v>
      </c>
      <c r="E162">
        <v>5</v>
      </c>
    </row>
    <row r="163" spans="1:5" x14ac:dyDescent="0.25">
      <c r="A163" t="s">
        <v>166</v>
      </c>
      <c r="B163">
        <v>8</v>
      </c>
      <c r="D163" t="s">
        <v>336</v>
      </c>
      <c r="E163">
        <v>35</v>
      </c>
    </row>
    <row r="164" spans="1:5" x14ac:dyDescent="0.25">
      <c r="A164" t="s">
        <v>167</v>
      </c>
      <c r="B164">
        <v>26</v>
      </c>
      <c r="D164" t="s">
        <v>501</v>
      </c>
      <c r="E164">
        <v>1</v>
      </c>
    </row>
    <row r="165" spans="1:5" x14ac:dyDescent="0.25">
      <c r="A165" t="s">
        <v>168</v>
      </c>
      <c r="B165">
        <v>1</v>
      </c>
      <c r="D165" t="s">
        <v>382</v>
      </c>
      <c r="E165">
        <v>17</v>
      </c>
    </row>
    <row r="166" spans="1:5" x14ac:dyDescent="0.25">
      <c r="A166" t="s">
        <v>169</v>
      </c>
      <c r="B166">
        <v>4</v>
      </c>
      <c r="D166" t="s">
        <v>486</v>
      </c>
      <c r="E166">
        <v>2</v>
      </c>
    </row>
    <row r="167" spans="1:5" x14ac:dyDescent="0.25">
      <c r="A167" t="s">
        <v>170</v>
      </c>
      <c r="B167">
        <v>21</v>
      </c>
      <c r="D167" t="s">
        <v>330</v>
      </c>
      <c r="E167">
        <v>33</v>
      </c>
    </row>
    <row r="168" spans="1:5" x14ac:dyDescent="0.25">
      <c r="A168" t="s">
        <v>171</v>
      </c>
      <c r="B168">
        <v>1</v>
      </c>
      <c r="D168" t="s">
        <v>387</v>
      </c>
      <c r="E168">
        <v>16</v>
      </c>
    </row>
    <row r="169" spans="1:5" x14ac:dyDescent="0.25">
      <c r="A169" t="s">
        <v>172</v>
      </c>
      <c r="B169">
        <v>34</v>
      </c>
      <c r="D169" t="s">
        <v>388</v>
      </c>
      <c r="E169">
        <v>16</v>
      </c>
    </row>
    <row r="170" spans="1:5" x14ac:dyDescent="0.25">
      <c r="A170" t="s">
        <v>173</v>
      </c>
      <c r="B170">
        <v>27</v>
      </c>
      <c r="D170" t="s">
        <v>446</v>
      </c>
      <c r="E170">
        <v>6</v>
      </c>
    </row>
    <row r="171" spans="1:5" x14ac:dyDescent="0.25">
      <c r="A171" t="s">
        <v>174</v>
      </c>
      <c r="B171">
        <v>6</v>
      </c>
      <c r="D171" t="s">
        <v>404</v>
      </c>
      <c r="E171">
        <v>12</v>
      </c>
    </row>
    <row r="172" spans="1:5" x14ac:dyDescent="0.25">
      <c r="A172" t="s">
        <v>175</v>
      </c>
      <c r="B172">
        <v>20</v>
      </c>
      <c r="D172" t="s">
        <v>376</v>
      </c>
      <c r="E172">
        <v>18</v>
      </c>
    </row>
    <row r="173" spans="1:5" x14ac:dyDescent="0.25">
      <c r="A173" t="s">
        <v>176</v>
      </c>
      <c r="B173">
        <v>2</v>
      </c>
      <c r="D173" t="s">
        <v>376</v>
      </c>
      <c r="E173">
        <v>11</v>
      </c>
    </row>
    <row r="174" spans="1:5" x14ac:dyDescent="0.25">
      <c r="A174" t="s">
        <v>177</v>
      </c>
      <c r="B174">
        <v>2</v>
      </c>
      <c r="D174" t="s">
        <v>447</v>
      </c>
      <c r="E174">
        <v>5</v>
      </c>
    </row>
    <row r="175" spans="1:5" x14ac:dyDescent="0.25">
      <c r="A175" t="s">
        <v>178</v>
      </c>
      <c r="B175">
        <v>41</v>
      </c>
      <c r="D175" t="s">
        <v>460</v>
      </c>
      <c r="E175">
        <v>4</v>
      </c>
    </row>
    <row r="176" spans="1:5" x14ac:dyDescent="0.25">
      <c r="A176" t="s">
        <v>179</v>
      </c>
      <c r="B176">
        <v>9</v>
      </c>
      <c r="D176" t="s">
        <v>371</v>
      </c>
      <c r="E176">
        <v>19</v>
      </c>
    </row>
    <row r="177" spans="1:5" x14ac:dyDescent="0.25">
      <c r="A177" t="s">
        <v>180</v>
      </c>
      <c r="B177">
        <v>22</v>
      </c>
      <c r="D177" t="s">
        <v>372</v>
      </c>
      <c r="E177">
        <v>19</v>
      </c>
    </row>
    <row r="178" spans="1:5" x14ac:dyDescent="0.25">
      <c r="A178" t="s">
        <v>181</v>
      </c>
      <c r="B178">
        <v>24</v>
      </c>
      <c r="D178" t="s">
        <v>352</v>
      </c>
      <c r="E178">
        <v>24</v>
      </c>
    </row>
    <row r="179" spans="1:5" x14ac:dyDescent="0.25">
      <c r="A179" t="s">
        <v>182</v>
      </c>
      <c r="B179">
        <v>44</v>
      </c>
      <c r="D179" t="s">
        <v>332</v>
      </c>
      <c r="E179">
        <v>30</v>
      </c>
    </row>
    <row r="180" spans="1:5" x14ac:dyDescent="0.25">
      <c r="A180" t="s">
        <v>183</v>
      </c>
      <c r="B180">
        <v>20</v>
      </c>
      <c r="D180" t="s">
        <v>334</v>
      </c>
      <c r="E180">
        <v>29</v>
      </c>
    </row>
    <row r="181" spans="1:5" x14ac:dyDescent="0.25">
      <c r="A181" t="s">
        <v>184</v>
      </c>
      <c r="B181">
        <v>20</v>
      </c>
      <c r="D181" t="s">
        <v>386</v>
      </c>
      <c r="E181">
        <v>16</v>
      </c>
    </row>
    <row r="182" spans="1:5" x14ac:dyDescent="0.25">
      <c r="A182" t="s">
        <v>185</v>
      </c>
      <c r="B182">
        <v>2</v>
      </c>
      <c r="D182" t="s">
        <v>319</v>
      </c>
      <c r="E182">
        <v>39</v>
      </c>
    </row>
    <row r="183" spans="1:5" x14ac:dyDescent="0.25">
      <c r="A183" t="s">
        <v>186</v>
      </c>
      <c r="B183">
        <v>14</v>
      </c>
      <c r="D183" t="s">
        <v>317</v>
      </c>
      <c r="E183">
        <v>40</v>
      </c>
    </row>
    <row r="184" spans="1:5" x14ac:dyDescent="0.25">
      <c r="A184" t="s">
        <v>187</v>
      </c>
      <c r="B184">
        <v>27</v>
      </c>
      <c r="D184" t="s">
        <v>359</v>
      </c>
      <c r="E184">
        <v>23</v>
      </c>
    </row>
    <row r="185" spans="1:5" x14ac:dyDescent="0.25">
      <c r="A185" t="s">
        <v>188</v>
      </c>
      <c r="B185">
        <v>48</v>
      </c>
      <c r="D185" t="s">
        <v>396</v>
      </c>
      <c r="E185">
        <v>14</v>
      </c>
    </row>
    <row r="186" spans="1:5" x14ac:dyDescent="0.25">
      <c r="A186" t="s">
        <v>189</v>
      </c>
      <c r="B186">
        <v>21</v>
      </c>
      <c r="D186" t="s">
        <v>437</v>
      </c>
      <c r="E186">
        <v>6</v>
      </c>
    </row>
    <row r="187" spans="1:5" x14ac:dyDescent="0.25">
      <c r="A187" t="s">
        <v>190</v>
      </c>
      <c r="B187">
        <v>14</v>
      </c>
      <c r="D187" t="s">
        <v>347</v>
      </c>
      <c r="E187">
        <v>25</v>
      </c>
    </row>
    <row r="188" spans="1:5" x14ac:dyDescent="0.25">
      <c r="A188" t="s">
        <v>191</v>
      </c>
      <c r="B188">
        <v>21</v>
      </c>
      <c r="D188" t="s">
        <v>377</v>
      </c>
      <c r="E188">
        <v>18</v>
      </c>
    </row>
    <row r="189" spans="1:5" x14ac:dyDescent="0.25">
      <c r="A189" t="s">
        <v>192</v>
      </c>
      <c r="B189">
        <v>14</v>
      </c>
      <c r="D189" t="s">
        <v>471</v>
      </c>
      <c r="E189">
        <v>3</v>
      </c>
    </row>
    <row r="190" spans="1:5" x14ac:dyDescent="0.25">
      <c r="A190" t="s">
        <v>193</v>
      </c>
      <c r="B190">
        <v>2</v>
      </c>
      <c r="D190" t="s">
        <v>335</v>
      </c>
      <c r="E190">
        <v>29</v>
      </c>
    </row>
    <row r="191" spans="1:5" x14ac:dyDescent="0.25">
      <c r="A191" t="s">
        <v>194</v>
      </c>
      <c r="B191">
        <v>10</v>
      </c>
      <c r="D191" t="s">
        <v>313</v>
      </c>
      <c r="E191">
        <v>49</v>
      </c>
    </row>
    <row r="192" spans="1:5" x14ac:dyDescent="0.25">
      <c r="A192" t="s">
        <v>195</v>
      </c>
      <c r="B192">
        <v>9</v>
      </c>
      <c r="D192" t="s">
        <v>362</v>
      </c>
      <c r="E192">
        <v>21</v>
      </c>
    </row>
    <row r="193" spans="1:5" x14ac:dyDescent="0.25">
      <c r="A193" t="s">
        <v>196</v>
      </c>
      <c r="B193">
        <v>6</v>
      </c>
      <c r="D193" t="s">
        <v>341</v>
      </c>
      <c r="E193">
        <v>27</v>
      </c>
    </row>
    <row r="194" spans="1:5" x14ac:dyDescent="0.25">
      <c r="A194" t="s">
        <v>197</v>
      </c>
      <c r="B194">
        <v>16</v>
      </c>
      <c r="D194" t="s">
        <v>318</v>
      </c>
      <c r="E194">
        <v>39</v>
      </c>
    </row>
    <row r="195" spans="1:5" x14ac:dyDescent="0.25">
      <c r="A195" t="s">
        <v>198</v>
      </c>
      <c r="B195">
        <v>17</v>
      </c>
      <c r="D195" t="s">
        <v>392</v>
      </c>
      <c r="E195">
        <v>14</v>
      </c>
    </row>
    <row r="196" spans="1:5" x14ac:dyDescent="0.25">
      <c r="A196" t="s">
        <v>199</v>
      </c>
      <c r="B196">
        <v>8</v>
      </c>
      <c r="D196" t="s">
        <v>440</v>
      </c>
      <c r="E196">
        <v>6</v>
      </c>
    </row>
    <row r="197" spans="1:5" x14ac:dyDescent="0.25">
      <c r="A197" t="s">
        <v>200</v>
      </c>
      <c r="B197">
        <v>16</v>
      </c>
      <c r="D197" t="s">
        <v>434</v>
      </c>
      <c r="E197">
        <v>7</v>
      </c>
    </row>
    <row r="198" spans="1:5" x14ac:dyDescent="0.25">
      <c r="A198" t="s">
        <v>201</v>
      </c>
      <c r="B198">
        <v>41</v>
      </c>
      <c r="D198" t="s">
        <v>358</v>
      </c>
      <c r="E198">
        <v>23</v>
      </c>
    </row>
    <row r="199" spans="1:5" x14ac:dyDescent="0.25">
      <c r="A199" t="s">
        <v>202</v>
      </c>
      <c r="B199">
        <v>27</v>
      </c>
      <c r="D199" t="s">
        <v>466</v>
      </c>
      <c r="E199">
        <v>3</v>
      </c>
    </row>
    <row r="200" spans="1:5" x14ac:dyDescent="0.25">
      <c r="A200" t="s">
        <v>203</v>
      </c>
      <c r="B200">
        <v>15</v>
      </c>
      <c r="D200" t="s">
        <v>385</v>
      </c>
      <c r="E200">
        <v>16</v>
      </c>
    </row>
    <row r="201" spans="1:5" x14ac:dyDescent="0.25">
      <c r="A201" t="s">
        <v>204</v>
      </c>
      <c r="B201">
        <v>9</v>
      </c>
      <c r="D201" t="s">
        <v>439</v>
      </c>
      <c r="E201">
        <v>6</v>
      </c>
    </row>
    <row r="202" spans="1:5" x14ac:dyDescent="0.25">
      <c r="A202" t="s">
        <v>205</v>
      </c>
      <c r="B202">
        <v>24</v>
      </c>
      <c r="D202" t="s">
        <v>498</v>
      </c>
      <c r="E202">
        <v>1</v>
      </c>
    </row>
    <row r="203" spans="1:5" x14ac:dyDescent="0.25">
      <c r="A203" t="s">
        <v>206</v>
      </c>
      <c r="B203">
        <v>17</v>
      </c>
      <c r="D203" t="s">
        <v>366</v>
      </c>
      <c r="E203">
        <v>20</v>
      </c>
    </row>
    <row r="204" spans="1:5" x14ac:dyDescent="0.25">
      <c r="A204" t="s">
        <v>207</v>
      </c>
      <c r="B204">
        <v>43</v>
      </c>
      <c r="D204" t="s">
        <v>494</v>
      </c>
      <c r="E204">
        <v>2</v>
      </c>
    </row>
    <row r="205" spans="1:5" x14ac:dyDescent="0.25">
      <c r="A205" t="s">
        <v>208</v>
      </c>
      <c r="B205">
        <v>18</v>
      </c>
    </row>
    <row r="206" spans="1:5" x14ac:dyDescent="0.25">
      <c r="A206" t="s">
        <v>208</v>
      </c>
      <c r="B206">
        <v>29</v>
      </c>
    </row>
    <row r="207" spans="1:5" x14ac:dyDescent="0.25">
      <c r="A207" t="s">
        <v>209</v>
      </c>
      <c r="B207">
        <v>48</v>
      </c>
    </row>
    <row r="208" spans="1:5" x14ac:dyDescent="0.25">
      <c r="A208" t="s">
        <v>210</v>
      </c>
      <c r="B208">
        <v>22</v>
      </c>
    </row>
    <row r="209" spans="1:2" x14ac:dyDescent="0.25">
      <c r="A209" t="s">
        <v>211</v>
      </c>
      <c r="B209">
        <v>1</v>
      </c>
    </row>
    <row r="210" spans="1:2" x14ac:dyDescent="0.25">
      <c r="A210" t="s">
        <v>212</v>
      </c>
      <c r="B210">
        <v>18</v>
      </c>
    </row>
    <row r="211" spans="1:2" x14ac:dyDescent="0.25">
      <c r="A211" t="s">
        <v>213</v>
      </c>
      <c r="B211">
        <v>28</v>
      </c>
    </row>
    <row r="212" spans="1:2" x14ac:dyDescent="0.25">
      <c r="A212" t="s">
        <v>214</v>
      </c>
      <c r="B212">
        <v>29</v>
      </c>
    </row>
    <row r="213" spans="1:2" x14ac:dyDescent="0.25">
      <c r="A213" t="s">
        <v>215</v>
      </c>
      <c r="B213">
        <v>40</v>
      </c>
    </row>
    <row r="214" spans="1:2" x14ac:dyDescent="0.25">
      <c r="A214" t="s">
        <v>216</v>
      </c>
      <c r="B214">
        <v>9</v>
      </c>
    </row>
    <row r="215" spans="1:2" x14ac:dyDescent="0.25">
      <c r="A215" t="s">
        <v>217</v>
      </c>
      <c r="B215">
        <v>27</v>
      </c>
    </row>
    <row r="216" spans="1:2" x14ac:dyDescent="0.25">
      <c r="A216" t="s">
        <v>218</v>
      </c>
      <c r="B216">
        <v>3</v>
      </c>
    </row>
    <row r="217" spans="1:2" x14ac:dyDescent="0.25">
      <c r="A217" t="s">
        <v>219</v>
      </c>
      <c r="B217">
        <v>3</v>
      </c>
    </row>
    <row r="218" spans="1:2" x14ac:dyDescent="0.25">
      <c r="A218" t="s">
        <v>220</v>
      </c>
      <c r="B218">
        <v>39</v>
      </c>
    </row>
    <row r="219" spans="1:2" x14ac:dyDescent="0.25">
      <c r="A219" t="s">
        <v>221</v>
      </c>
      <c r="B219">
        <v>28</v>
      </c>
    </row>
    <row r="220" spans="1:2" x14ac:dyDescent="0.25">
      <c r="A220" t="s">
        <v>222</v>
      </c>
      <c r="B220">
        <v>46</v>
      </c>
    </row>
    <row r="221" spans="1:2" x14ac:dyDescent="0.25">
      <c r="A221" t="s">
        <v>223</v>
      </c>
      <c r="B221">
        <v>46</v>
      </c>
    </row>
    <row r="222" spans="1:2" x14ac:dyDescent="0.25">
      <c r="A222" t="s">
        <v>224</v>
      </c>
      <c r="B222">
        <v>3</v>
      </c>
    </row>
    <row r="223" spans="1:2" x14ac:dyDescent="0.25">
      <c r="A223" t="s">
        <v>225</v>
      </c>
      <c r="B223">
        <v>18</v>
      </c>
    </row>
    <row r="224" spans="1:2" x14ac:dyDescent="0.25">
      <c r="A224" t="s">
        <v>226</v>
      </c>
      <c r="B224">
        <v>3</v>
      </c>
    </row>
    <row r="225" spans="1:2" x14ac:dyDescent="0.25">
      <c r="A225" t="s">
        <v>227</v>
      </c>
      <c r="B225">
        <v>44</v>
      </c>
    </row>
    <row r="226" spans="1:2" x14ac:dyDescent="0.25">
      <c r="A226" t="s">
        <v>228</v>
      </c>
      <c r="B226">
        <v>49</v>
      </c>
    </row>
    <row r="227" spans="1:2" x14ac:dyDescent="0.25">
      <c r="A227" t="s">
        <v>229</v>
      </c>
      <c r="B227">
        <v>35</v>
      </c>
    </row>
    <row r="228" spans="1:2" x14ac:dyDescent="0.25">
      <c r="A228" t="s">
        <v>230</v>
      </c>
      <c r="B228">
        <v>22</v>
      </c>
    </row>
    <row r="229" spans="1:2" x14ac:dyDescent="0.25">
      <c r="A229" t="s">
        <v>231</v>
      </c>
      <c r="B229">
        <v>22</v>
      </c>
    </row>
    <row r="230" spans="1:2" x14ac:dyDescent="0.25">
      <c r="A230" t="s">
        <v>232</v>
      </c>
      <c r="B230">
        <v>3</v>
      </c>
    </row>
    <row r="231" spans="1:2" x14ac:dyDescent="0.25">
      <c r="A231" t="s">
        <v>233</v>
      </c>
      <c r="B231">
        <v>36</v>
      </c>
    </row>
    <row r="232" spans="1:2" x14ac:dyDescent="0.25">
      <c r="A232" t="s">
        <v>234</v>
      </c>
      <c r="B232">
        <v>18</v>
      </c>
    </row>
    <row r="233" spans="1:2" x14ac:dyDescent="0.25">
      <c r="A233" t="s">
        <v>235</v>
      </c>
      <c r="B233">
        <v>38</v>
      </c>
    </row>
    <row r="234" spans="1:2" x14ac:dyDescent="0.25">
      <c r="A234" t="s">
        <v>236</v>
      </c>
      <c r="B234">
        <v>20</v>
      </c>
    </row>
    <row r="235" spans="1:2" x14ac:dyDescent="0.25">
      <c r="A235" t="s">
        <v>237</v>
      </c>
      <c r="B235">
        <v>28</v>
      </c>
    </row>
    <row r="236" spans="1:2" x14ac:dyDescent="0.25">
      <c r="A236" t="s">
        <v>238</v>
      </c>
      <c r="B236">
        <v>12</v>
      </c>
    </row>
    <row r="237" spans="1:2" x14ac:dyDescent="0.25">
      <c r="A237" t="s">
        <v>239</v>
      </c>
      <c r="B237">
        <v>28</v>
      </c>
    </row>
    <row r="238" spans="1:2" x14ac:dyDescent="0.25">
      <c r="A238" t="s">
        <v>240</v>
      </c>
      <c r="B238">
        <v>4</v>
      </c>
    </row>
    <row r="239" spans="1:2" x14ac:dyDescent="0.25">
      <c r="A239" t="s">
        <v>241</v>
      </c>
      <c r="B239">
        <v>16</v>
      </c>
    </row>
    <row r="240" spans="1:2" x14ac:dyDescent="0.25">
      <c r="A240" t="s">
        <v>242</v>
      </c>
      <c r="B240">
        <v>15</v>
      </c>
    </row>
    <row r="241" spans="1:2" x14ac:dyDescent="0.25">
      <c r="A241" t="s">
        <v>243</v>
      </c>
      <c r="B241">
        <v>29</v>
      </c>
    </row>
    <row r="242" spans="1:2" x14ac:dyDescent="0.25">
      <c r="A242" t="s">
        <v>244</v>
      </c>
      <c r="B242">
        <v>19</v>
      </c>
    </row>
    <row r="243" spans="1:2" x14ac:dyDescent="0.25">
      <c r="A243" t="s">
        <v>245</v>
      </c>
      <c r="B243">
        <v>40</v>
      </c>
    </row>
    <row r="244" spans="1:2" x14ac:dyDescent="0.25">
      <c r="A244" t="s">
        <v>246</v>
      </c>
      <c r="B244">
        <v>32</v>
      </c>
    </row>
    <row r="245" spans="1:2" x14ac:dyDescent="0.25">
      <c r="A245" t="s">
        <v>247</v>
      </c>
      <c r="B245">
        <v>39</v>
      </c>
    </row>
    <row r="246" spans="1:2" x14ac:dyDescent="0.25">
      <c r="A246" t="s">
        <v>248</v>
      </c>
      <c r="B246">
        <v>49</v>
      </c>
    </row>
    <row r="247" spans="1:2" x14ac:dyDescent="0.25">
      <c r="A247" t="s">
        <v>249</v>
      </c>
      <c r="B247">
        <v>42</v>
      </c>
    </row>
    <row r="248" spans="1:2" x14ac:dyDescent="0.25">
      <c r="A248" t="s">
        <v>250</v>
      </c>
      <c r="B248">
        <v>33</v>
      </c>
    </row>
    <row r="249" spans="1:2" x14ac:dyDescent="0.25">
      <c r="A249" t="s">
        <v>251</v>
      </c>
      <c r="B249">
        <v>2</v>
      </c>
    </row>
    <row r="250" spans="1:2" x14ac:dyDescent="0.25">
      <c r="A250" t="s">
        <v>252</v>
      </c>
      <c r="B250">
        <v>31</v>
      </c>
    </row>
    <row r="251" spans="1:2" x14ac:dyDescent="0.25">
      <c r="A251" t="s">
        <v>253</v>
      </c>
      <c r="B251">
        <v>13</v>
      </c>
    </row>
    <row r="252" spans="1:2" x14ac:dyDescent="0.25">
      <c r="A252" t="s">
        <v>254</v>
      </c>
      <c r="B252">
        <v>38</v>
      </c>
    </row>
    <row r="253" spans="1:2" x14ac:dyDescent="0.25">
      <c r="A253" t="s">
        <v>255</v>
      </c>
      <c r="B253">
        <v>47</v>
      </c>
    </row>
    <row r="254" spans="1:2" x14ac:dyDescent="0.25">
      <c r="A254" t="s">
        <v>256</v>
      </c>
      <c r="B254">
        <v>17</v>
      </c>
    </row>
    <row r="255" spans="1:2" x14ac:dyDescent="0.25">
      <c r="A255" t="s">
        <v>257</v>
      </c>
      <c r="B255">
        <v>36</v>
      </c>
    </row>
    <row r="256" spans="1:2" x14ac:dyDescent="0.25">
      <c r="A256" t="s">
        <v>258</v>
      </c>
      <c r="B256">
        <v>7</v>
      </c>
    </row>
    <row r="257" spans="1:2" x14ac:dyDescent="0.25">
      <c r="A257" t="s">
        <v>259</v>
      </c>
      <c r="B257">
        <v>45</v>
      </c>
    </row>
    <row r="258" spans="1:2" x14ac:dyDescent="0.25">
      <c r="A258" t="s">
        <v>260</v>
      </c>
      <c r="B258">
        <v>21</v>
      </c>
    </row>
    <row r="259" spans="1:2" x14ac:dyDescent="0.25">
      <c r="A259" t="s">
        <v>261</v>
      </c>
      <c r="B259">
        <v>37</v>
      </c>
    </row>
    <row r="260" spans="1:2" x14ac:dyDescent="0.25">
      <c r="A260" t="s">
        <v>262</v>
      </c>
      <c r="B260">
        <v>5</v>
      </c>
    </row>
    <row r="261" spans="1:2" x14ac:dyDescent="0.25">
      <c r="A261" t="s">
        <v>263</v>
      </c>
      <c r="B261">
        <v>44</v>
      </c>
    </row>
    <row r="262" spans="1:2" x14ac:dyDescent="0.25">
      <c r="A262" t="s">
        <v>264</v>
      </c>
      <c r="B262">
        <v>30</v>
      </c>
    </row>
    <row r="263" spans="1:2" x14ac:dyDescent="0.25">
      <c r="A263" t="s">
        <v>265</v>
      </c>
      <c r="B263">
        <v>28</v>
      </c>
    </row>
    <row r="264" spans="1:2" x14ac:dyDescent="0.25">
      <c r="A264" t="s">
        <v>266</v>
      </c>
      <c r="B264">
        <v>39</v>
      </c>
    </row>
    <row r="265" spans="1:2" x14ac:dyDescent="0.25">
      <c r="A265" t="s">
        <v>267</v>
      </c>
      <c r="B265">
        <v>39</v>
      </c>
    </row>
    <row r="266" spans="1:2" x14ac:dyDescent="0.25">
      <c r="A266" t="s">
        <v>268</v>
      </c>
      <c r="B266">
        <v>29</v>
      </c>
    </row>
    <row r="267" spans="1:2" x14ac:dyDescent="0.25">
      <c r="A267" t="s">
        <v>269</v>
      </c>
      <c r="B267">
        <v>21</v>
      </c>
    </row>
    <row r="268" spans="1:2" x14ac:dyDescent="0.25">
      <c r="A268" t="s">
        <v>270</v>
      </c>
      <c r="B268">
        <v>7</v>
      </c>
    </row>
    <row r="269" spans="1:2" x14ac:dyDescent="0.25">
      <c r="A269" t="s">
        <v>270</v>
      </c>
      <c r="B269">
        <v>28</v>
      </c>
    </row>
    <row r="270" spans="1:2" x14ac:dyDescent="0.25">
      <c r="A270" t="s">
        <v>271</v>
      </c>
      <c r="B270">
        <v>30</v>
      </c>
    </row>
    <row r="271" spans="1:2" x14ac:dyDescent="0.25">
      <c r="A271" t="s">
        <v>272</v>
      </c>
      <c r="B271">
        <v>43</v>
      </c>
    </row>
    <row r="272" spans="1:2" x14ac:dyDescent="0.25">
      <c r="A272" t="s">
        <v>273</v>
      </c>
      <c r="B272">
        <v>5</v>
      </c>
    </row>
    <row r="273" spans="1:2" x14ac:dyDescent="0.25">
      <c r="A273" t="s">
        <v>274</v>
      </c>
      <c r="B273">
        <v>42</v>
      </c>
    </row>
    <row r="274" spans="1:2" x14ac:dyDescent="0.25">
      <c r="A274" t="s">
        <v>275</v>
      </c>
      <c r="B274">
        <v>40</v>
      </c>
    </row>
    <row r="275" spans="1:2" x14ac:dyDescent="0.25">
      <c r="A275" t="s">
        <v>276</v>
      </c>
      <c r="B275">
        <v>10</v>
      </c>
    </row>
    <row r="276" spans="1:2" x14ac:dyDescent="0.25">
      <c r="A276" t="s">
        <v>277</v>
      </c>
      <c r="B276">
        <v>34</v>
      </c>
    </row>
    <row r="277" spans="1:2" x14ac:dyDescent="0.25">
      <c r="A277" t="s">
        <v>278</v>
      </c>
      <c r="B277">
        <v>1</v>
      </c>
    </row>
    <row r="278" spans="1:2" x14ac:dyDescent="0.25">
      <c r="A278" t="s">
        <v>279</v>
      </c>
      <c r="B278">
        <v>37</v>
      </c>
    </row>
    <row r="279" spans="1:2" x14ac:dyDescent="0.25">
      <c r="A279" t="s">
        <v>280</v>
      </c>
      <c r="B279">
        <v>11</v>
      </c>
    </row>
    <row r="280" spans="1:2" x14ac:dyDescent="0.25">
      <c r="A280" t="s">
        <v>281</v>
      </c>
      <c r="B280">
        <v>3</v>
      </c>
    </row>
    <row r="281" spans="1:2" x14ac:dyDescent="0.25">
      <c r="A281" t="s">
        <v>282</v>
      </c>
      <c r="B281">
        <v>4</v>
      </c>
    </row>
    <row r="282" spans="1:2" x14ac:dyDescent="0.25">
      <c r="A282" t="s">
        <v>283</v>
      </c>
      <c r="B282">
        <v>43</v>
      </c>
    </row>
    <row r="283" spans="1:2" x14ac:dyDescent="0.25">
      <c r="A283" t="s">
        <v>284</v>
      </c>
      <c r="B283">
        <v>47</v>
      </c>
    </row>
    <row r="284" spans="1:2" x14ac:dyDescent="0.25">
      <c r="A284" t="s">
        <v>285</v>
      </c>
      <c r="B284">
        <v>42</v>
      </c>
    </row>
    <row r="285" spans="1:2" x14ac:dyDescent="0.25">
      <c r="A285" t="s">
        <v>286</v>
      </c>
      <c r="B285">
        <v>24</v>
      </c>
    </row>
    <row r="286" spans="1:2" x14ac:dyDescent="0.25">
      <c r="A286" t="s">
        <v>287</v>
      </c>
      <c r="B286">
        <v>2</v>
      </c>
    </row>
    <row r="287" spans="1:2" x14ac:dyDescent="0.25">
      <c r="A287" t="s">
        <v>288</v>
      </c>
      <c r="B287">
        <v>2</v>
      </c>
    </row>
    <row r="288" spans="1:2" x14ac:dyDescent="0.25">
      <c r="A288" t="s">
        <v>289</v>
      </c>
      <c r="B288">
        <v>3</v>
      </c>
    </row>
    <row r="289" spans="1:2" x14ac:dyDescent="0.25">
      <c r="A289" t="s">
        <v>290</v>
      </c>
      <c r="B289">
        <v>29</v>
      </c>
    </row>
    <row r="290" spans="1:2" x14ac:dyDescent="0.25">
      <c r="A290" t="s">
        <v>291</v>
      </c>
      <c r="B290">
        <v>48</v>
      </c>
    </row>
    <row r="291" spans="1:2" x14ac:dyDescent="0.25">
      <c r="A291" t="s">
        <v>292</v>
      </c>
      <c r="B291">
        <v>48</v>
      </c>
    </row>
    <row r="292" spans="1:2" x14ac:dyDescent="0.25">
      <c r="A292" t="s">
        <v>293</v>
      </c>
      <c r="B292">
        <v>1</v>
      </c>
    </row>
    <row r="293" spans="1:2" x14ac:dyDescent="0.25">
      <c r="A293" t="s">
        <v>294</v>
      </c>
      <c r="B293">
        <v>15</v>
      </c>
    </row>
    <row r="294" spans="1:2" x14ac:dyDescent="0.25">
      <c r="A294" t="s">
        <v>295</v>
      </c>
      <c r="B294">
        <v>1</v>
      </c>
    </row>
    <row r="295" spans="1:2" x14ac:dyDescent="0.25">
      <c r="A295" t="s">
        <v>296</v>
      </c>
      <c r="B295">
        <v>17</v>
      </c>
    </row>
    <row r="296" spans="1:2" x14ac:dyDescent="0.25">
      <c r="A296" t="s">
        <v>297</v>
      </c>
      <c r="B296">
        <v>24</v>
      </c>
    </row>
    <row r="297" spans="1:2" x14ac:dyDescent="0.25">
      <c r="A297" t="s">
        <v>298</v>
      </c>
      <c r="B297">
        <v>31</v>
      </c>
    </row>
    <row r="298" spans="1:2" x14ac:dyDescent="0.25">
      <c r="A298" t="s">
        <v>299</v>
      </c>
      <c r="B298">
        <v>12</v>
      </c>
    </row>
    <row r="299" spans="1:2" x14ac:dyDescent="0.25">
      <c r="A299" t="s">
        <v>300</v>
      </c>
      <c r="B299">
        <v>17</v>
      </c>
    </row>
    <row r="300" spans="1:2" x14ac:dyDescent="0.25">
      <c r="A300" t="s">
        <v>301</v>
      </c>
      <c r="B300">
        <v>32</v>
      </c>
    </row>
    <row r="301" spans="1:2" x14ac:dyDescent="0.25">
      <c r="A301" t="s">
        <v>302</v>
      </c>
      <c r="B301">
        <v>20</v>
      </c>
    </row>
    <row r="302" spans="1:2" x14ac:dyDescent="0.25">
      <c r="A302" t="s">
        <v>303</v>
      </c>
      <c r="B302">
        <v>14</v>
      </c>
    </row>
    <row r="303" spans="1:2" x14ac:dyDescent="0.25">
      <c r="A303" t="s">
        <v>304</v>
      </c>
      <c r="B303">
        <v>14</v>
      </c>
    </row>
    <row r="304" spans="1:2" x14ac:dyDescent="0.25">
      <c r="A304" t="s">
        <v>305</v>
      </c>
      <c r="B304">
        <v>17</v>
      </c>
    </row>
    <row r="305" spans="1:2" x14ac:dyDescent="0.25">
      <c r="A305" t="s">
        <v>306</v>
      </c>
      <c r="B305">
        <v>16</v>
      </c>
    </row>
    <row r="306" spans="1:2" x14ac:dyDescent="0.25">
      <c r="A306" t="s">
        <v>307</v>
      </c>
      <c r="B306">
        <v>11</v>
      </c>
    </row>
    <row r="307" spans="1:2" x14ac:dyDescent="0.25">
      <c r="A307" t="s">
        <v>308</v>
      </c>
      <c r="B307">
        <v>45</v>
      </c>
    </row>
    <row r="308" spans="1:2" x14ac:dyDescent="0.25">
      <c r="A308" t="s">
        <v>309</v>
      </c>
      <c r="B308">
        <v>16</v>
      </c>
    </row>
  </sheetData>
  <sortState ref="D2:E204">
    <sortCondition ref="D2:D204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List_Things">
                <anchor moveWithCells="1" sizeWithCells="1">
                  <from>
                    <xdr:col>6</xdr:col>
                    <xdr:colOff>9525</xdr:colOff>
                    <xdr:row>0</xdr:row>
                    <xdr:rowOff>171450</xdr:rowOff>
                  </from>
                  <to>
                    <xdr:col>6</xdr:col>
                    <xdr:colOff>3638550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lear_Things">
                <anchor moveWithCells="1" sizeWithCells="1">
                  <from>
                    <xdr:col>11</xdr:col>
                    <xdr:colOff>9525</xdr:colOff>
                    <xdr:row>0</xdr:row>
                    <xdr:rowOff>19050</xdr:rowOff>
                  </from>
                  <to>
                    <xdr:col>11</xdr:col>
                    <xdr:colOff>1609725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List_Felt">
                <anchor moveWithCells="1" sizeWithCells="1">
                  <from>
                    <xdr:col>7</xdr:col>
                    <xdr:colOff>0</xdr:colOff>
                    <xdr:row>0</xdr:row>
                    <xdr:rowOff>180975</xdr:rowOff>
                  </from>
                  <to>
                    <xdr:col>8</xdr:col>
                    <xdr:colOff>3848100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lear_Felt">
                <anchor moveWithCells="1" sizeWithCells="1">
                  <from>
                    <xdr:col>11</xdr:col>
                    <xdr:colOff>19050</xdr:colOff>
                    <xdr:row>2</xdr:row>
                    <xdr:rowOff>28575</xdr:rowOff>
                  </from>
                  <to>
                    <xdr:col>11</xdr:col>
                    <xdr:colOff>1609725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Button 10">
              <controlPr defaultSize="0" print="0" autoFill="0" autoPict="0" macro="[0]!Reset">
                <anchor moveWithCells="1" sizeWithCells="1">
                  <from>
                    <xdr:col>12</xdr:col>
                    <xdr:colOff>28575</xdr:colOff>
                    <xdr:row>0</xdr:row>
                    <xdr:rowOff>9525</xdr:rowOff>
                  </from>
                  <to>
                    <xdr:col>13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Button 11">
              <controlPr defaultSize="0" print="0" autoFill="0" autoPict="0" macro="[0]!Predict">
                <anchor moveWithCells="1" sizeWithCells="1">
                  <from>
                    <xdr:col>9</xdr:col>
                    <xdr:colOff>600075</xdr:colOff>
                    <xdr:row>0</xdr:row>
                    <xdr:rowOff>19050</xdr:rowOff>
                  </from>
                  <to>
                    <xdr:col>10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52"/>
  <sheetViews>
    <sheetView tabSelected="1" topLeftCell="K1" workbookViewId="0">
      <selection activeCell="K53" sqref="A53:XFD1048576"/>
    </sheetView>
  </sheetViews>
  <sheetFormatPr defaultColWidth="0" defaultRowHeight="15" zeroHeight="1" x14ac:dyDescent="0.25"/>
  <cols>
    <col min="1" max="1" width="0" style="1" hidden="1" customWidth="1"/>
    <col min="2" max="2" width="10.140625" style="1" hidden="1" customWidth="1"/>
    <col min="3" max="3" width="14.7109375" style="1" hidden="1" customWidth="1"/>
    <col min="4" max="10" width="0" style="1" hidden="1" customWidth="1"/>
    <col min="11" max="12" width="9.140625" style="1" customWidth="1"/>
    <col min="13" max="13" width="8.42578125" style="3" customWidth="1"/>
    <col min="14" max="18" width="7.42578125" style="1" bestFit="1" customWidth="1"/>
    <col min="19" max="19" width="17.85546875" style="3" customWidth="1"/>
    <col min="20" max="26" width="9.140625" style="1" customWidth="1"/>
    <col min="27" max="16384" width="9.140625" style="1" hidden="1"/>
  </cols>
  <sheetData>
    <row r="1" spans="2:18" x14ac:dyDescent="0.25">
      <c r="B1" s="3">
        <f>COUNTIF(B2:B4,7)</f>
        <v>3</v>
      </c>
      <c r="D1" s="3">
        <v>1</v>
      </c>
      <c r="E1" s="3">
        <v>2</v>
      </c>
      <c r="F1" s="3">
        <v>3</v>
      </c>
      <c r="G1" s="3">
        <v>4</v>
      </c>
      <c r="H1" s="3">
        <v>7</v>
      </c>
      <c r="I1" s="3">
        <v>8</v>
      </c>
      <c r="J1" s="3">
        <v>9</v>
      </c>
      <c r="N1" s="3" t="s">
        <v>513</v>
      </c>
      <c r="O1" s="3" t="s">
        <v>514</v>
      </c>
      <c r="P1" s="3" t="s">
        <v>515</v>
      </c>
      <c r="Q1" s="3" t="s">
        <v>516</v>
      </c>
      <c r="R1" s="3" t="s">
        <v>517</v>
      </c>
    </row>
    <row r="2" spans="2:18" x14ac:dyDescent="0.25">
      <c r="B2" s="3">
        <f>SUM(N2:R2)</f>
        <v>7</v>
      </c>
      <c r="C2" s="1" t="s">
        <v>527</v>
      </c>
      <c r="D2" s="3"/>
      <c r="E2" s="3"/>
      <c r="F2" s="3"/>
      <c r="G2" s="3"/>
      <c r="H2" s="3"/>
      <c r="I2" s="3"/>
      <c r="J2" s="3"/>
      <c r="N2" s="2">
        <f>N5</f>
        <v>7</v>
      </c>
      <c r="O2" s="2">
        <f>O5</f>
        <v>0</v>
      </c>
      <c r="P2" s="2">
        <f t="shared" ref="P2:R2" si="0">P5</f>
        <v>0</v>
      </c>
      <c r="Q2" s="2">
        <f t="shared" si="0"/>
        <v>0</v>
      </c>
      <c r="R2" s="2">
        <f t="shared" si="0"/>
        <v>0</v>
      </c>
    </row>
    <row r="3" spans="2:18" x14ac:dyDescent="0.25">
      <c r="B3" s="3">
        <f>SUM(N7:O7)</f>
        <v>7</v>
      </c>
      <c r="C3" s="1" t="s">
        <v>525</v>
      </c>
      <c r="D3" s="3">
        <v>1</v>
      </c>
      <c r="E3" s="3">
        <v>2</v>
      </c>
      <c r="F3" s="3">
        <v>3</v>
      </c>
      <c r="G3" s="3">
        <v>4</v>
      </c>
      <c r="H3" s="3">
        <v>5</v>
      </c>
      <c r="I3" s="3">
        <v>6</v>
      </c>
      <c r="J3" s="3">
        <v>7</v>
      </c>
      <c r="N3" s="3">
        <v>7</v>
      </c>
      <c r="O3" s="3">
        <v>0</v>
      </c>
      <c r="P3" s="3">
        <v>0</v>
      </c>
      <c r="Q3" s="3">
        <v>0</v>
      </c>
      <c r="R3" s="3">
        <v>0</v>
      </c>
    </row>
    <row r="4" spans="2:18" x14ac:dyDescent="0.25">
      <c r="B4" s="3">
        <f>SUM(Q7:R7)</f>
        <v>7</v>
      </c>
      <c r="C4" s="1" t="s">
        <v>526</v>
      </c>
      <c r="D4" s="3">
        <v>3</v>
      </c>
      <c r="E4" s="3">
        <v>4</v>
      </c>
      <c r="F4" s="3">
        <v>5</v>
      </c>
      <c r="G4" s="3">
        <v>6</v>
      </c>
      <c r="H4" s="3">
        <v>7</v>
      </c>
      <c r="I4" s="3">
        <v>8</v>
      </c>
      <c r="J4" s="3">
        <v>9</v>
      </c>
      <c r="N4" s="3">
        <f>7-N5</f>
        <v>0</v>
      </c>
      <c r="O4" s="3">
        <f>7-N5-O5</f>
        <v>0</v>
      </c>
      <c r="P4" s="3">
        <f>7-N5-O5-P5</f>
        <v>0</v>
      </c>
      <c r="Q4" s="3">
        <f>7-N5-O5-P5-Q5</f>
        <v>0</v>
      </c>
      <c r="R4" s="3">
        <f>7-N5-O5-P5-Q5-R5</f>
        <v>0</v>
      </c>
    </row>
    <row r="5" spans="2:18" x14ac:dyDescent="0.25">
      <c r="D5" s="3">
        <v>1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J5" s="3">
        <v>0</v>
      </c>
      <c r="N5" s="3">
        <f>N3</f>
        <v>7</v>
      </c>
      <c r="O5" s="3">
        <f>IF(O3&lt;N4,O3,N4)</f>
        <v>0</v>
      </c>
      <c r="P5" s="3">
        <f t="shared" ref="P5:R5" si="1">IF(P3&lt;O4,P3,O4)</f>
        <v>0</v>
      </c>
      <c r="Q5" s="3">
        <f t="shared" si="1"/>
        <v>0</v>
      </c>
      <c r="R5" s="3">
        <f t="shared" si="1"/>
        <v>0</v>
      </c>
    </row>
    <row r="6" spans="2:18" x14ac:dyDescent="0.25">
      <c r="B6" s="1" t="s">
        <v>518</v>
      </c>
      <c r="C6" s="3">
        <f>COUNTIF(D6:J6,TRUE)</f>
        <v>4</v>
      </c>
      <c r="D6" s="1" t="b">
        <f>ISODD(D1)</f>
        <v>1</v>
      </c>
      <c r="E6" s="1" t="b">
        <f t="shared" ref="E6:J6" si="2">ISODD(E1)</f>
        <v>0</v>
      </c>
      <c r="F6" s="1" t="b">
        <f t="shared" si="2"/>
        <v>1</v>
      </c>
      <c r="G6" s="1" t="b">
        <f t="shared" si="2"/>
        <v>0</v>
      </c>
      <c r="H6" s="1" t="b">
        <f t="shared" si="2"/>
        <v>1</v>
      </c>
      <c r="I6" s="1" t="b">
        <f t="shared" si="2"/>
        <v>0</v>
      </c>
      <c r="J6" s="1" t="b">
        <f t="shared" si="2"/>
        <v>1</v>
      </c>
      <c r="N6" s="3" t="s">
        <v>518</v>
      </c>
      <c r="O6" s="3" t="s">
        <v>519</v>
      </c>
      <c r="P6" s="3" t="s">
        <v>524</v>
      </c>
      <c r="Q6" s="3" t="s">
        <v>520</v>
      </c>
      <c r="R6" s="3" t="s">
        <v>521</v>
      </c>
    </row>
    <row r="7" spans="2:18" x14ac:dyDescent="0.25">
      <c r="B7" s="1" t="s">
        <v>519</v>
      </c>
      <c r="C7" s="3">
        <f>COUNTIF(D7:J7,TRUE)</f>
        <v>3</v>
      </c>
      <c r="D7" s="1" t="b">
        <f>ISEVEN(D1)</f>
        <v>0</v>
      </c>
      <c r="E7" s="1" t="b">
        <f t="shared" ref="E7:J7" si="3">ISEVEN(E1)</f>
        <v>1</v>
      </c>
      <c r="F7" s="1" t="b">
        <f t="shared" si="3"/>
        <v>0</v>
      </c>
      <c r="G7" s="1" t="b">
        <f t="shared" si="3"/>
        <v>1</v>
      </c>
      <c r="H7" s="1" t="b">
        <f t="shared" si="3"/>
        <v>0</v>
      </c>
      <c r="I7" s="1" t="b">
        <f t="shared" si="3"/>
        <v>1</v>
      </c>
      <c r="J7" s="1" t="b">
        <f t="shared" si="3"/>
        <v>0</v>
      </c>
      <c r="N7" s="2">
        <f>N8</f>
        <v>4</v>
      </c>
      <c r="O7" s="2">
        <f>O9</f>
        <v>3</v>
      </c>
      <c r="P7" s="2">
        <f>P8</f>
        <v>2</v>
      </c>
      <c r="Q7" s="2">
        <f>Q8</f>
        <v>7</v>
      </c>
      <c r="R7" s="2">
        <f>R9</f>
        <v>0</v>
      </c>
    </row>
    <row r="8" spans="2:18" x14ac:dyDescent="0.25">
      <c r="B8" s="1" t="s">
        <v>520</v>
      </c>
      <c r="C8" s="3">
        <f t="shared" ref="C8:C9" si="4">COUNTIF(D8:J8,TRUE)</f>
        <v>7</v>
      </c>
      <c r="D8" s="1" t="b">
        <f>IF(D1&lt;26,TRUE,FALSE)</f>
        <v>1</v>
      </c>
      <c r="E8" s="1" t="b">
        <f t="shared" ref="E8:J8" si="5">IF(E1&lt;26,TRUE,FALSE)</f>
        <v>1</v>
      </c>
      <c r="F8" s="1" t="b">
        <f t="shared" si="5"/>
        <v>1</v>
      </c>
      <c r="G8" s="1" t="b">
        <f t="shared" si="5"/>
        <v>1</v>
      </c>
      <c r="H8" s="1" t="b">
        <f t="shared" si="5"/>
        <v>1</v>
      </c>
      <c r="I8" s="1" t="b">
        <f t="shared" si="5"/>
        <v>1</v>
      </c>
      <c r="J8" s="1" t="b">
        <f t="shared" si="5"/>
        <v>1</v>
      </c>
      <c r="N8" s="3">
        <v>4</v>
      </c>
      <c r="O8" s="3">
        <v>6</v>
      </c>
      <c r="P8" s="3">
        <v>2</v>
      </c>
      <c r="Q8" s="3">
        <v>7</v>
      </c>
      <c r="R8" s="3">
        <v>4</v>
      </c>
    </row>
    <row r="9" spans="2:18" ht="15.75" thickBot="1" x14ac:dyDescent="0.3">
      <c r="B9" s="1" t="s">
        <v>521</v>
      </c>
      <c r="C9" s="3">
        <f t="shared" si="4"/>
        <v>0</v>
      </c>
      <c r="D9" s="1" t="b">
        <f>IF(D1&gt;25,TRUE)</f>
        <v>0</v>
      </c>
      <c r="E9" s="1" t="b">
        <f t="shared" ref="E9:J9" si="6">IF(E1&gt;25,TRUE)</f>
        <v>0</v>
      </c>
      <c r="F9" s="1" t="b">
        <f t="shared" si="6"/>
        <v>0</v>
      </c>
      <c r="G9" s="1" t="b">
        <f t="shared" si="6"/>
        <v>0</v>
      </c>
      <c r="H9" s="1" t="b">
        <f t="shared" si="6"/>
        <v>0</v>
      </c>
      <c r="I9" s="1" t="b">
        <f t="shared" si="6"/>
        <v>0</v>
      </c>
      <c r="J9" s="1" t="b">
        <f t="shared" si="6"/>
        <v>0</v>
      </c>
      <c r="N9" s="3">
        <f>7-N8</f>
        <v>3</v>
      </c>
      <c r="O9" s="3">
        <f>IF(N9&lt;O8,N9,O8)</f>
        <v>3</v>
      </c>
      <c r="P9" s="3"/>
      <c r="Q9" s="3">
        <f>7-Q8</f>
        <v>0</v>
      </c>
      <c r="R9" s="3">
        <f>IF(Q9&lt;R8,Q9,R8)</f>
        <v>0</v>
      </c>
    </row>
    <row r="10" spans="2:18" ht="15.75" thickBot="1" x14ac:dyDescent="0.3">
      <c r="B10" s="1" t="s">
        <v>528</v>
      </c>
      <c r="C10" s="3">
        <f>SUM(D1:J1)</f>
        <v>34</v>
      </c>
      <c r="N10" s="4" t="s">
        <v>522</v>
      </c>
      <c r="O10" s="5" t="s">
        <v>524</v>
      </c>
      <c r="P10" s="5"/>
      <c r="Q10" s="5"/>
      <c r="R10" s="6" t="s">
        <v>523</v>
      </c>
    </row>
    <row r="11" spans="2:18" x14ac:dyDescent="0.25">
      <c r="N11" s="7">
        <f>((1*N2)+((N2-1)*(N2))/2)+((10*O2)+((O2-1)*(O2))/2)+((20*P2)+((P2-1)*(P2))/2)+((30*Q2)+((Q2-1)*(Q2))/2)+((40*R2)+((R2-1)*(R2))/2)</f>
        <v>28</v>
      </c>
      <c r="O11" s="8"/>
      <c r="P11" s="16">
        <f>INT(((P12/1000)*(R11-N11))+N11)</f>
        <v>35</v>
      </c>
      <c r="Q11" s="8"/>
      <c r="R11" s="9">
        <f>((9*N2)-((N2-1)*(N2))/2)+((19*O2)-((O2-1)*(O2))/2)+((29*P2)-((P2-1)*(P2))/2)+((39*Q2)-((Q2-1)*(Q2))/2)+((49*R2)-((R2-1)*(R2))/2)</f>
        <v>42</v>
      </c>
    </row>
    <row r="12" spans="2:18" x14ac:dyDescent="0.25">
      <c r="B12" s="3">
        <f>N2+O2</f>
        <v>7</v>
      </c>
      <c r="C12" s="1" t="s">
        <v>529</v>
      </c>
      <c r="N12" s="10"/>
      <c r="O12" s="8"/>
      <c r="P12" s="8">
        <v>514</v>
      </c>
      <c r="Q12" s="8"/>
      <c r="R12" s="11"/>
    </row>
    <row r="13" spans="2:18" ht="15.75" thickBot="1" x14ac:dyDescent="0.3">
      <c r="B13" s="3">
        <f>Q2+R2</f>
        <v>0</v>
      </c>
      <c r="C13" s="1" t="s">
        <v>530</v>
      </c>
      <c r="N13" s="12"/>
      <c r="O13" s="13">
        <f>P11-P7</f>
        <v>33</v>
      </c>
      <c r="P13" s="14">
        <f>P12/1000</f>
        <v>0.51400000000000001</v>
      </c>
      <c r="Q13" s="13">
        <f>P11+P7</f>
        <v>37</v>
      </c>
      <c r="R13" s="15"/>
    </row>
    <row r="14" spans="2:18" x14ac:dyDescent="0.25">
      <c r="D14" s="3">
        <v>1</v>
      </c>
      <c r="E14" s="3">
        <v>2</v>
      </c>
      <c r="F14" s="3">
        <v>3</v>
      </c>
      <c r="G14" s="3">
        <v>4</v>
      </c>
      <c r="H14" s="3">
        <v>7</v>
      </c>
      <c r="I14" s="3">
        <v>8</v>
      </c>
      <c r="J14" s="3">
        <v>9</v>
      </c>
    </row>
    <row r="15" spans="2:18" x14ac:dyDescent="0.25">
      <c r="D15" s="3">
        <v>3</v>
      </c>
      <c r="E15" s="3">
        <v>4</v>
      </c>
      <c r="F15" s="3">
        <v>5</v>
      </c>
      <c r="G15" s="3">
        <v>6</v>
      </c>
      <c r="H15" s="3">
        <v>7</v>
      </c>
      <c r="I15" s="3">
        <v>8</v>
      </c>
      <c r="J15" s="3">
        <v>9</v>
      </c>
    </row>
    <row r="16" spans="2:18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</sheetData>
  <mergeCells count="1">
    <mergeCell ref="O10:Q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7" r:id="rId3" name="Number">
          <controlPr defaultSize="0" autoLine="0" autoPict="0" r:id="rId4">
            <anchor moveWithCells="1">
              <from>
                <xdr:col>10</xdr:col>
                <xdr:colOff>9525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180975</xdr:rowOff>
              </to>
            </anchor>
          </controlPr>
        </control>
      </mc:Choice>
      <mc:Fallback>
        <control shapeId="3077" r:id="rId3" name="Number"/>
      </mc:Fallback>
    </mc:AlternateContent>
    <mc:AlternateContent xmlns:mc="http://schemas.openxmlformats.org/markup-compatibility/2006">
      <mc:Choice Requires="x14">
        <control shapeId="3090" r:id="rId5" name="START">
          <controlPr defaultSize="0" autoLine="0" r:id="rId6">
            <anchor moveWithCells="1">
              <from>
                <xdr:col>18</xdr:col>
                <xdr:colOff>19050</xdr:colOff>
                <xdr:row>0</xdr:row>
                <xdr:rowOff>19050</xdr:rowOff>
              </from>
              <to>
                <xdr:col>19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3090" r:id="rId5" name="START"/>
      </mc:Fallback>
    </mc:AlternateContent>
    <mc:AlternateContent xmlns:mc="http://schemas.openxmlformats.org/markup-compatibility/2006">
      <mc:Choice Requires="x14">
        <control shapeId="3079" r:id="rId7" name="Spinner 7">
          <controlPr defaultSize="0" autoPict="0">
            <anchor moveWithCells="1" sizeWithCells="1">
              <from>
                <xdr:col>13</xdr:col>
                <xdr:colOff>9525</xdr:colOff>
                <xdr:row>2</xdr:row>
                <xdr:rowOff>19050</xdr:rowOff>
              </from>
              <to>
                <xdr:col>14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8" name="Spinner 8">
          <controlPr defaultSize="0" autoPict="0">
            <anchor moveWithCells="1" sizeWithCells="1">
              <from>
                <xdr:col>14</xdr:col>
                <xdr:colOff>28575</xdr:colOff>
                <xdr:row>2</xdr:row>
                <xdr:rowOff>19050</xdr:rowOff>
              </from>
              <to>
                <xdr:col>15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1" r:id="rId9" name="Spinner 9">
          <controlPr defaultSize="0" autoPict="0">
            <anchor moveWithCells="1" sizeWithCells="1">
              <from>
                <xdr:col>15</xdr:col>
                <xdr:colOff>19050</xdr:colOff>
                <xdr:row>2</xdr:row>
                <xdr:rowOff>19050</xdr:rowOff>
              </from>
              <to>
                <xdr:col>15</xdr:col>
                <xdr:colOff>476250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10" name="Spinner 10">
          <controlPr defaultSize="0" autoPict="0">
            <anchor moveWithCells="1" sizeWithCells="1">
              <from>
                <xdr:col>16</xdr:col>
                <xdr:colOff>9525</xdr:colOff>
                <xdr:row>2</xdr:row>
                <xdr:rowOff>19050</xdr:rowOff>
              </from>
              <to>
                <xdr:col>16</xdr:col>
                <xdr:colOff>476250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3" r:id="rId11" name="Spinner 11">
          <controlPr defaultSize="0" autoPict="0">
            <anchor moveWithCells="1" sizeWithCells="1">
              <from>
                <xdr:col>17</xdr:col>
                <xdr:colOff>0</xdr:colOff>
                <xdr:row>2</xdr:row>
                <xdr:rowOff>19050</xdr:rowOff>
              </from>
              <to>
                <xdr:col>17</xdr:col>
                <xdr:colOff>466725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4" r:id="rId12" name="Spinner 12">
          <controlPr defaultSize="0" autoPict="0">
            <anchor moveWithCells="1" sizeWithCells="1">
              <from>
                <xdr:col>13</xdr:col>
                <xdr:colOff>38100</xdr:colOff>
                <xdr:row>7</xdr:row>
                <xdr:rowOff>0</xdr:rowOff>
              </from>
              <to>
                <xdr:col>14</xdr:col>
                <xdr:colOff>0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13" name="Spinner 13">
          <controlPr defaultSize="0" autoPict="0">
            <anchor moveWithCells="1" sizeWithCells="1">
              <from>
                <xdr:col>14</xdr:col>
                <xdr:colOff>28575</xdr:colOff>
                <xdr:row>7</xdr:row>
                <xdr:rowOff>0</xdr:rowOff>
              </from>
              <to>
                <xdr:col>14</xdr:col>
                <xdr:colOff>476250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6" r:id="rId14" name="Spinner 14">
          <controlPr defaultSize="0" autoPict="0">
            <anchor moveWithCells="1" sizeWithCells="1">
              <from>
                <xdr:col>16</xdr:col>
                <xdr:colOff>9525</xdr:colOff>
                <xdr:row>7</xdr:row>
                <xdr:rowOff>0</xdr:rowOff>
              </from>
              <to>
                <xdr:col>17</xdr:col>
                <xdr:colOff>0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7" r:id="rId15" name="Spinner 15">
          <controlPr defaultSize="0" autoPict="0">
            <anchor moveWithCells="1" sizeWithCells="1">
              <from>
                <xdr:col>17</xdr:col>
                <xdr:colOff>28575</xdr:colOff>
                <xdr:row>7</xdr:row>
                <xdr:rowOff>0</xdr:rowOff>
              </from>
              <to>
                <xdr:col>17</xdr:col>
                <xdr:colOff>485775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8" r:id="rId16" name="Scroll Bar 16">
          <controlPr defaultSize="0" autoPict="0">
            <anchor moveWithCells="1">
              <from>
                <xdr:col>13</xdr:col>
                <xdr:colOff>19050</xdr:colOff>
                <xdr:row>11</xdr:row>
                <xdr:rowOff>9525</xdr:rowOff>
              </from>
              <to>
                <xdr:col>17</xdr:col>
                <xdr:colOff>476250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9" r:id="rId17" name="Spinner 17">
          <controlPr defaultSize="0" autoPict="0">
            <anchor moveWithCells="1" sizeWithCells="1">
              <from>
                <xdr:col>15</xdr:col>
                <xdr:colOff>0</xdr:colOff>
                <xdr:row>7</xdr:row>
                <xdr:rowOff>0</xdr:rowOff>
              </from>
              <to>
                <xdr:col>15</xdr:col>
                <xdr:colOff>485775</xdr:colOff>
                <xdr:row>8</xdr:row>
                <xdr:rowOff>171450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Main</vt:lpstr>
      <vt:lpstr>Dreams</vt:lpstr>
      <vt:lpstr>Exclusion</vt:lpstr>
      <vt:lpstr>Dream_Felt</vt:lpstr>
      <vt:lpstr>Dreams</vt:lpstr>
      <vt:lpstr>Dreams_Things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cp:lastPrinted>2017-08-11T03:11:07Z</cp:lastPrinted>
  <dcterms:created xsi:type="dcterms:W3CDTF">2017-08-11T02:32:47Z</dcterms:created>
  <dcterms:modified xsi:type="dcterms:W3CDTF">2017-08-13T15:33:50Z</dcterms:modified>
</cp:coreProperties>
</file>