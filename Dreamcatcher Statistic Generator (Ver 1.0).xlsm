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E:\Programs\"/>
    </mc:Choice>
  </mc:AlternateContent>
  <bookViews>
    <workbookView xWindow="0" yWindow="0" windowWidth="20490" windowHeight="8910" activeTab="4"/>
  </bookViews>
  <sheets>
    <sheet name="Paste_Here" sheetId="2" r:id="rId1"/>
    <sheet name="Main" sheetId="1" r:id="rId2"/>
    <sheet name="Followup" sheetId="3" r:id="rId3"/>
    <sheet name="Cycle" sheetId="4" r:id="rId4"/>
    <sheet name="Permutations" sheetId="5" r:id="rId5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A2" i="4" l="1"/>
  <c r="BA50" i="3"/>
  <c r="AZ50" i="3"/>
  <c r="BA49" i="3"/>
  <c r="AZ49" i="3"/>
  <c r="BA48" i="3"/>
  <c r="AZ48" i="3"/>
  <c r="BA47" i="3"/>
  <c r="AZ47" i="3"/>
  <c r="BA46" i="3"/>
  <c r="AZ46" i="3"/>
  <c r="BA45" i="3"/>
  <c r="AZ45" i="3"/>
  <c r="BA44" i="3"/>
  <c r="AZ44" i="3"/>
  <c r="BA43" i="3"/>
  <c r="AZ43" i="3"/>
  <c r="BA42" i="3"/>
  <c r="AZ42" i="3"/>
  <c r="BA41" i="3"/>
  <c r="AZ41" i="3"/>
  <c r="BA40" i="3"/>
  <c r="AZ40" i="3"/>
  <c r="BA39" i="3"/>
  <c r="AZ39" i="3"/>
  <c r="BA38" i="3"/>
  <c r="AZ38" i="3"/>
  <c r="BA37" i="3"/>
  <c r="AZ37" i="3"/>
  <c r="BA36" i="3"/>
  <c r="AZ36" i="3"/>
  <c r="BA35" i="3"/>
  <c r="AZ35" i="3"/>
  <c r="BA34" i="3"/>
  <c r="AZ34" i="3"/>
  <c r="BA33" i="3"/>
  <c r="AZ33" i="3"/>
  <c r="BA32" i="3"/>
  <c r="AZ32" i="3"/>
  <c r="BA31" i="3"/>
  <c r="AZ31" i="3"/>
  <c r="BA30" i="3"/>
  <c r="AZ30" i="3"/>
  <c r="BA29" i="3"/>
  <c r="AZ29" i="3"/>
  <c r="BA28" i="3"/>
  <c r="AZ28" i="3"/>
  <c r="BA27" i="3"/>
  <c r="AZ27" i="3"/>
  <c r="BA26" i="3"/>
  <c r="AZ26" i="3"/>
  <c r="BA25" i="3"/>
  <c r="AZ25" i="3"/>
  <c r="BA24" i="3"/>
  <c r="AZ24" i="3"/>
  <c r="BA23" i="3"/>
  <c r="AZ23" i="3"/>
  <c r="BA22" i="3"/>
  <c r="AZ22" i="3"/>
  <c r="BA21" i="3"/>
  <c r="AZ21" i="3"/>
  <c r="BA20" i="3"/>
  <c r="AZ20" i="3"/>
  <c r="BA19" i="3"/>
  <c r="AZ19" i="3"/>
  <c r="BA18" i="3"/>
  <c r="AZ18" i="3"/>
  <c r="BA17" i="3"/>
  <c r="AZ17" i="3"/>
  <c r="BA16" i="3"/>
  <c r="AZ16" i="3"/>
  <c r="BA15" i="3"/>
  <c r="AZ15" i="3"/>
  <c r="BA14" i="3"/>
  <c r="AZ14" i="3"/>
  <c r="BA13" i="3"/>
  <c r="AZ13" i="3"/>
  <c r="BA12" i="3"/>
  <c r="AZ12" i="3"/>
  <c r="BA11" i="3"/>
  <c r="AZ11" i="3"/>
  <c r="BA10" i="3"/>
  <c r="AZ10" i="3"/>
  <c r="BA9" i="3"/>
  <c r="AZ9" i="3"/>
  <c r="BA8" i="3"/>
  <c r="AZ8" i="3"/>
  <c r="BA7" i="3"/>
  <c r="AZ7" i="3"/>
  <c r="BA6" i="3"/>
  <c r="AZ6" i="3"/>
  <c r="BA5" i="3"/>
  <c r="AZ5" i="3"/>
  <c r="BA4" i="3"/>
  <c r="AZ4" i="3"/>
  <c r="BA3" i="3"/>
  <c r="AZ3" i="3"/>
  <c r="BA2" i="3"/>
  <c r="AZ2" i="3"/>
  <c r="Y3" i="1"/>
  <c r="X3" i="1"/>
  <c r="V3" i="1"/>
  <c r="U3" i="1"/>
  <c r="AG244" i="5" l="1"/>
  <c r="AG245" i="5"/>
  <c r="AG246" i="5"/>
  <c r="AG247" i="5"/>
  <c r="AG248" i="5"/>
  <c r="AG249" i="5"/>
  <c r="AG250" i="5"/>
  <c r="AG251" i="5"/>
  <c r="AG252" i="5"/>
  <c r="AG253" i="5"/>
  <c r="AG254" i="5"/>
  <c r="AG255" i="5"/>
  <c r="AG256" i="5"/>
  <c r="AG257" i="5"/>
  <c r="AG258" i="5"/>
  <c r="AG259" i="5"/>
  <c r="AG260" i="5"/>
  <c r="AG261" i="5"/>
  <c r="AG262" i="5"/>
  <c r="AG263" i="5"/>
  <c r="AG264" i="5"/>
  <c r="AG265" i="5"/>
  <c r="AG266" i="5"/>
  <c r="AG267" i="5"/>
  <c r="AG268" i="5"/>
  <c r="AG269" i="5"/>
  <c r="AG270" i="5"/>
  <c r="AG271" i="5"/>
  <c r="AG272" i="5"/>
  <c r="AG273" i="5"/>
  <c r="AG274" i="5"/>
  <c r="AG275" i="5"/>
  <c r="AG276" i="5"/>
  <c r="AG277" i="5"/>
  <c r="AG278" i="5"/>
  <c r="AG279" i="5"/>
  <c r="AG280" i="5"/>
  <c r="AG281" i="5"/>
  <c r="AG282" i="5"/>
  <c r="AG283" i="5"/>
  <c r="AG284" i="5"/>
  <c r="AG285" i="5"/>
  <c r="AG286" i="5"/>
  <c r="AG287" i="5"/>
  <c r="AG288" i="5"/>
  <c r="AG289" i="5"/>
  <c r="AG290" i="5"/>
  <c r="AG291" i="5"/>
  <c r="AG292" i="5"/>
  <c r="AG293" i="5"/>
  <c r="AG294" i="5"/>
  <c r="AG295" i="5"/>
  <c r="AG296" i="5"/>
  <c r="AG297" i="5"/>
  <c r="AG298" i="5"/>
  <c r="AG299" i="5"/>
  <c r="AG300" i="5"/>
  <c r="AG301" i="5"/>
  <c r="AG302" i="5"/>
  <c r="AG243" i="5"/>
  <c r="I332" i="5" l="1"/>
  <c r="I256" i="5" l="1"/>
  <c r="I194" i="5"/>
  <c r="I144" i="5"/>
  <c r="I137" i="5"/>
  <c r="I117" i="5"/>
  <c r="I93" i="5"/>
  <c r="I90" i="5"/>
  <c r="I86" i="5"/>
  <c r="I74" i="5"/>
  <c r="I65" i="5"/>
  <c r="I51" i="5"/>
  <c r="I42" i="5"/>
  <c r="I29" i="5"/>
  <c r="I25" i="5"/>
  <c r="I22" i="5"/>
  <c r="I20" i="5"/>
  <c r="I18" i="5"/>
  <c r="I10" i="5"/>
  <c r="I329" i="5"/>
  <c r="I320" i="5"/>
  <c r="I292" i="5"/>
  <c r="I257" i="5"/>
  <c r="I248" i="5"/>
  <c r="I230" i="5"/>
  <c r="I228" i="5"/>
  <c r="I219" i="5"/>
  <c r="I217" i="5"/>
  <c r="I178" i="5"/>
  <c r="I153" i="5"/>
  <c r="I135" i="5"/>
  <c r="I119" i="5"/>
  <c r="I114" i="5"/>
  <c r="I109" i="5"/>
  <c r="I102" i="5"/>
  <c r="I92" i="5"/>
  <c r="I87" i="5"/>
  <c r="I66" i="5"/>
  <c r="I57" i="5"/>
  <c r="I52" i="5"/>
  <c r="I43" i="5"/>
  <c r="I38" i="5"/>
  <c r="I34" i="5"/>
  <c r="I33" i="5"/>
  <c r="I21" i="5"/>
  <c r="I14" i="5"/>
  <c r="I9" i="5"/>
  <c r="I321" i="5"/>
  <c r="I236" i="5"/>
  <c r="I204" i="5"/>
  <c r="I183" i="5"/>
  <c r="I173" i="5"/>
  <c r="I168" i="5"/>
  <c r="I149" i="5"/>
  <c r="I132" i="5"/>
  <c r="I126" i="5"/>
  <c r="I113" i="5"/>
  <c r="I96" i="5"/>
  <c r="I91" i="5"/>
  <c r="I76" i="5"/>
  <c r="I72" i="5"/>
  <c r="I67" i="5"/>
  <c r="I56" i="5"/>
  <c r="I47" i="5"/>
  <c r="I45" i="5"/>
  <c r="I41" i="5"/>
  <c r="I35" i="5"/>
  <c r="I32" i="5"/>
  <c r="I26" i="5"/>
  <c r="I23" i="5"/>
  <c r="I19" i="5"/>
  <c r="I13" i="5"/>
  <c r="I12" i="5"/>
  <c r="I4" i="5"/>
  <c r="I322" i="5"/>
  <c r="I318" i="5"/>
  <c r="I221" i="5"/>
  <c r="I209" i="5"/>
  <c r="I154" i="5"/>
  <c r="I107" i="5"/>
  <c r="I105" i="5"/>
  <c r="I88" i="5"/>
  <c r="I77" i="5"/>
  <c r="I70" i="5"/>
  <c r="I60" i="5"/>
  <c r="I58" i="5"/>
  <c r="I39" i="5"/>
  <c r="I36" i="5"/>
  <c r="I288" i="5"/>
  <c r="I252" i="5"/>
  <c r="I242" i="5"/>
  <c r="I234" i="5"/>
  <c r="I233" i="5"/>
  <c r="I142" i="5"/>
  <c r="I130" i="5"/>
  <c r="I104" i="5"/>
  <c r="I98" i="5"/>
  <c r="I94" i="5"/>
  <c r="I44" i="5"/>
  <c r="I40" i="5"/>
  <c r="I5" i="5"/>
  <c r="I6" i="5"/>
  <c r="I7" i="5"/>
  <c r="I8" i="5"/>
  <c r="I11" i="5"/>
  <c r="I15" i="5"/>
  <c r="I16" i="5"/>
  <c r="I17" i="5"/>
  <c r="I24" i="5"/>
  <c r="I27" i="5"/>
  <c r="I28" i="5"/>
  <c r="I30" i="5"/>
  <c r="I31" i="5"/>
  <c r="I37" i="5"/>
  <c r="I46" i="5"/>
  <c r="I48" i="5"/>
  <c r="I49" i="5"/>
  <c r="I50" i="5"/>
  <c r="I53" i="5"/>
  <c r="I54" i="5"/>
  <c r="I55" i="5"/>
  <c r="I59" i="5"/>
  <c r="I61" i="5"/>
  <c r="I62" i="5"/>
  <c r="I63" i="5"/>
  <c r="I64" i="5"/>
  <c r="I68" i="5"/>
  <c r="I69" i="5"/>
  <c r="I71" i="5"/>
  <c r="I73" i="5"/>
  <c r="I75" i="5"/>
  <c r="I78" i="5"/>
  <c r="I79" i="5"/>
  <c r="I80" i="5"/>
  <c r="I81" i="5"/>
  <c r="I82" i="5"/>
  <c r="I83" i="5"/>
  <c r="I84" i="5"/>
  <c r="I85" i="5"/>
  <c r="I89" i="5"/>
  <c r="I95" i="5"/>
  <c r="I97" i="5"/>
  <c r="I99" i="5"/>
  <c r="I100" i="5"/>
  <c r="I101" i="5"/>
  <c r="I103" i="5"/>
  <c r="I106" i="5"/>
  <c r="I108" i="5"/>
  <c r="I110" i="5"/>
  <c r="I111" i="5"/>
  <c r="I112" i="5"/>
  <c r="I115" i="5"/>
  <c r="I116" i="5"/>
  <c r="I118" i="5"/>
  <c r="I120" i="5"/>
  <c r="I121" i="5"/>
  <c r="I122" i="5"/>
  <c r="I123" i="5"/>
  <c r="I124" i="5"/>
  <c r="I125" i="5"/>
  <c r="I127" i="5"/>
  <c r="I128" i="5"/>
  <c r="I129" i="5"/>
  <c r="I131" i="5"/>
  <c r="I133" i="5"/>
  <c r="I134" i="5"/>
  <c r="I136" i="5"/>
  <c r="I138" i="5"/>
  <c r="I139" i="5"/>
  <c r="I140" i="5"/>
  <c r="I141" i="5"/>
  <c r="I143" i="5"/>
  <c r="I145" i="5"/>
  <c r="I146" i="5"/>
  <c r="I147" i="5"/>
  <c r="I148" i="5"/>
  <c r="I150" i="5"/>
  <c r="I151" i="5"/>
  <c r="I152" i="5"/>
  <c r="I155" i="5"/>
  <c r="I156" i="5"/>
  <c r="I157" i="5"/>
  <c r="I158" i="5"/>
  <c r="I159" i="5"/>
  <c r="I160" i="5"/>
  <c r="I161" i="5"/>
  <c r="I162" i="5"/>
  <c r="I163" i="5"/>
  <c r="I164" i="5"/>
  <c r="I165" i="5"/>
  <c r="I166" i="5"/>
  <c r="I167" i="5"/>
  <c r="I169" i="5"/>
  <c r="I170" i="5"/>
  <c r="I171" i="5"/>
  <c r="I172" i="5"/>
  <c r="I174" i="5"/>
  <c r="I175" i="5"/>
  <c r="I176" i="5"/>
  <c r="I177" i="5"/>
  <c r="I179" i="5"/>
  <c r="I180" i="5"/>
  <c r="I181" i="5"/>
  <c r="I182" i="5"/>
  <c r="I184" i="5"/>
  <c r="I185" i="5"/>
  <c r="I186" i="5"/>
  <c r="I187" i="5"/>
  <c r="I188" i="5"/>
  <c r="I189" i="5"/>
  <c r="I190" i="5"/>
  <c r="I191" i="5"/>
  <c r="I192" i="5"/>
  <c r="I193" i="5"/>
  <c r="I195" i="5"/>
  <c r="I196" i="5"/>
  <c r="I197" i="5"/>
  <c r="I198" i="5"/>
  <c r="I199" i="5"/>
  <c r="I200" i="5"/>
  <c r="I201" i="5"/>
  <c r="I202" i="5"/>
  <c r="I203" i="5"/>
  <c r="I205" i="5"/>
  <c r="I206" i="5"/>
  <c r="I207" i="5"/>
  <c r="I208" i="5"/>
  <c r="I210" i="5"/>
  <c r="I211" i="5"/>
  <c r="I212" i="5"/>
  <c r="I213" i="5"/>
  <c r="I214" i="5"/>
  <c r="I215" i="5"/>
  <c r="I216" i="5"/>
  <c r="I218" i="5"/>
  <c r="I220" i="5"/>
  <c r="I222" i="5"/>
  <c r="I223" i="5"/>
  <c r="I224" i="5"/>
  <c r="I225" i="5"/>
  <c r="I226" i="5"/>
  <c r="I227" i="5"/>
  <c r="I229" i="5"/>
  <c r="I231" i="5"/>
  <c r="I232" i="5"/>
  <c r="I235" i="5"/>
  <c r="I237" i="5"/>
  <c r="I238" i="5"/>
  <c r="I239" i="5"/>
  <c r="I240" i="5"/>
  <c r="I241" i="5"/>
  <c r="I243" i="5"/>
  <c r="I244" i="5"/>
  <c r="I245" i="5"/>
  <c r="I246" i="5"/>
  <c r="I247" i="5"/>
  <c r="I249" i="5"/>
  <c r="I250" i="5"/>
  <c r="I251" i="5"/>
  <c r="I253" i="5"/>
  <c r="I254" i="5"/>
  <c r="I255" i="5"/>
  <c r="I258" i="5"/>
  <c r="I259" i="5"/>
  <c r="I260" i="5"/>
  <c r="I261" i="5"/>
  <c r="I262" i="5"/>
  <c r="I263" i="5"/>
  <c r="I264" i="5"/>
  <c r="I265" i="5"/>
  <c r="I266" i="5"/>
  <c r="I267" i="5"/>
  <c r="I268" i="5"/>
  <c r="I269" i="5"/>
  <c r="I270" i="5"/>
  <c r="I271" i="5"/>
  <c r="I272" i="5"/>
  <c r="I273" i="5"/>
  <c r="I274" i="5"/>
  <c r="I275" i="5"/>
  <c r="I276" i="5"/>
  <c r="I277" i="5"/>
  <c r="I278" i="5"/>
  <c r="I279" i="5"/>
  <c r="I280" i="5"/>
  <c r="I281" i="5"/>
  <c r="I282" i="5"/>
  <c r="I283" i="5"/>
  <c r="I284" i="5"/>
  <c r="I285" i="5"/>
  <c r="I286" i="5"/>
  <c r="I287" i="5"/>
  <c r="I289" i="5"/>
  <c r="I290" i="5"/>
  <c r="I291" i="5"/>
  <c r="I293" i="5"/>
  <c r="I294" i="5"/>
  <c r="I295" i="5"/>
  <c r="I296" i="5"/>
  <c r="I297" i="5"/>
  <c r="I298" i="5"/>
  <c r="I299" i="5"/>
  <c r="I300" i="5"/>
  <c r="I301" i="5"/>
  <c r="I302" i="5"/>
  <c r="I303" i="5"/>
  <c r="I304" i="5"/>
  <c r="I305" i="5"/>
  <c r="I306" i="5"/>
  <c r="I307" i="5"/>
  <c r="I308" i="5"/>
  <c r="I309" i="5"/>
  <c r="I310" i="5"/>
  <c r="I311" i="5"/>
  <c r="I312" i="5"/>
  <c r="I313" i="5"/>
  <c r="I314" i="5"/>
  <c r="I315" i="5"/>
  <c r="I316" i="5"/>
  <c r="I317" i="5"/>
  <c r="I319" i="5"/>
  <c r="I323" i="5"/>
  <c r="I324" i="5"/>
  <c r="I325" i="5"/>
  <c r="I326" i="5"/>
  <c r="I327" i="5"/>
  <c r="I328" i="5"/>
  <c r="I330" i="5"/>
  <c r="I331" i="5"/>
  <c r="I3" i="5"/>
  <c r="AB332" i="5"/>
  <c r="AA332" i="5"/>
  <c r="Z332" i="5"/>
  <c r="Y332" i="5"/>
  <c r="X332" i="5"/>
  <c r="AC332" i="5" s="1"/>
  <c r="T332" i="5"/>
  <c r="S332" i="5"/>
  <c r="R332" i="5"/>
  <c r="Q332" i="5"/>
  <c r="P332" i="5"/>
  <c r="V332" i="5" s="1"/>
  <c r="N332" i="5"/>
  <c r="M332" i="5"/>
  <c r="K332" i="5"/>
  <c r="J332" i="5"/>
  <c r="H332" i="5"/>
  <c r="AB331" i="5"/>
  <c r="AA331" i="5"/>
  <c r="Z331" i="5"/>
  <c r="Y331" i="5"/>
  <c r="X331" i="5"/>
  <c r="AC331" i="5" s="1"/>
  <c r="T331" i="5"/>
  <c r="S331" i="5"/>
  <c r="R331" i="5"/>
  <c r="Q331" i="5"/>
  <c r="P331" i="5"/>
  <c r="V331" i="5" s="1"/>
  <c r="N331" i="5"/>
  <c r="M331" i="5"/>
  <c r="K331" i="5"/>
  <c r="J331" i="5"/>
  <c r="H331" i="5"/>
  <c r="AB330" i="5"/>
  <c r="AA330" i="5"/>
  <c r="Z330" i="5"/>
  <c r="Y330" i="5"/>
  <c r="AC330" i="5" s="1"/>
  <c r="X330" i="5"/>
  <c r="T330" i="5"/>
  <c r="S330" i="5"/>
  <c r="R330" i="5"/>
  <c r="Q330" i="5"/>
  <c r="V330" i="5" s="1"/>
  <c r="P330" i="5"/>
  <c r="N330" i="5"/>
  <c r="M330" i="5"/>
  <c r="K330" i="5"/>
  <c r="J330" i="5"/>
  <c r="H330" i="5"/>
  <c r="AB329" i="5"/>
  <c r="AA329" i="5"/>
  <c r="Z329" i="5"/>
  <c r="Y329" i="5"/>
  <c r="X329" i="5"/>
  <c r="AC329" i="5" s="1"/>
  <c r="T329" i="5"/>
  <c r="S329" i="5"/>
  <c r="R329" i="5"/>
  <c r="Q329" i="5"/>
  <c r="P329" i="5"/>
  <c r="V329" i="5" s="1"/>
  <c r="N329" i="5"/>
  <c r="M329" i="5"/>
  <c r="K329" i="5"/>
  <c r="J329" i="5"/>
  <c r="H329" i="5"/>
  <c r="AB328" i="5"/>
  <c r="AA328" i="5"/>
  <c r="Z328" i="5"/>
  <c r="Y328" i="5"/>
  <c r="AC328" i="5" s="1"/>
  <c r="X328" i="5"/>
  <c r="T328" i="5"/>
  <c r="S328" i="5"/>
  <c r="R328" i="5"/>
  <c r="Q328" i="5"/>
  <c r="V328" i="5" s="1"/>
  <c r="P328" i="5"/>
  <c r="N328" i="5"/>
  <c r="M328" i="5"/>
  <c r="K328" i="5"/>
  <c r="J328" i="5"/>
  <c r="H328" i="5"/>
  <c r="AB327" i="5"/>
  <c r="AA327" i="5"/>
  <c r="Z327" i="5"/>
  <c r="Y327" i="5"/>
  <c r="X327" i="5"/>
  <c r="AC327" i="5" s="1"/>
  <c r="T327" i="5"/>
  <c r="S327" i="5"/>
  <c r="R327" i="5"/>
  <c r="Q327" i="5"/>
  <c r="P327" i="5"/>
  <c r="V327" i="5" s="1"/>
  <c r="N327" i="5"/>
  <c r="M327" i="5"/>
  <c r="K327" i="5"/>
  <c r="J327" i="5"/>
  <c r="H327" i="5"/>
  <c r="AB326" i="5"/>
  <c r="AA326" i="5"/>
  <c r="Z326" i="5"/>
  <c r="Y326" i="5"/>
  <c r="AC326" i="5" s="1"/>
  <c r="X326" i="5"/>
  <c r="T326" i="5"/>
  <c r="S326" i="5"/>
  <c r="R326" i="5"/>
  <c r="Q326" i="5"/>
  <c r="V326" i="5" s="1"/>
  <c r="P326" i="5"/>
  <c r="N326" i="5"/>
  <c r="M326" i="5"/>
  <c r="K326" i="5"/>
  <c r="J326" i="5"/>
  <c r="H326" i="5"/>
  <c r="AB325" i="5"/>
  <c r="AA325" i="5"/>
  <c r="Z325" i="5"/>
  <c r="Y325" i="5"/>
  <c r="X325" i="5"/>
  <c r="AC325" i="5" s="1"/>
  <c r="T325" i="5"/>
  <c r="S325" i="5"/>
  <c r="R325" i="5"/>
  <c r="Q325" i="5"/>
  <c r="P325" i="5"/>
  <c r="V325" i="5" s="1"/>
  <c r="N325" i="5"/>
  <c r="M325" i="5"/>
  <c r="K325" i="5"/>
  <c r="J325" i="5"/>
  <c r="H325" i="5"/>
  <c r="AB324" i="5"/>
  <c r="AA324" i="5"/>
  <c r="Z324" i="5"/>
  <c r="Y324" i="5"/>
  <c r="AC324" i="5" s="1"/>
  <c r="X324" i="5"/>
  <c r="T324" i="5"/>
  <c r="S324" i="5"/>
  <c r="R324" i="5"/>
  <c r="Q324" i="5"/>
  <c r="V324" i="5" s="1"/>
  <c r="P324" i="5"/>
  <c r="N324" i="5"/>
  <c r="M324" i="5"/>
  <c r="K324" i="5"/>
  <c r="J324" i="5"/>
  <c r="H324" i="5"/>
  <c r="AB323" i="5"/>
  <c r="AA323" i="5"/>
  <c r="Z323" i="5"/>
  <c r="Y323" i="5"/>
  <c r="X323" i="5"/>
  <c r="AC323" i="5" s="1"/>
  <c r="T323" i="5"/>
  <c r="S323" i="5"/>
  <c r="R323" i="5"/>
  <c r="Q323" i="5"/>
  <c r="P323" i="5"/>
  <c r="V323" i="5" s="1"/>
  <c r="N323" i="5"/>
  <c r="M323" i="5"/>
  <c r="K323" i="5"/>
  <c r="J323" i="5"/>
  <c r="H323" i="5"/>
  <c r="AB322" i="5"/>
  <c r="AA322" i="5"/>
  <c r="Z322" i="5"/>
  <c r="Y322" i="5"/>
  <c r="AC322" i="5" s="1"/>
  <c r="X322" i="5"/>
  <c r="T322" i="5"/>
  <c r="S322" i="5"/>
  <c r="R322" i="5"/>
  <c r="Q322" i="5"/>
  <c r="V322" i="5" s="1"/>
  <c r="P322" i="5"/>
  <c r="N322" i="5"/>
  <c r="M322" i="5"/>
  <c r="K322" i="5"/>
  <c r="J322" i="5"/>
  <c r="H322" i="5"/>
  <c r="AB321" i="5"/>
  <c r="AA321" i="5"/>
  <c r="Z321" i="5"/>
  <c r="Y321" i="5"/>
  <c r="X321" i="5"/>
  <c r="AC321" i="5" s="1"/>
  <c r="T321" i="5"/>
  <c r="S321" i="5"/>
  <c r="R321" i="5"/>
  <c r="Q321" i="5"/>
  <c r="P321" i="5"/>
  <c r="V321" i="5" s="1"/>
  <c r="N321" i="5"/>
  <c r="M321" i="5"/>
  <c r="K321" i="5"/>
  <c r="J321" i="5"/>
  <c r="H321" i="5"/>
  <c r="AB320" i="5"/>
  <c r="AA320" i="5"/>
  <c r="Z320" i="5"/>
  <c r="Y320" i="5"/>
  <c r="AC320" i="5" s="1"/>
  <c r="X320" i="5"/>
  <c r="T320" i="5"/>
  <c r="S320" i="5"/>
  <c r="R320" i="5"/>
  <c r="Q320" i="5"/>
  <c r="V320" i="5" s="1"/>
  <c r="P320" i="5"/>
  <c r="N320" i="5"/>
  <c r="M320" i="5"/>
  <c r="K320" i="5"/>
  <c r="J320" i="5"/>
  <c r="H320" i="5"/>
  <c r="AB319" i="5"/>
  <c r="AA319" i="5"/>
  <c r="Z319" i="5"/>
  <c r="Y319" i="5"/>
  <c r="X319" i="5"/>
  <c r="AC319" i="5" s="1"/>
  <c r="T319" i="5"/>
  <c r="S319" i="5"/>
  <c r="R319" i="5"/>
  <c r="Q319" i="5"/>
  <c r="P319" i="5"/>
  <c r="V319" i="5" s="1"/>
  <c r="N319" i="5"/>
  <c r="M319" i="5"/>
  <c r="K319" i="5"/>
  <c r="J319" i="5"/>
  <c r="H319" i="5"/>
  <c r="AB318" i="5"/>
  <c r="AA318" i="5"/>
  <c r="Z318" i="5"/>
  <c r="Y318" i="5"/>
  <c r="AC318" i="5" s="1"/>
  <c r="X318" i="5"/>
  <c r="T318" i="5"/>
  <c r="S318" i="5"/>
  <c r="R318" i="5"/>
  <c r="Q318" i="5"/>
  <c r="V318" i="5" s="1"/>
  <c r="P318" i="5"/>
  <c r="N318" i="5"/>
  <c r="M318" i="5"/>
  <c r="K318" i="5"/>
  <c r="J318" i="5"/>
  <c r="H318" i="5"/>
  <c r="AB317" i="5"/>
  <c r="AA317" i="5"/>
  <c r="Z317" i="5"/>
  <c r="Y317" i="5"/>
  <c r="X317" i="5"/>
  <c r="AC317" i="5" s="1"/>
  <c r="T317" i="5"/>
  <c r="S317" i="5"/>
  <c r="R317" i="5"/>
  <c r="Q317" i="5"/>
  <c r="P317" i="5"/>
  <c r="V317" i="5" s="1"/>
  <c r="N317" i="5"/>
  <c r="M317" i="5"/>
  <c r="K317" i="5"/>
  <c r="J317" i="5"/>
  <c r="H317" i="5"/>
  <c r="AB316" i="5"/>
  <c r="AA316" i="5"/>
  <c r="Z316" i="5"/>
  <c r="Y316" i="5"/>
  <c r="AC316" i="5" s="1"/>
  <c r="X316" i="5"/>
  <c r="T316" i="5"/>
  <c r="S316" i="5"/>
  <c r="R316" i="5"/>
  <c r="Q316" i="5"/>
  <c r="V316" i="5" s="1"/>
  <c r="P316" i="5"/>
  <c r="N316" i="5"/>
  <c r="M316" i="5"/>
  <c r="K316" i="5"/>
  <c r="J316" i="5"/>
  <c r="H316" i="5"/>
  <c r="AB315" i="5"/>
  <c r="AA315" i="5"/>
  <c r="Z315" i="5"/>
  <c r="Y315" i="5"/>
  <c r="X315" i="5"/>
  <c r="AC315" i="5" s="1"/>
  <c r="T315" i="5"/>
  <c r="S315" i="5"/>
  <c r="R315" i="5"/>
  <c r="Q315" i="5"/>
  <c r="P315" i="5"/>
  <c r="V315" i="5" s="1"/>
  <c r="N315" i="5"/>
  <c r="M315" i="5"/>
  <c r="K315" i="5"/>
  <c r="J315" i="5"/>
  <c r="H315" i="5"/>
  <c r="AB314" i="5"/>
  <c r="AA314" i="5"/>
  <c r="Z314" i="5"/>
  <c r="Y314" i="5"/>
  <c r="AC314" i="5" s="1"/>
  <c r="X314" i="5"/>
  <c r="T314" i="5"/>
  <c r="S314" i="5"/>
  <c r="R314" i="5"/>
  <c r="Q314" i="5"/>
  <c r="V314" i="5" s="1"/>
  <c r="P314" i="5"/>
  <c r="N314" i="5"/>
  <c r="M314" i="5"/>
  <c r="K314" i="5"/>
  <c r="J314" i="5"/>
  <c r="H314" i="5"/>
  <c r="AB313" i="5"/>
  <c r="AA313" i="5"/>
  <c r="Z313" i="5"/>
  <c r="Y313" i="5"/>
  <c r="X313" i="5"/>
  <c r="AC313" i="5" s="1"/>
  <c r="T313" i="5"/>
  <c r="S313" i="5"/>
  <c r="R313" i="5"/>
  <c r="Q313" i="5"/>
  <c r="P313" i="5"/>
  <c r="V313" i="5" s="1"/>
  <c r="N313" i="5"/>
  <c r="M313" i="5"/>
  <c r="K313" i="5"/>
  <c r="J313" i="5"/>
  <c r="H313" i="5"/>
  <c r="AB312" i="5"/>
  <c r="AA312" i="5"/>
  <c r="Z312" i="5"/>
  <c r="Y312" i="5"/>
  <c r="AC312" i="5" s="1"/>
  <c r="X312" i="5"/>
  <c r="T312" i="5"/>
  <c r="S312" i="5"/>
  <c r="R312" i="5"/>
  <c r="Q312" i="5"/>
  <c r="V312" i="5" s="1"/>
  <c r="P312" i="5"/>
  <c r="N312" i="5"/>
  <c r="M312" i="5"/>
  <c r="K312" i="5"/>
  <c r="J312" i="5"/>
  <c r="H312" i="5"/>
  <c r="AB311" i="5"/>
  <c r="AA311" i="5"/>
  <c r="Z311" i="5"/>
  <c r="Y311" i="5"/>
  <c r="X311" i="5"/>
  <c r="AC311" i="5" s="1"/>
  <c r="T311" i="5"/>
  <c r="S311" i="5"/>
  <c r="R311" i="5"/>
  <c r="Q311" i="5"/>
  <c r="P311" i="5"/>
  <c r="V311" i="5" s="1"/>
  <c r="N311" i="5"/>
  <c r="M311" i="5"/>
  <c r="K311" i="5"/>
  <c r="J311" i="5"/>
  <c r="H311" i="5"/>
  <c r="AB310" i="5"/>
  <c r="AA310" i="5"/>
  <c r="Z310" i="5"/>
  <c r="Y310" i="5"/>
  <c r="AC310" i="5" s="1"/>
  <c r="X310" i="5"/>
  <c r="T310" i="5"/>
  <c r="S310" i="5"/>
  <c r="R310" i="5"/>
  <c r="Q310" i="5"/>
  <c r="V310" i="5" s="1"/>
  <c r="P310" i="5"/>
  <c r="N310" i="5"/>
  <c r="M310" i="5"/>
  <c r="K310" i="5"/>
  <c r="J310" i="5"/>
  <c r="H310" i="5"/>
  <c r="AB309" i="5"/>
  <c r="AA309" i="5"/>
  <c r="Z309" i="5"/>
  <c r="Y309" i="5"/>
  <c r="X309" i="5"/>
  <c r="AC309" i="5" s="1"/>
  <c r="T309" i="5"/>
  <c r="S309" i="5"/>
  <c r="R309" i="5"/>
  <c r="Q309" i="5"/>
  <c r="P309" i="5"/>
  <c r="V309" i="5" s="1"/>
  <c r="N309" i="5"/>
  <c r="M309" i="5"/>
  <c r="K309" i="5"/>
  <c r="J309" i="5"/>
  <c r="H309" i="5"/>
  <c r="AB308" i="5"/>
  <c r="AA308" i="5"/>
  <c r="Z308" i="5"/>
  <c r="Y308" i="5"/>
  <c r="AC308" i="5" s="1"/>
  <c r="X308" i="5"/>
  <c r="T308" i="5"/>
  <c r="S308" i="5"/>
  <c r="R308" i="5"/>
  <c r="Q308" i="5"/>
  <c r="V308" i="5" s="1"/>
  <c r="P308" i="5"/>
  <c r="N308" i="5"/>
  <c r="M308" i="5"/>
  <c r="K308" i="5"/>
  <c r="J308" i="5"/>
  <c r="H308" i="5"/>
  <c r="AB307" i="5"/>
  <c r="AA307" i="5"/>
  <c r="Z307" i="5"/>
  <c r="Y307" i="5"/>
  <c r="X307" i="5"/>
  <c r="AC307" i="5" s="1"/>
  <c r="T307" i="5"/>
  <c r="S307" i="5"/>
  <c r="R307" i="5"/>
  <c r="Q307" i="5"/>
  <c r="P307" i="5"/>
  <c r="V307" i="5" s="1"/>
  <c r="N307" i="5"/>
  <c r="M307" i="5"/>
  <c r="K307" i="5"/>
  <c r="J307" i="5"/>
  <c r="H307" i="5"/>
  <c r="AB306" i="5"/>
  <c r="AA306" i="5"/>
  <c r="Z306" i="5"/>
  <c r="Y306" i="5"/>
  <c r="AC306" i="5" s="1"/>
  <c r="X306" i="5"/>
  <c r="T306" i="5"/>
  <c r="S306" i="5"/>
  <c r="R306" i="5"/>
  <c r="Q306" i="5"/>
  <c r="V306" i="5" s="1"/>
  <c r="P306" i="5"/>
  <c r="N306" i="5"/>
  <c r="M306" i="5"/>
  <c r="K306" i="5"/>
  <c r="J306" i="5"/>
  <c r="H306" i="5"/>
  <c r="AB305" i="5"/>
  <c r="AA305" i="5"/>
  <c r="Z305" i="5"/>
  <c r="Y305" i="5"/>
  <c r="X305" i="5"/>
  <c r="AC305" i="5" s="1"/>
  <c r="T305" i="5"/>
  <c r="S305" i="5"/>
  <c r="R305" i="5"/>
  <c r="Q305" i="5"/>
  <c r="P305" i="5"/>
  <c r="V305" i="5" s="1"/>
  <c r="N305" i="5"/>
  <c r="M305" i="5"/>
  <c r="K305" i="5"/>
  <c r="J305" i="5"/>
  <c r="H305" i="5"/>
  <c r="AB304" i="5"/>
  <c r="AA304" i="5"/>
  <c r="Z304" i="5"/>
  <c r="Y304" i="5"/>
  <c r="AC304" i="5" s="1"/>
  <c r="X304" i="5"/>
  <c r="T304" i="5"/>
  <c r="S304" i="5"/>
  <c r="R304" i="5"/>
  <c r="Q304" i="5"/>
  <c r="V304" i="5" s="1"/>
  <c r="P304" i="5"/>
  <c r="N304" i="5"/>
  <c r="M304" i="5"/>
  <c r="K304" i="5"/>
  <c r="J304" i="5"/>
  <c r="H304" i="5"/>
  <c r="AB303" i="5"/>
  <c r="AA303" i="5"/>
  <c r="Z303" i="5"/>
  <c r="Y303" i="5"/>
  <c r="X303" i="5"/>
  <c r="AC303" i="5" s="1"/>
  <c r="T303" i="5"/>
  <c r="S303" i="5"/>
  <c r="R303" i="5"/>
  <c r="Q303" i="5"/>
  <c r="P303" i="5"/>
  <c r="V303" i="5" s="1"/>
  <c r="N303" i="5"/>
  <c r="M303" i="5"/>
  <c r="K303" i="5"/>
  <c r="J303" i="5"/>
  <c r="H303" i="5"/>
  <c r="AB302" i="5"/>
  <c r="AA302" i="5"/>
  <c r="Z302" i="5"/>
  <c r="Y302" i="5"/>
  <c r="AC302" i="5" s="1"/>
  <c r="X302" i="5"/>
  <c r="T302" i="5"/>
  <c r="S302" i="5"/>
  <c r="R302" i="5"/>
  <c r="Q302" i="5"/>
  <c r="V302" i="5" s="1"/>
  <c r="P302" i="5"/>
  <c r="N302" i="5"/>
  <c r="M302" i="5"/>
  <c r="K302" i="5"/>
  <c r="J302" i="5"/>
  <c r="H302" i="5"/>
  <c r="AB301" i="5"/>
  <c r="AA301" i="5"/>
  <c r="Z301" i="5"/>
  <c r="Y301" i="5"/>
  <c r="X301" i="5"/>
  <c r="AC301" i="5" s="1"/>
  <c r="T301" i="5"/>
  <c r="S301" i="5"/>
  <c r="R301" i="5"/>
  <c r="Q301" i="5"/>
  <c r="P301" i="5"/>
  <c r="V301" i="5" s="1"/>
  <c r="N301" i="5"/>
  <c r="M301" i="5"/>
  <c r="K301" i="5"/>
  <c r="J301" i="5"/>
  <c r="H301" i="5"/>
  <c r="AB300" i="5"/>
  <c r="AA300" i="5"/>
  <c r="Z300" i="5"/>
  <c r="Y300" i="5"/>
  <c r="AC300" i="5" s="1"/>
  <c r="X300" i="5"/>
  <c r="T300" i="5"/>
  <c r="S300" i="5"/>
  <c r="R300" i="5"/>
  <c r="Q300" i="5"/>
  <c r="V300" i="5" s="1"/>
  <c r="P300" i="5"/>
  <c r="N300" i="5"/>
  <c r="M300" i="5"/>
  <c r="K300" i="5"/>
  <c r="J300" i="5"/>
  <c r="H300" i="5"/>
  <c r="AB299" i="5"/>
  <c r="AA299" i="5"/>
  <c r="Z299" i="5"/>
  <c r="Y299" i="5"/>
  <c r="X299" i="5"/>
  <c r="AC299" i="5" s="1"/>
  <c r="T299" i="5"/>
  <c r="S299" i="5"/>
  <c r="R299" i="5"/>
  <c r="Q299" i="5"/>
  <c r="P299" i="5"/>
  <c r="V299" i="5" s="1"/>
  <c r="N299" i="5"/>
  <c r="M299" i="5"/>
  <c r="K299" i="5"/>
  <c r="J299" i="5"/>
  <c r="H299" i="5"/>
  <c r="AB298" i="5"/>
  <c r="AA298" i="5"/>
  <c r="Z298" i="5"/>
  <c r="Y298" i="5"/>
  <c r="AC298" i="5" s="1"/>
  <c r="X298" i="5"/>
  <c r="T298" i="5"/>
  <c r="S298" i="5"/>
  <c r="R298" i="5"/>
  <c r="Q298" i="5"/>
  <c r="V298" i="5" s="1"/>
  <c r="P298" i="5"/>
  <c r="N298" i="5"/>
  <c r="M298" i="5"/>
  <c r="K298" i="5"/>
  <c r="J298" i="5"/>
  <c r="H298" i="5"/>
  <c r="AB297" i="5"/>
  <c r="AA297" i="5"/>
  <c r="Z297" i="5"/>
  <c r="Y297" i="5"/>
  <c r="X297" i="5"/>
  <c r="AC297" i="5" s="1"/>
  <c r="T297" i="5"/>
  <c r="S297" i="5"/>
  <c r="R297" i="5"/>
  <c r="Q297" i="5"/>
  <c r="P297" i="5"/>
  <c r="V297" i="5" s="1"/>
  <c r="N297" i="5"/>
  <c r="M297" i="5"/>
  <c r="K297" i="5"/>
  <c r="J297" i="5"/>
  <c r="H297" i="5"/>
  <c r="AB296" i="5"/>
  <c r="AA296" i="5"/>
  <c r="Z296" i="5"/>
  <c r="Y296" i="5"/>
  <c r="AC296" i="5" s="1"/>
  <c r="X296" i="5"/>
  <c r="T296" i="5"/>
  <c r="S296" i="5"/>
  <c r="R296" i="5"/>
  <c r="Q296" i="5"/>
  <c r="V296" i="5" s="1"/>
  <c r="P296" i="5"/>
  <c r="N296" i="5"/>
  <c r="M296" i="5"/>
  <c r="K296" i="5"/>
  <c r="J296" i="5"/>
  <c r="H296" i="5"/>
  <c r="AB295" i="5"/>
  <c r="AA295" i="5"/>
  <c r="Z295" i="5"/>
  <c r="Y295" i="5"/>
  <c r="X295" i="5"/>
  <c r="AC295" i="5" s="1"/>
  <c r="T295" i="5"/>
  <c r="S295" i="5"/>
  <c r="R295" i="5"/>
  <c r="Q295" i="5"/>
  <c r="P295" i="5"/>
  <c r="V295" i="5" s="1"/>
  <c r="N295" i="5"/>
  <c r="M295" i="5"/>
  <c r="K295" i="5"/>
  <c r="J295" i="5"/>
  <c r="H295" i="5"/>
  <c r="AB294" i="5"/>
  <c r="AA294" i="5"/>
  <c r="Z294" i="5"/>
  <c r="Y294" i="5"/>
  <c r="AC294" i="5" s="1"/>
  <c r="X294" i="5"/>
  <c r="T294" i="5"/>
  <c r="S294" i="5"/>
  <c r="R294" i="5"/>
  <c r="Q294" i="5"/>
  <c r="V294" i="5" s="1"/>
  <c r="P294" i="5"/>
  <c r="N294" i="5"/>
  <c r="M294" i="5"/>
  <c r="K294" i="5"/>
  <c r="J294" i="5"/>
  <c r="H294" i="5"/>
  <c r="AB293" i="5"/>
  <c r="AA293" i="5"/>
  <c r="Z293" i="5"/>
  <c r="Y293" i="5"/>
  <c r="X293" i="5"/>
  <c r="AC293" i="5" s="1"/>
  <c r="T293" i="5"/>
  <c r="S293" i="5"/>
  <c r="R293" i="5"/>
  <c r="Q293" i="5"/>
  <c r="P293" i="5"/>
  <c r="V293" i="5" s="1"/>
  <c r="N293" i="5"/>
  <c r="M293" i="5"/>
  <c r="K293" i="5"/>
  <c r="J293" i="5"/>
  <c r="H293" i="5"/>
  <c r="AB292" i="5"/>
  <c r="AA292" i="5"/>
  <c r="Z292" i="5"/>
  <c r="Y292" i="5"/>
  <c r="AC292" i="5" s="1"/>
  <c r="X292" i="5"/>
  <c r="T292" i="5"/>
  <c r="S292" i="5"/>
  <c r="R292" i="5"/>
  <c r="Q292" i="5"/>
  <c r="V292" i="5" s="1"/>
  <c r="P292" i="5"/>
  <c r="N292" i="5"/>
  <c r="M292" i="5"/>
  <c r="K292" i="5"/>
  <c r="J292" i="5"/>
  <c r="H292" i="5"/>
  <c r="AB291" i="5"/>
  <c r="AA291" i="5"/>
  <c r="Z291" i="5"/>
  <c r="Y291" i="5"/>
  <c r="X291" i="5"/>
  <c r="AC291" i="5" s="1"/>
  <c r="T291" i="5"/>
  <c r="S291" i="5"/>
  <c r="R291" i="5"/>
  <c r="Q291" i="5"/>
  <c r="P291" i="5"/>
  <c r="V291" i="5" s="1"/>
  <c r="N291" i="5"/>
  <c r="M291" i="5"/>
  <c r="K291" i="5"/>
  <c r="J291" i="5"/>
  <c r="H291" i="5"/>
  <c r="AB290" i="5"/>
  <c r="AA290" i="5"/>
  <c r="Z290" i="5"/>
  <c r="Y290" i="5"/>
  <c r="AC290" i="5" s="1"/>
  <c r="X290" i="5"/>
  <c r="T290" i="5"/>
  <c r="S290" i="5"/>
  <c r="R290" i="5"/>
  <c r="Q290" i="5"/>
  <c r="V290" i="5" s="1"/>
  <c r="P290" i="5"/>
  <c r="N290" i="5"/>
  <c r="M290" i="5"/>
  <c r="K290" i="5"/>
  <c r="J290" i="5"/>
  <c r="H290" i="5"/>
  <c r="AB289" i="5"/>
  <c r="AA289" i="5"/>
  <c r="Z289" i="5"/>
  <c r="Y289" i="5"/>
  <c r="X289" i="5"/>
  <c r="AC289" i="5" s="1"/>
  <c r="T289" i="5"/>
  <c r="S289" i="5"/>
  <c r="R289" i="5"/>
  <c r="Q289" i="5"/>
  <c r="P289" i="5"/>
  <c r="V289" i="5" s="1"/>
  <c r="N289" i="5"/>
  <c r="M289" i="5"/>
  <c r="K289" i="5"/>
  <c r="J289" i="5"/>
  <c r="H289" i="5"/>
  <c r="AB288" i="5"/>
  <c r="AA288" i="5"/>
  <c r="Z288" i="5"/>
  <c r="Y288" i="5"/>
  <c r="AC288" i="5" s="1"/>
  <c r="X288" i="5"/>
  <c r="T288" i="5"/>
  <c r="S288" i="5"/>
  <c r="R288" i="5"/>
  <c r="Q288" i="5"/>
  <c r="V288" i="5" s="1"/>
  <c r="P288" i="5"/>
  <c r="N288" i="5"/>
  <c r="M288" i="5"/>
  <c r="K288" i="5"/>
  <c r="J288" i="5"/>
  <c r="H288" i="5"/>
  <c r="AB287" i="5"/>
  <c r="AA287" i="5"/>
  <c r="Z287" i="5"/>
  <c r="Y287" i="5"/>
  <c r="X287" i="5"/>
  <c r="AC287" i="5" s="1"/>
  <c r="T287" i="5"/>
  <c r="S287" i="5"/>
  <c r="R287" i="5"/>
  <c r="Q287" i="5"/>
  <c r="P287" i="5"/>
  <c r="V287" i="5" s="1"/>
  <c r="N287" i="5"/>
  <c r="M287" i="5"/>
  <c r="K287" i="5"/>
  <c r="J287" i="5"/>
  <c r="H287" i="5"/>
  <c r="AB286" i="5"/>
  <c r="AA286" i="5"/>
  <c r="Z286" i="5"/>
  <c r="Y286" i="5"/>
  <c r="AC286" i="5" s="1"/>
  <c r="X286" i="5"/>
  <c r="T286" i="5"/>
  <c r="S286" i="5"/>
  <c r="R286" i="5"/>
  <c r="Q286" i="5"/>
  <c r="V286" i="5" s="1"/>
  <c r="P286" i="5"/>
  <c r="N286" i="5"/>
  <c r="M286" i="5"/>
  <c r="K286" i="5"/>
  <c r="J286" i="5"/>
  <c r="H286" i="5"/>
  <c r="AB285" i="5"/>
  <c r="AA285" i="5"/>
  <c r="Z285" i="5"/>
  <c r="Y285" i="5"/>
  <c r="X285" i="5"/>
  <c r="AC285" i="5" s="1"/>
  <c r="T285" i="5"/>
  <c r="S285" i="5"/>
  <c r="R285" i="5"/>
  <c r="Q285" i="5"/>
  <c r="P285" i="5"/>
  <c r="V285" i="5" s="1"/>
  <c r="N285" i="5"/>
  <c r="M285" i="5"/>
  <c r="K285" i="5"/>
  <c r="J285" i="5"/>
  <c r="H285" i="5"/>
  <c r="AB284" i="5"/>
  <c r="AA284" i="5"/>
  <c r="Z284" i="5"/>
  <c r="Y284" i="5"/>
  <c r="AC284" i="5" s="1"/>
  <c r="X284" i="5"/>
  <c r="T284" i="5"/>
  <c r="S284" i="5"/>
  <c r="R284" i="5"/>
  <c r="Q284" i="5"/>
  <c r="V284" i="5" s="1"/>
  <c r="P284" i="5"/>
  <c r="N284" i="5"/>
  <c r="M284" i="5"/>
  <c r="K284" i="5"/>
  <c r="J284" i="5"/>
  <c r="H284" i="5"/>
  <c r="AB283" i="5"/>
  <c r="AA283" i="5"/>
  <c r="Z283" i="5"/>
  <c r="Y283" i="5"/>
  <c r="X283" i="5"/>
  <c r="AC283" i="5" s="1"/>
  <c r="T283" i="5"/>
  <c r="S283" i="5"/>
  <c r="R283" i="5"/>
  <c r="Q283" i="5"/>
  <c r="P283" i="5"/>
  <c r="V283" i="5" s="1"/>
  <c r="N283" i="5"/>
  <c r="M283" i="5"/>
  <c r="K283" i="5"/>
  <c r="J283" i="5"/>
  <c r="H283" i="5"/>
  <c r="AB282" i="5"/>
  <c r="AA282" i="5"/>
  <c r="Z282" i="5"/>
  <c r="Y282" i="5"/>
  <c r="AC282" i="5" s="1"/>
  <c r="X282" i="5"/>
  <c r="T282" i="5"/>
  <c r="S282" i="5"/>
  <c r="R282" i="5"/>
  <c r="Q282" i="5"/>
  <c r="V282" i="5" s="1"/>
  <c r="P282" i="5"/>
  <c r="N282" i="5"/>
  <c r="M282" i="5"/>
  <c r="K282" i="5"/>
  <c r="J282" i="5"/>
  <c r="H282" i="5"/>
  <c r="AB281" i="5"/>
  <c r="AA281" i="5"/>
  <c r="Z281" i="5"/>
  <c r="Y281" i="5"/>
  <c r="X281" i="5"/>
  <c r="AC281" i="5" s="1"/>
  <c r="T281" i="5"/>
  <c r="S281" i="5"/>
  <c r="R281" i="5"/>
  <c r="Q281" i="5"/>
  <c r="P281" i="5"/>
  <c r="V281" i="5" s="1"/>
  <c r="N281" i="5"/>
  <c r="M281" i="5"/>
  <c r="K281" i="5"/>
  <c r="J281" i="5"/>
  <c r="H281" i="5"/>
  <c r="AB280" i="5"/>
  <c r="AA280" i="5"/>
  <c r="Z280" i="5"/>
  <c r="Y280" i="5"/>
  <c r="AC280" i="5" s="1"/>
  <c r="X280" i="5"/>
  <c r="T280" i="5"/>
  <c r="S280" i="5"/>
  <c r="R280" i="5"/>
  <c r="Q280" i="5"/>
  <c r="V280" i="5" s="1"/>
  <c r="P280" i="5"/>
  <c r="N280" i="5"/>
  <c r="M280" i="5"/>
  <c r="K280" i="5"/>
  <c r="J280" i="5"/>
  <c r="H280" i="5"/>
  <c r="AB279" i="5"/>
  <c r="AA279" i="5"/>
  <c r="Z279" i="5"/>
  <c r="Y279" i="5"/>
  <c r="X279" i="5"/>
  <c r="AC279" i="5" s="1"/>
  <c r="T279" i="5"/>
  <c r="S279" i="5"/>
  <c r="R279" i="5"/>
  <c r="Q279" i="5"/>
  <c r="P279" i="5"/>
  <c r="V279" i="5" s="1"/>
  <c r="N279" i="5"/>
  <c r="M279" i="5"/>
  <c r="K279" i="5"/>
  <c r="J279" i="5"/>
  <c r="H279" i="5"/>
  <c r="AB278" i="5"/>
  <c r="AA278" i="5"/>
  <c r="Z278" i="5"/>
  <c r="Y278" i="5"/>
  <c r="AC278" i="5" s="1"/>
  <c r="X278" i="5"/>
  <c r="T278" i="5"/>
  <c r="S278" i="5"/>
  <c r="R278" i="5"/>
  <c r="Q278" i="5"/>
  <c r="V278" i="5" s="1"/>
  <c r="P278" i="5"/>
  <c r="N278" i="5"/>
  <c r="M278" i="5"/>
  <c r="K278" i="5"/>
  <c r="J278" i="5"/>
  <c r="H278" i="5"/>
  <c r="AB277" i="5"/>
  <c r="AA277" i="5"/>
  <c r="Z277" i="5"/>
  <c r="Y277" i="5"/>
  <c r="X277" i="5"/>
  <c r="AC277" i="5" s="1"/>
  <c r="T277" i="5"/>
  <c r="S277" i="5"/>
  <c r="R277" i="5"/>
  <c r="Q277" i="5"/>
  <c r="P277" i="5"/>
  <c r="V277" i="5" s="1"/>
  <c r="N277" i="5"/>
  <c r="M277" i="5"/>
  <c r="K277" i="5"/>
  <c r="J277" i="5"/>
  <c r="H277" i="5"/>
  <c r="AB276" i="5"/>
  <c r="AA276" i="5"/>
  <c r="Z276" i="5"/>
  <c r="Y276" i="5"/>
  <c r="AC276" i="5" s="1"/>
  <c r="X276" i="5"/>
  <c r="T276" i="5"/>
  <c r="S276" i="5"/>
  <c r="R276" i="5"/>
  <c r="Q276" i="5"/>
  <c r="V276" i="5" s="1"/>
  <c r="P276" i="5"/>
  <c r="N276" i="5"/>
  <c r="M276" i="5"/>
  <c r="K276" i="5"/>
  <c r="J276" i="5"/>
  <c r="H276" i="5"/>
  <c r="AB275" i="5"/>
  <c r="AA275" i="5"/>
  <c r="Z275" i="5"/>
  <c r="Y275" i="5"/>
  <c r="X275" i="5"/>
  <c r="AC275" i="5" s="1"/>
  <c r="T275" i="5"/>
  <c r="S275" i="5"/>
  <c r="R275" i="5"/>
  <c r="Q275" i="5"/>
  <c r="P275" i="5"/>
  <c r="V275" i="5" s="1"/>
  <c r="N275" i="5"/>
  <c r="M275" i="5"/>
  <c r="K275" i="5"/>
  <c r="J275" i="5"/>
  <c r="H275" i="5"/>
  <c r="AB274" i="5"/>
  <c r="AA274" i="5"/>
  <c r="Z274" i="5"/>
  <c r="Y274" i="5"/>
  <c r="AC274" i="5" s="1"/>
  <c r="X274" i="5"/>
  <c r="T274" i="5"/>
  <c r="S274" i="5"/>
  <c r="R274" i="5"/>
  <c r="Q274" i="5"/>
  <c r="V274" i="5" s="1"/>
  <c r="P274" i="5"/>
  <c r="N274" i="5"/>
  <c r="M274" i="5"/>
  <c r="K274" i="5"/>
  <c r="J274" i="5"/>
  <c r="H274" i="5"/>
  <c r="AB273" i="5"/>
  <c r="AA273" i="5"/>
  <c r="Z273" i="5"/>
  <c r="Y273" i="5"/>
  <c r="X273" i="5"/>
  <c r="AC273" i="5" s="1"/>
  <c r="T273" i="5"/>
  <c r="S273" i="5"/>
  <c r="R273" i="5"/>
  <c r="Q273" i="5"/>
  <c r="P273" i="5"/>
  <c r="V273" i="5" s="1"/>
  <c r="N273" i="5"/>
  <c r="M273" i="5"/>
  <c r="K273" i="5"/>
  <c r="J273" i="5"/>
  <c r="H273" i="5"/>
  <c r="AB272" i="5"/>
  <c r="AA272" i="5"/>
  <c r="Z272" i="5"/>
  <c r="Y272" i="5"/>
  <c r="AC272" i="5" s="1"/>
  <c r="X272" i="5"/>
  <c r="T272" i="5"/>
  <c r="S272" i="5"/>
  <c r="R272" i="5"/>
  <c r="Q272" i="5"/>
  <c r="V272" i="5" s="1"/>
  <c r="P272" i="5"/>
  <c r="N272" i="5"/>
  <c r="M272" i="5"/>
  <c r="K272" i="5"/>
  <c r="J272" i="5"/>
  <c r="H272" i="5"/>
  <c r="AB271" i="5"/>
  <c r="AA271" i="5"/>
  <c r="Z271" i="5"/>
  <c r="Y271" i="5"/>
  <c r="X271" i="5"/>
  <c r="AC271" i="5" s="1"/>
  <c r="T271" i="5"/>
  <c r="S271" i="5"/>
  <c r="R271" i="5"/>
  <c r="Q271" i="5"/>
  <c r="P271" i="5"/>
  <c r="V271" i="5" s="1"/>
  <c r="N271" i="5"/>
  <c r="M271" i="5"/>
  <c r="K271" i="5"/>
  <c r="J271" i="5"/>
  <c r="H271" i="5"/>
  <c r="AB270" i="5"/>
  <c r="AA270" i="5"/>
  <c r="Z270" i="5"/>
  <c r="Y270" i="5"/>
  <c r="AC270" i="5" s="1"/>
  <c r="X270" i="5"/>
  <c r="T270" i="5"/>
  <c r="S270" i="5"/>
  <c r="R270" i="5"/>
  <c r="Q270" i="5"/>
  <c r="V270" i="5" s="1"/>
  <c r="P270" i="5"/>
  <c r="N270" i="5"/>
  <c r="M270" i="5"/>
  <c r="K270" i="5"/>
  <c r="J270" i="5"/>
  <c r="H270" i="5"/>
  <c r="AB269" i="5"/>
  <c r="AA269" i="5"/>
  <c r="Z269" i="5"/>
  <c r="Y269" i="5"/>
  <c r="X269" i="5"/>
  <c r="AC269" i="5" s="1"/>
  <c r="T269" i="5"/>
  <c r="S269" i="5"/>
  <c r="R269" i="5"/>
  <c r="Q269" i="5"/>
  <c r="P269" i="5"/>
  <c r="V269" i="5" s="1"/>
  <c r="N269" i="5"/>
  <c r="M269" i="5"/>
  <c r="K269" i="5"/>
  <c r="J269" i="5"/>
  <c r="H269" i="5"/>
  <c r="AB268" i="5"/>
  <c r="AA268" i="5"/>
  <c r="Z268" i="5"/>
  <c r="Y268" i="5"/>
  <c r="AC268" i="5" s="1"/>
  <c r="X268" i="5"/>
  <c r="T268" i="5"/>
  <c r="S268" i="5"/>
  <c r="R268" i="5"/>
  <c r="Q268" i="5"/>
  <c r="V268" i="5" s="1"/>
  <c r="P268" i="5"/>
  <c r="N268" i="5"/>
  <c r="M268" i="5"/>
  <c r="K268" i="5"/>
  <c r="J268" i="5"/>
  <c r="H268" i="5"/>
  <c r="AB267" i="5"/>
  <c r="AA267" i="5"/>
  <c r="Z267" i="5"/>
  <c r="Y267" i="5"/>
  <c r="X267" i="5"/>
  <c r="AC267" i="5" s="1"/>
  <c r="T267" i="5"/>
  <c r="S267" i="5"/>
  <c r="R267" i="5"/>
  <c r="Q267" i="5"/>
  <c r="P267" i="5"/>
  <c r="V267" i="5" s="1"/>
  <c r="N267" i="5"/>
  <c r="M267" i="5"/>
  <c r="K267" i="5"/>
  <c r="J267" i="5"/>
  <c r="H267" i="5"/>
  <c r="AB266" i="5"/>
  <c r="AA266" i="5"/>
  <c r="Z266" i="5"/>
  <c r="Y266" i="5"/>
  <c r="AC266" i="5" s="1"/>
  <c r="X266" i="5"/>
  <c r="T266" i="5"/>
  <c r="S266" i="5"/>
  <c r="R266" i="5"/>
  <c r="Q266" i="5"/>
  <c r="V266" i="5" s="1"/>
  <c r="P266" i="5"/>
  <c r="N266" i="5"/>
  <c r="M266" i="5"/>
  <c r="K266" i="5"/>
  <c r="J266" i="5"/>
  <c r="H266" i="5"/>
  <c r="AB265" i="5"/>
  <c r="AA265" i="5"/>
  <c r="Z265" i="5"/>
  <c r="Y265" i="5"/>
  <c r="X265" i="5"/>
  <c r="AC265" i="5" s="1"/>
  <c r="T265" i="5"/>
  <c r="S265" i="5"/>
  <c r="R265" i="5"/>
  <c r="Q265" i="5"/>
  <c r="P265" i="5"/>
  <c r="V265" i="5" s="1"/>
  <c r="N265" i="5"/>
  <c r="M265" i="5"/>
  <c r="K265" i="5"/>
  <c r="J265" i="5"/>
  <c r="H265" i="5"/>
  <c r="AB264" i="5"/>
  <c r="AA264" i="5"/>
  <c r="Z264" i="5"/>
  <c r="Y264" i="5"/>
  <c r="AC264" i="5" s="1"/>
  <c r="X264" i="5"/>
  <c r="T264" i="5"/>
  <c r="S264" i="5"/>
  <c r="R264" i="5"/>
  <c r="Q264" i="5"/>
  <c r="V264" i="5" s="1"/>
  <c r="P264" i="5"/>
  <c r="N264" i="5"/>
  <c r="M264" i="5"/>
  <c r="K264" i="5"/>
  <c r="J264" i="5"/>
  <c r="H264" i="5"/>
  <c r="AB263" i="5"/>
  <c r="AA263" i="5"/>
  <c r="Z263" i="5"/>
  <c r="Y263" i="5"/>
  <c r="X263" i="5"/>
  <c r="AC263" i="5" s="1"/>
  <c r="T263" i="5"/>
  <c r="S263" i="5"/>
  <c r="R263" i="5"/>
  <c r="Q263" i="5"/>
  <c r="P263" i="5"/>
  <c r="V263" i="5" s="1"/>
  <c r="N263" i="5"/>
  <c r="M263" i="5"/>
  <c r="K263" i="5"/>
  <c r="J263" i="5"/>
  <c r="H263" i="5"/>
  <c r="AB262" i="5"/>
  <c r="AA262" i="5"/>
  <c r="Z262" i="5"/>
  <c r="Y262" i="5"/>
  <c r="AC262" i="5" s="1"/>
  <c r="X262" i="5"/>
  <c r="T262" i="5"/>
  <c r="S262" i="5"/>
  <c r="R262" i="5"/>
  <c r="Q262" i="5"/>
  <c r="V262" i="5" s="1"/>
  <c r="P262" i="5"/>
  <c r="N262" i="5"/>
  <c r="M262" i="5"/>
  <c r="K262" i="5"/>
  <c r="J262" i="5"/>
  <c r="H262" i="5"/>
  <c r="AB261" i="5"/>
  <c r="AA261" i="5"/>
  <c r="Z261" i="5"/>
  <c r="Y261" i="5"/>
  <c r="X261" i="5"/>
  <c r="AC261" i="5" s="1"/>
  <c r="T261" i="5"/>
  <c r="S261" i="5"/>
  <c r="R261" i="5"/>
  <c r="Q261" i="5"/>
  <c r="P261" i="5"/>
  <c r="V261" i="5" s="1"/>
  <c r="N261" i="5"/>
  <c r="M261" i="5"/>
  <c r="K261" i="5"/>
  <c r="J261" i="5"/>
  <c r="H261" i="5"/>
  <c r="AB260" i="5"/>
  <c r="AA260" i="5"/>
  <c r="Z260" i="5"/>
  <c r="Y260" i="5"/>
  <c r="AC260" i="5" s="1"/>
  <c r="X260" i="5"/>
  <c r="T260" i="5"/>
  <c r="S260" i="5"/>
  <c r="R260" i="5"/>
  <c r="Q260" i="5"/>
  <c r="V260" i="5" s="1"/>
  <c r="P260" i="5"/>
  <c r="N260" i="5"/>
  <c r="M260" i="5"/>
  <c r="K260" i="5"/>
  <c r="J260" i="5"/>
  <c r="H260" i="5"/>
  <c r="AB259" i="5"/>
  <c r="AA259" i="5"/>
  <c r="Z259" i="5"/>
  <c r="Y259" i="5"/>
  <c r="X259" i="5"/>
  <c r="AC259" i="5" s="1"/>
  <c r="T259" i="5"/>
  <c r="S259" i="5"/>
  <c r="R259" i="5"/>
  <c r="Q259" i="5"/>
  <c r="P259" i="5"/>
  <c r="V259" i="5" s="1"/>
  <c r="N259" i="5"/>
  <c r="M259" i="5"/>
  <c r="K259" i="5"/>
  <c r="J259" i="5"/>
  <c r="H259" i="5"/>
  <c r="AB258" i="5"/>
  <c r="AA258" i="5"/>
  <c r="Z258" i="5"/>
  <c r="Y258" i="5"/>
  <c r="AC258" i="5" s="1"/>
  <c r="X258" i="5"/>
  <c r="T258" i="5"/>
  <c r="S258" i="5"/>
  <c r="R258" i="5"/>
  <c r="Q258" i="5"/>
  <c r="V258" i="5" s="1"/>
  <c r="P258" i="5"/>
  <c r="N258" i="5"/>
  <c r="M258" i="5"/>
  <c r="K258" i="5"/>
  <c r="J258" i="5"/>
  <c r="H258" i="5"/>
  <c r="AB257" i="5"/>
  <c r="AA257" i="5"/>
  <c r="Z257" i="5"/>
  <c r="Y257" i="5"/>
  <c r="X257" i="5"/>
  <c r="AC257" i="5" s="1"/>
  <c r="T257" i="5"/>
  <c r="S257" i="5"/>
  <c r="R257" i="5"/>
  <c r="Q257" i="5"/>
  <c r="P257" i="5"/>
  <c r="V257" i="5" s="1"/>
  <c r="N257" i="5"/>
  <c r="M257" i="5"/>
  <c r="K257" i="5"/>
  <c r="J257" i="5"/>
  <c r="H257" i="5"/>
  <c r="AB256" i="5"/>
  <c r="AA256" i="5"/>
  <c r="Z256" i="5"/>
  <c r="Y256" i="5"/>
  <c r="AC256" i="5" s="1"/>
  <c r="X256" i="5"/>
  <c r="T256" i="5"/>
  <c r="S256" i="5"/>
  <c r="R256" i="5"/>
  <c r="Q256" i="5"/>
  <c r="V256" i="5" s="1"/>
  <c r="P256" i="5"/>
  <c r="N256" i="5"/>
  <c r="M256" i="5"/>
  <c r="K256" i="5"/>
  <c r="J256" i="5"/>
  <c r="H256" i="5"/>
  <c r="AB255" i="5"/>
  <c r="AA255" i="5"/>
  <c r="Z255" i="5"/>
  <c r="Y255" i="5"/>
  <c r="X255" i="5"/>
  <c r="AC255" i="5" s="1"/>
  <c r="T255" i="5"/>
  <c r="S255" i="5"/>
  <c r="R255" i="5"/>
  <c r="Q255" i="5"/>
  <c r="P255" i="5"/>
  <c r="V255" i="5" s="1"/>
  <c r="N255" i="5"/>
  <c r="M255" i="5"/>
  <c r="K255" i="5"/>
  <c r="J255" i="5"/>
  <c r="H255" i="5"/>
  <c r="AB254" i="5"/>
  <c r="AA254" i="5"/>
  <c r="Z254" i="5"/>
  <c r="Y254" i="5"/>
  <c r="AC254" i="5" s="1"/>
  <c r="X254" i="5"/>
  <c r="T254" i="5"/>
  <c r="S254" i="5"/>
  <c r="R254" i="5"/>
  <c r="Q254" i="5"/>
  <c r="V254" i="5" s="1"/>
  <c r="P254" i="5"/>
  <c r="N254" i="5"/>
  <c r="M254" i="5"/>
  <c r="K254" i="5"/>
  <c r="J254" i="5"/>
  <c r="H254" i="5"/>
  <c r="AB253" i="5"/>
  <c r="AA253" i="5"/>
  <c r="Z253" i="5"/>
  <c r="Y253" i="5"/>
  <c r="X253" i="5"/>
  <c r="AC253" i="5" s="1"/>
  <c r="T253" i="5"/>
  <c r="S253" i="5"/>
  <c r="R253" i="5"/>
  <c r="Q253" i="5"/>
  <c r="P253" i="5"/>
  <c r="V253" i="5" s="1"/>
  <c r="N253" i="5"/>
  <c r="M253" i="5"/>
  <c r="K253" i="5"/>
  <c r="J253" i="5"/>
  <c r="H253" i="5"/>
  <c r="AB252" i="5"/>
  <c r="AA252" i="5"/>
  <c r="Z252" i="5"/>
  <c r="Y252" i="5"/>
  <c r="AC252" i="5" s="1"/>
  <c r="X252" i="5"/>
  <c r="T252" i="5"/>
  <c r="S252" i="5"/>
  <c r="R252" i="5"/>
  <c r="Q252" i="5"/>
  <c r="V252" i="5" s="1"/>
  <c r="P252" i="5"/>
  <c r="N252" i="5"/>
  <c r="M252" i="5"/>
  <c r="K252" i="5"/>
  <c r="J252" i="5"/>
  <c r="H252" i="5"/>
  <c r="AB251" i="5"/>
  <c r="AA251" i="5"/>
  <c r="Z251" i="5"/>
  <c r="Y251" i="5"/>
  <c r="X251" i="5"/>
  <c r="AC251" i="5" s="1"/>
  <c r="T251" i="5"/>
  <c r="S251" i="5"/>
  <c r="R251" i="5"/>
  <c r="Q251" i="5"/>
  <c r="P251" i="5"/>
  <c r="V251" i="5" s="1"/>
  <c r="N251" i="5"/>
  <c r="M251" i="5"/>
  <c r="K251" i="5"/>
  <c r="J251" i="5"/>
  <c r="H251" i="5"/>
  <c r="AB250" i="5"/>
  <c r="AA250" i="5"/>
  <c r="Z250" i="5"/>
  <c r="Y250" i="5"/>
  <c r="AC250" i="5" s="1"/>
  <c r="X250" i="5"/>
  <c r="T250" i="5"/>
  <c r="S250" i="5"/>
  <c r="R250" i="5"/>
  <c r="Q250" i="5"/>
  <c r="V250" i="5" s="1"/>
  <c r="P250" i="5"/>
  <c r="N250" i="5"/>
  <c r="M250" i="5"/>
  <c r="K250" i="5"/>
  <c r="J250" i="5"/>
  <c r="H250" i="5"/>
  <c r="AB249" i="5"/>
  <c r="AA249" i="5"/>
  <c r="Z249" i="5"/>
  <c r="Y249" i="5"/>
  <c r="X249" i="5"/>
  <c r="AC249" i="5" s="1"/>
  <c r="T249" i="5"/>
  <c r="S249" i="5"/>
  <c r="R249" i="5"/>
  <c r="Q249" i="5"/>
  <c r="P249" i="5"/>
  <c r="V249" i="5" s="1"/>
  <c r="N249" i="5"/>
  <c r="M249" i="5"/>
  <c r="K249" i="5"/>
  <c r="J249" i="5"/>
  <c r="H249" i="5"/>
  <c r="AB248" i="5"/>
  <c r="AA248" i="5"/>
  <c r="Z248" i="5"/>
  <c r="Y248" i="5"/>
  <c r="AC248" i="5" s="1"/>
  <c r="X248" i="5"/>
  <c r="T248" i="5"/>
  <c r="S248" i="5"/>
  <c r="R248" i="5"/>
  <c r="Q248" i="5"/>
  <c r="V248" i="5" s="1"/>
  <c r="P248" i="5"/>
  <c r="N248" i="5"/>
  <c r="M248" i="5"/>
  <c r="K248" i="5"/>
  <c r="J248" i="5"/>
  <c r="H248" i="5"/>
  <c r="AB247" i="5"/>
  <c r="AA247" i="5"/>
  <c r="Z247" i="5"/>
  <c r="Y247" i="5"/>
  <c r="X247" i="5"/>
  <c r="T247" i="5"/>
  <c r="S247" i="5"/>
  <c r="R247" i="5"/>
  <c r="Q247" i="5"/>
  <c r="V247" i="5" s="1"/>
  <c r="P247" i="5"/>
  <c r="N247" i="5"/>
  <c r="M247" i="5"/>
  <c r="K247" i="5"/>
  <c r="J247" i="5"/>
  <c r="H247" i="5"/>
  <c r="AB246" i="5"/>
  <c r="AA246" i="5"/>
  <c r="Z246" i="5"/>
  <c r="Y246" i="5"/>
  <c r="X246" i="5"/>
  <c r="AC246" i="5" s="1"/>
  <c r="T246" i="5"/>
  <c r="S246" i="5"/>
  <c r="R246" i="5"/>
  <c r="Q246" i="5"/>
  <c r="P246" i="5"/>
  <c r="V246" i="5" s="1"/>
  <c r="N246" i="5"/>
  <c r="M246" i="5"/>
  <c r="K246" i="5"/>
  <c r="J246" i="5"/>
  <c r="H246" i="5"/>
  <c r="AB245" i="5"/>
  <c r="AA245" i="5"/>
  <c r="Z245" i="5"/>
  <c r="Y245" i="5"/>
  <c r="AC245" i="5" s="1"/>
  <c r="X245" i="5"/>
  <c r="T245" i="5"/>
  <c r="S245" i="5"/>
  <c r="R245" i="5"/>
  <c r="Q245" i="5"/>
  <c r="V245" i="5" s="1"/>
  <c r="P245" i="5"/>
  <c r="N245" i="5"/>
  <c r="M245" i="5"/>
  <c r="K245" i="5"/>
  <c r="J245" i="5"/>
  <c r="H245" i="5"/>
  <c r="AB244" i="5"/>
  <c r="AA244" i="5"/>
  <c r="Z244" i="5"/>
  <c r="Y244" i="5"/>
  <c r="X244" i="5"/>
  <c r="AC244" i="5" s="1"/>
  <c r="T244" i="5"/>
  <c r="S244" i="5"/>
  <c r="R244" i="5"/>
  <c r="Q244" i="5"/>
  <c r="P244" i="5"/>
  <c r="V244" i="5" s="1"/>
  <c r="N244" i="5"/>
  <c r="M244" i="5"/>
  <c r="K244" i="5"/>
  <c r="J244" i="5"/>
  <c r="H244" i="5"/>
  <c r="AB243" i="5"/>
  <c r="AA243" i="5"/>
  <c r="Z243" i="5"/>
  <c r="Y243" i="5"/>
  <c r="AC243" i="5" s="1"/>
  <c r="X243" i="5"/>
  <c r="T243" i="5"/>
  <c r="S243" i="5"/>
  <c r="R243" i="5"/>
  <c r="Q243" i="5"/>
  <c r="V243" i="5" s="1"/>
  <c r="P243" i="5"/>
  <c r="N243" i="5"/>
  <c r="M243" i="5"/>
  <c r="K243" i="5"/>
  <c r="J243" i="5"/>
  <c r="H243" i="5"/>
  <c r="AB242" i="5"/>
  <c r="AA242" i="5"/>
  <c r="Z242" i="5"/>
  <c r="Y242" i="5"/>
  <c r="X242" i="5"/>
  <c r="AC242" i="5" s="1"/>
  <c r="T242" i="5"/>
  <c r="S242" i="5"/>
  <c r="R242" i="5"/>
  <c r="Q242" i="5"/>
  <c r="P242" i="5"/>
  <c r="V242" i="5" s="1"/>
  <c r="N242" i="5"/>
  <c r="M242" i="5"/>
  <c r="K242" i="5"/>
  <c r="J242" i="5"/>
  <c r="H242" i="5"/>
  <c r="AB241" i="5"/>
  <c r="AA241" i="5"/>
  <c r="Z241" i="5"/>
  <c r="Y241" i="5"/>
  <c r="AC241" i="5" s="1"/>
  <c r="X241" i="5"/>
  <c r="T241" i="5"/>
  <c r="S241" i="5"/>
  <c r="R241" i="5"/>
  <c r="Q241" i="5"/>
  <c r="V241" i="5" s="1"/>
  <c r="P241" i="5"/>
  <c r="N241" i="5"/>
  <c r="M241" i="5"/>
  <c r="K241" i="5"/>
  <c r="J241" i="5"/>
  <c r="H241" i="5"/>
  <c r="AB240" i="5"/>
  <c r="AA240" i="5"/>
  <c r="Z240" i="5"/>
  <c r="Y240" i="5"/>
  <c r="X240" i="5"/>
  <c r="AC240" i="5" s="1"/>
  <c r="T240" i="5"/>
  <c r="S240" i="5"/>
  <c r="R240" i="5"/>
  <c r="Q240" i="5"/>
  <c r="P240" i="5"/>
  <c r="V240" i="5" s="1"/>
  <c r="N240" i="5"/>
  <c r="M240" i="5"/>
  <c r="K240" i="5"/>
  <c r="J240" i="5"/>
  <c r="H240" i="5"/>
  <c r="AB239" i="5"/>
  <c r="AA239" i="5"/>
  <c r="Z239" i="5"/>
  <c r="Y239" i="5"/>
  <c r="AC239" i="5" s="1"/>
  <c r="X239" i="5"/>
  <c r="T239" i="5"/>
  <c r="S239" i="5"/>
  <c r="R239" i="5"/>
  <c r="Q239" i="5"/>
  <c r="V239" i="5" s="1"/>
  <c r="P239" i="5"/>
  <c r="N239" i="5"/>
  <c r="M239" i="5"/>
  <c r="K239" i="5"/>
  <c r="J239" i="5"/>
  <c r="H239" i="5"/>
  <c r="AB238" i="5"/>
  <c r="AA238" i="5"/>
  <c r="Z238" i="5"/>
  <c r="Y238" i="5"/>
  <c r="X238" i="5"/>
  <c r="AC238" i="5" s="1"/>
  <c r="T238" i="5"/>
  <c r="S238" i="5"/>
  <c r="R238" i="5"/>
  <c r="Q238" i="5"/>
  <c r="P238" i="5"/>
  <c r="V238" i="5" s="1"/>
  <c r="N238" i="5"/>
  <c r="M238" i="5"/>
  <c r="K238" i="5"/>
  <c r="J238" i="5"/>
  <c r="H238" i="5"/>
  <c r="AB237" i="5"/>
  <c r="AA237" i="5"/>
  <c r="Z237" i="5"/>
  <c r="Y237" i="5"/>
  <c r="AC237" i="5" s="1"/>
  <c r="X237" i="5"/>
  <c r="T237" i="5"/>
  <c r="S237" i="5"/>
  <c r="R237" i="5"/>
  <c r="Q237" i="5"/>
  <c r="V237" i="5" s="1"/>
  <c r="P237" i="5"/>
  <c r="N237" i="5"/>
  <c r="M237" i="5"/>
  <c r="K237" i="5"/>
  <c r="J237" i="5"/>
  <c r="H237" i="5"/>
  <c r="AB236" i="5"/>
  <c r="AA236" i="5"/>
  <c r="Z236" i="5"/>
  <c r="Y236" i="5"/>
  <c r="X236" i="5"/>
  <c r="AC236" i="5" s="1"/>
  <c r="T236" i="5"/>
  <c r="S236" i="5"/>
  <c r="R236" i="5"/>
  <c r="Q236" i="5"/>
  <c r="P236" i="5"/>
  <c r="V236" i="5" s="1"/>
  <c r="N236" i="5"/>
  <c r="M236" i="5"/>
  <c r="K236" i="5"/>
  <c r="J236" i="5"/>
  <c r="H236" i="5"/>
  <c r="AB235" i="5"/>
  <c r="AA235" i="5"/>
  <c r="Z235" i="5"/>
  <c r="Y235" i="5"/>
  <c r="AC235" i="5" s="1"/>
  <c r="X235" i="5"/>
  <c r="T235" i="5"/>
  <c r="S235" i="5"/>
  <c r="R235" i="5"/>
  <c r="Q235" i="5"/>
  <c r="V235" i="5" s="1"/>
  <c r="P235" i="5"/>
  <c r="N235" i="5"/>
  <c r="M235" i="5"/>
  <c r="K235" i="5"/>
  <c r="J235" i="5"/>
  <c r="H235" i="5"/>
  <c r="AB234" i="5"/>
  <c r="AA234" i="5"/>
  <c r="Z234" i="5"/>
  <c r="Y234" i="5"/>
  <c r="X234" i="5"/>
  <c r="AC234" i="5" s="1"/>
  <c r="T234" i="5"/>
  <c r="S234" i="5"/>
  <c r="R234" i="5"/>
  <c r="Q234" i="5"/>
  <c r="P234" i="5"/>
  <c r="V234" i="5" s="1"/>
  <c r="N234" i="5"/>
  <c r="M234" i="5"/>
  <c r="K234" i="5"/>
  <c r="J234" i="5"/>
  <c r="H234" i="5"/>
  <c r="AB233" i="5"/>
  <c r="AA233" i="5"/>
  <c r="Z233" i="5"/>
  <c r="Y233" i="5"/>
  <c r="AC233" i="5" s="1"/>
  <c r="X233" i="5"/>
  <c r="T233" i="5"/>
  <c r="S233" i="5"/>
  <c r="R233" i="5"/>
  <c r="Q233" i="5"/>
  <c r="V233" i="5" s="1"/>
  <c r="P233" i="5"/>
  <c r="N233" i="5"/>
  <c r="M233" i="5"/>
  <c r="K233" i="5"/>
  <c r="J233" i="5"/>
  <c r="H233" i="5"/>
  <c r="AB232" i="5"/>
  <c r="AA232" i="5"/>
  <c r="Z232" i="5"/>
  <c r="Y232" i="5"/>
  <c r="X232" i="5"/>
  <c r="AC232" i="5" s="1"/>
  <c r="T232" i="5"/>
  <c r="S232" i="5"/>
  <c r="R232" i="5"/>
  <c r="Q232" i="5"/>
  <c r="P232" i="5"/>
  <c r="V232" i="5" s="1"/>
  <c r="N232" i="5"/>
  <c r="M232" i="5"/>
  <c r="K232" i="5"/>
  <c r="J232" i="5"/>
  <c r="H232" i="5"/>
  <c r="AB231" i="5"/>
  <c r="AA231" i="5"/>
  <c r="Z231" i="5"/>
  <c r="Y231" i="5"/>
  <c r="AC231" i="5" s="1"/>
  <c r="X231" i="5"/>
  <c r="T231" i="5"/>
  <c r="S231" i="5"/>
  <c r="R231" i="5"/>
  <c r="Q231" i="5"/>
  <c r="V231" i="5" s="1"/>
  <c r="P231" i="5"/>
  <c r="N231" i="5"/>
  <c r="M231" i="5"/>
  <c r="K231" i="5"/>
  <c r="J231" i="5"/>
  <c r="H231" i="5"/>
  <c r="AB230" i="5"/>
  <c r="AA230" i="5"/>
  <c r="Z230" i="5"/>
  <c r="Y230" i="5"/>
  <c r="X230" i="5"/>
  <c r="AC230" i="5" s="1"/>
  <c r="T230" i="5"/>
  <c r="S230" i="5"/>
  <c r="R230" i="5"/>
  <c r="Q230" i="5"/>
  <c r="P230" i="5"/>
  <c r="V230" i="5" s="1"/>
  <c r="N230" i="5"/>
  <c r="M230" i="5"/>
  <c r="K230" i="5"/>
  <c r="J230" i="5"/>
  <c r="H230" i="5"/>
  <c r="AB229" i="5"/>
  <c r="AA229" i="5"/>
  <c r="Z229" i="5"/>
  <c r="Y229" i="5"/>
  <c r="AC229" i="5" s="1"/>
  <c r="X229" i="5"/>
  <c r="T229" i="5"/>
  <c r="S229" i="5"/>
  <c r="R229" i="5"/>
  <c r="Q229" i="5"/>
  <c r="V229" i="5" s="1"/>
  <c r="P229" i="5"/>
  <c r="N229" i="5"/>
  <c r="M229" i="5"/>
  <c r="K229" i="5"/>
  <c r="J229" i="5"/>
  <c r="H229" i="5"/>
  <c r="AB228" i="5"/>
  <c r="AA228" i="5"/>
  <c r="Z228" i="5"/>
  <c r="Y228" i="5"/>
  <c r="X228" i="5"/>
  <c r="AC228" i="5" s="1"/>
  <c r="T228" i="5"/>
  <c r="S228" i="5"/>
  <c r="R228" i="5"/>
  <c r="Q228" i="5"/>
  <c r="P228" i="5"/>
  <c r="V228" i="5" s="1"/>
  <c r="N228" i="5"/>
  <c r="M228" i="5"/>
  <c r="K228" i="5"/>
  <c r="J228" i="5"/>
  <c r="H228" i="5"/>
  <c r="AB227" i="5"/>
  <c r="AA227" i="5"/>
  <c r="Z227" i="5"/>
  <c r="Y227" i="5"/>
  <c r="AC227" i="5" s="1"/>
  <c r="X227" i="5"/>
  <c r="T227" i="5"/>
  <c r="S227" i="5"/>
  <c r="R227" i="5"/>
  <c r="Q227" i="5"/>
  <c r="V227" i="5" s="1"/>
  <c r="P227" i="5"/>
  <c r="N227" i="5"/>
  <c r="M227" i="5"/>
  <c r="K227" i="5"/>
  <c r="J227" i="5"/>
  <c r="H227" i="5"/>
  <c r="AB226" i="5"/>
  <c r="AA226" i="5"/>
  <c r="Z226" i="5"/>
  <c r="Y226" i="5"/>
  <c r="X226" i="5"/>
  <c r="AC226" i="5" s="1"/>
  <c r="T226" i="5"/>
  <c r="S226" i="5"/>
  <c r="R226" i="5"/>
  <c r="Q226" i="5"/>
  <c r="P226" i="5"/>
  <c r="V226" i="5" s="1"/>
  <c r="N226" i="5"/>
  <c r="M226" i="5"/>
  <c r="K226" i="5"/>
  <c r="J226" i="5"/>
  <c r="H226" i="5"/>
  <c r="AB225" i="5"/>
  <c r="AA225" i="5"/>
  <c r="Z225" i="5"/>
  <c r="Y225" i="5"/>
  <c r="AC225" i="5" s="1"/>
  <c r="X225" i="5"/>
  <c r="T225" i="5"/>
  <c r="S225" i="5"/>
  <c r="R225" i="5"/>
  <c r="Q225" i="5"/>
  <c r="V225" i="5" s="1"/>
  <c r="P225" i="5"/>
  <c r="N225" i="5"/>
  <c r="M225" i="5"/>
  <c r="K225" i="5"/>
  <c r="J225" i="5"/>
  <c r="H225" i="5"/>
  <c r="AB224" i="5"/>
  <c r="AA224" i="5"/>
  <c r="Z224" i="5"/>
  <c r="Y224" i="5"/>
  <c r="X224" i="5"/>
  <c r="AC224" i="5" s="1"/>
  <c r="T224" i="5"/>
  <c r="S224" i="5"/>
  <c r="R224" i="5"/>
  <c r="Q224" i="5"/>
  <c r="P224" i="5"/>
  <c r="V224" i="5" s="1"/>
  <c r="N224" i="5"/>
  <c r="M224" i="5"/>
  <c r="K224" i="5"/>
  <c r="J224" i="5"/>
  <c r="H224" i="5"/>
  <c r="AB223" i="5"/>
  <c r="AA223" i="5"/>
  <c r="Z223" i="5"/>
  <c r="Y223" i="5"/>
  <c r="AC223" i="5" s="1"/>
  <c r="X223" i="5"/>
  <c r="T223" i="5"/>
  <c r="S223" i="5"/>
  <c r="R223" i="5"/>
  <c r="Q223" i="5"/>
  <c r="V223" i="5" s="1"/>
  <c r="P223" i="5"/>
  <c r="N223" i="5"/>
  <c r="M223" i="5"/>
  <c r="K223" i="5"/>
  <c r="J223" i="5"/>
  <c r="H223" i="5"/>
  <c r="AB222" i="5"/>
  <c r="AA222" i="5"/>
  <c r="Z222" i="5"/>
  <c r="Y222" i="5"/>
  <c r="X222" i="5"/>
  <c r="AC222" i="5" s="1"/>
  <c r="T222" i="5"/>
  <c r="S222" i="5"/>
  <c r="R222" i="5"/>
  <c r="Q222" i="5"/>
  <c r="P222" i="5"/>
  <c r="V222" i="5" s="1"/>
  <c r="N222" i="5"/>
  <c r="M222" i="5"/>
  <c r="K222" i="5"/>
  <c r="J222" i="5"/>
  <c r="H222" i="5"/>
  <c r="AB221" i="5"/>
  <c r="AA221" i="5"/>
  <c r="Z221" i="5"/>
  <c r="Y221" i="5"/>
  <c r="AC221" i="5" s="1"/>
  <c r="X221" i="5"/>
  <c r="T221" i="5"/>
  <c r="S221" i="5"/>
  <c r="R221" i="5"/>
  <c r="Q221" i="5"/>
  <c r="V221" i="5" s="1"/>
  <c r="P221" i="5"/>
  <c r="N221" i="5"/>
  <c r="M221" i="5"/>
  <c r="K221" i="5"/>
  <c r="J221" i="5"/>
  <c r="H221" i="5"/>
  <c r="AB220" i="5"/>
  <c r="AA220" i="5"/>
  <c r="Z220" i="5"/>
  <c r="Y220" i="5"/>
  <c r="X220" i="5"/>
  <c r="AC220" i="5" s="1"/>
  <c r="T220" i="5"/>
  <c r="S220" i="5"/>
  <c r="R220" i="5"/>
  <c r="Q220" i="5"/>
  <c r="P220" i="5"/>
  <c r="V220" i="5" s="1"/>
  <c r="N220" i="5"/>
  <c r="M220" i="5"/>
  <c r="K220" i="5"/>
  <c r="J220" i="5"/>
  <c r="H220" i="5"/>
  <c r="AB219" i="5"/>
  <c r="AA219" i="5"/>
  <c r="Z219" i="5"/>
  <c r="Y219" i="5"/>
  <c r="AC219" i="5" s="1"/>
  <c r="X219" i="5"/>
  <c r="T219" i="5"/>
  <c r="S219" i="5"/>
  <c r="R219" i="5"/>
  <c r="Q219" i="5"/>
  <c r="V219" i="5" s="1"/>
  <c r="P219" i="5"/>
  <c r="N219" i="5"/>
  <c r="M219" i="5"/>
  <c r="K219" i="5"/>
  <c r="J219" i="5"/>
  <c r="H219" i="5"/>
  <c r="AB218" i="5"/>
  <c r="AA218" i="5"/>
  <c r="Z218" i="5"/>
  <c r="Y218" i="5"/>
  <c r="X218" i="5"/>
  <c r="AC218" i="5" s="1"/>
  <c r="T218" i="5"/>
  <c r="S218" i="5"/>
  <c r="R218" i="5"/>
  <c r="Q218" i="5"/>
  <c r="P218" i="5"/>
  <c r="V218" i="5" s="1"/>
  <c r="N218" i="5"/>
  <c r="M218" i="5"/>
  <c r="K218" i="5"/>
  <c r="J218" i="5"/>
  <c r="H218" i="5"/>
  <c r="AB217" i="5"/>
  <c r="AA217" i="5"/>
  <c r="Z217" i="5"/>
  <c r="Y217" i="5"/>
  <c r="AC217" i="5" s="1"/>
  <c r="X217" i="5"/>
  <c r="T217" i="5"/>
  <c r="S217" i="5"/>
  <c r="R217" i="5"/>
  <c r="Q217" i="5"/>
  <c r="V217" i="5" s="1"/>
  <c r="P217" i="5"/>
  <c r="N217" i="5"/>
  <c r="M217" i="5"/>
  <c r="K217" i="5"/>
  <c r="J217" i="5"/>
  <c r="H217" i="5"/>
  <c r="AB216" i="5"/>
  <c r="AA216" i="5"/>
  <c r="Z216" i="5"/>
  <c r="Y216" i="5"/>
  <c r="X216" i="5"/>
  <c r="AC216" i="5" s="1"/>
  <c r="T216" i="5"/>
  <c r="S216" i="5"/>
  <c r="R216" i="5"/>
  <c r="Q216" i="5"/>
  <c r="P216" i="5"/>
  <c r="V216" i="5" s="1"/>
  <c r="N216" i="5"/>
  <c r="M216" i="5"/>
  <c r="K216" i="5"/>
  <c r="J216" i="5"/>
  <c r="H216" i="5"/>
  <c r="AB215" i="5"/>
  <c r="AA215" i="5"/>
  <c r="Z215" i="5"/>
  <c r="Y215" i="5"/>
  <c r="AC215" i="5" s="1"/>
  <c r="X215" i="5"/>
  <c r="T215" i="5"/>
  <c r="S215" i="5"/>
  <c r="R215" i="5"/>
  <c r="Q215" i="5"/>
  <c r="V215" i="5" s="1"/>
  <c r="P215" i="5"/>
  <c r="N215" i="5"/>
  <c r="M215" i="5"/>
  <c r="K215" i="5"/>
  <c r="J215" i="5"/>
  <c r="H215" i="5"/>
  <c r="AB214" i="5"/>
  <c r="AA214" i="5"/>
  <c r="Z214" i="5"/>
  <c r="Y214" i="5"/>
  <c r="X214" i="5"/>
  <c r="AC214" i="5" s="1"/>
  <c r="T214" i="5"/>
  <c r="S214" i="5"/>
  <c r="R214" i="5"/>
  <c r="Q214" i="5"/>
  <c r="P214" i="5"/>
  <c r="V214" i="5" s="1"/>
  <c r="N214" i="5"/>
  <c r="M214" i="5"/>
  <c r="K214" i="5"/>
  <c r="J214" i="5"/>
  <c r="H214" i="5"/>
  <c r="AB213" i="5"/>
  <c r="AA213" i="5"/>
  <c r="Z213" i="5"/>
  <c r="Y213" i="5"/>
  <c r="AC213" i="5" s="1"/>
  <c r="X213" i="5"/>
  <c r="T213" i="5"/>
  <c r="S213" i="5"/>
  <c r="R213" i="5"/>
  <c r="Q213" i="5"/>
  <c r="V213" i="5" s="1"/>
  <c r="P213" i="5"/>
  <c r="N213" i="5"/>
  <c r="M213" i="5"/>
  <c r="K213" i="5"/>
  <c r="J213" i="5"/>
  <c r="H213" i="5"/>
  <c r="AB212" i="5"/>
  <c r="AA212" i="5"/>
  <c r="Z212" i="5"/>
  <c r="Y212" i="5"/>
  <c r="X212" i="5"/>
  <c r="AC212" i="5" s="1"/>
  <c r="T212" i="5"/>
  <c r="S212" i="5"/>
  <c r="R212" i="5"/>
  <c r="Q212" i="5"/>
  <c r="P212" i="5"/>
  <c r="V212" i="5" s="1"/>
  <c r="N212" i="5"/>
  <c r="M212" i="5"/>
  <c r="K212" i="5"/>
  <c r="J212" i="5"/>
  <c r="H212" i="5"/>
  <c r="AB211" i="5"/>
  <c r="AA211" i="5"/>
  <c r="Z211" i="5"/>
  <c r="Y211" i="5"/>
  <c r="AC211" i="5" s="1"/>
  <c r="X211" i="5"/>
  <c r="T211" i="5"/>
  <c r="S211" i="5"/>
  <c r="R211" i="5"/>
  <c r="Q211" i="5"/>
  <c r="V211" i="5" s="1"/>
  <c r="P211" i="5"/>
  <c r="N211" i="5"/>
  <c r="M211" i="5"/>
  <c r="K211" i="5"/>
  <c r="J211" i="5"/>
  <c r="H211" i="5"/>
  <c r="AB210" i="5"/>
  <c r="AA210" i="5"/>
  <c r="Z210" i="5"/>
  <c r="Y210" i="5"/>
  <c r="X210" i="5"/>
  <c r="AC210" i="5" s="1"/>
  <c r="T210" i="5"/>
  <c r="S210" i="5"/>
  <c r="R210" i="5"/>
  <c r="Q210" i="5"/>
  <c r="P210" i="5"/>
  <c r="V210" i="5" s="1"/>
  <c r="N210" i="5"/>
  <c r="M210" i="5"/>
  <c r="K210" i="5"/>
  <c r="J210" i="5"/>
  <c r="H210" i="5"/>
  <c r="AB209" i="5"/>
  <c r="AA209" i="5"/>
  <c r="Z209" i="5"/>
  <c r="Y209" i="5"/>
  <c r="AC209" i="5" s="1"/>
  <c r="X209" i="5"/>
  <c r="T209" i="5"/>
  <c r="S209" i="5"/>
  <c r="R209" i="5"/>
  <c r="Q209" i="5"/>
  <c r="V209" i="5" s="1"/>
  <c r="P209" i="5"/>
  <c r="N209" i="5"/>
  <c r="M209" i="5"/>
  <c r="K209" i="5"/>
  <c r="J209" i="5"/>
  <c r="H209" i="5"/>
  <c r="AB208" i="5"/>
  <c r="AA208" i="5"/>
  <c r="Z208" i="5"/>
  <c r="Y208" i="5"/>
  <c r="X208" i="5"/>
  <c r="AC208" i="5" s="1"/>
  <c r="T208" i="5"/>
  <c r="S208" i="5"/>
  <c r="R208" i="5"/>
  <c r="Q208" i="5"/>
  <c r="P208" i="5"/>
  <c r="V208" i="5" s="1"/>
  <c r="N208" i="5"/>
  <c r="M208" i="5"/>
  <c r="K208" i="5"/>
  <c r="J208" i="5"/>
  <c r="H208" i="5"/>
  <c r="AB207" i="5"/>
  <c r="AA207" i="5"/>
  <c r="Z207" i="5"/>
  <c r="Y207" i="5"/>
  <c r="AC207" i="5" s="1"/>
  <c r="X207" i="5"/>
  <c r="T207" i="5"/>
  <c r="S207" i="5"/>
  <c r="R207" i="5"/>
  <c r="Q207" i="5"/>
  <c r="V207" i="5" s="1"/>
  <c r="P207" i="5"/>
  <c r="N207" i="5"/>
  <c r="M207" i="5"/>
  <c r="K207" i="5"/>
  <c r="J207" i="5"/>
  <c r="H207" i="5"/>
  <c r="AB206" i="5"/>
  <c r="AA206" i="5"/>
  <c r="Z206" i="5"/>
  <c r="Y206" i="5"/>
  <c r="X206" i="5"/>
  <c r="AC206" i="5" s="1"/>
  <c r="T206" i="5"/>
  <c r="S206" i="5"/>
  <c r="R206" i="5"/>
  <c r="Q206" i="5"/>
  <c r="P206" i="5"/>
  <c r="V206" i="5" s="1"/>
  <c r="N206" i="5"/>
  <c r="M206" i="5"/>
  <c r="K206" i="5"/>
  <c r="J206" i="5"/>
  <c r="H206" i="5"/>
  <c r="AB205" i="5"/>
  <c r="AA205" i="5"/>
  <c r="Z205" i="5"/>
  <c r="Y205" i="5"/>
  <c r="AC205" i="5" s="1"/>
  <c r="X205" i="5"/>
  <c r="T205" i="5"/>
  <c r="S205" i="5"/>
  <c r="R205" i="5"/>
  <c r="Q205" i="5"/>
  <c r="V205" i="5" s="1"/>
  <c r="P205" i="5"/>
  <c r="N205" i="5"/>
  <c r="M205" i="5"/>
  <c r="K205" i="5"/>
  <c r="J205" i="5"/>
  <c r="H205" i="5"/>
  <c r="AB204" i="5"/>
  <c r="AA204" i="5"/>
  <c r="Z204" i="5"/>
  <c r="Y204" i="5"/>
  <c r="X204" i="5"/>
  <c r="AC204" i="5" s="1"/>
  <c r="T204" i="5"/>
  <c r="S204" i="5"/>
  <c r="R204" i="5"/>
  <c r="Q204" i="5"/>
  <c r="P204" i="5"/>
  <c r="V204" i="5" s="1"/>
  <c r="N204" i="5"/>
  <c r="M204" i="5"/>
  <c r="K204" i="5"/>
  <c r="J204" i="5"/>
  <c r="H204" i="5"/>
  <c r="AB203" i="5"/>
  <c r="AA203" i="5"/>
  <c r="Z203" i="5"/>
  <c r="Y203" i="5"/>
  <c r="AC203" i="5" s="1"/>
  <c r="X203" i="5"/>
  <c r="T203" i="5"/>
  <c r="S203" i="5"/>
  <c r="R203" i="5"/>
  <c r="Q203" i="5"/>
  <c r="V203" i="5" s="1"/>
  <c r="P203" i="5"/>
  <c r="N203" i="5"/>
  <c r="M203" i="5"/>
  <c r="K203" i="5"/>
  <c r="J203" i="5"/>
  <c r="H203" i="5"/>
  <c r="AB202" i="5"/>
  <c r="AA202" i="5"/>
  <c r="Z202" i="5"/>
  <c r="Y202" i="5"/>
  <c r="X202" i="5"/>
  <c r="AC202" i="5" s="1"/>
  <c r="T202" i="5"/>
  <c r="S202" i="5"/>
  <c r="R202" i="5"/>
  <c r="Q202" i="5"/>
  <c r="P202" i="5"/>
  <c r="V202" i="5" s="1"/>
  <c r="N202" i="5"/>
  <c r="M202" i="5"/>
  <c r="K202" i="5"/>
  <c r="J202" i="5"/>
  <c r="H202" i="5"/>
  <c r="AB201" i="5"/>
  <c r="AA201" i="5"/>
  <c r="Z201" i="5"/>
  <c r="Y201" i="5"/>
  <c r="AC201" i="5" s="1"/>
  <c r="X201" i="5"/>
  <c r="T201" i="5"/>
  <c r="S201" i="5"/>
  <c r="R201" i="5"/>
  <c r="Q201" i="5"/>
  <c r="V201" i="5" s="1"/>
  <c r="P201" i="5"/>
  <c r="N201" i="5"/>
  <c r="M201" i="5"/>
  <c r="K201" i="5"/>
  <c r="J201" i="5"/>
  <c r="H201" i="5"/>
  <c r="AB200" i="5"/>
  <c r="AA200" i="5"/>
  <c r="Z200" i="5"/>
  <c r="Y200" i="5"/>
  <c r="X200" i="5"/>
  <c r="AC200" i="5" s="1"/>
  <c r="T200" i="5"/>
  <c r="S200" i="5"/>
  <c r="R200" i="5"/>
  <c r="Q200" i="5"/>
  <c r="P200" i="5"/>
  <c r="V200" i="5" s="1"/>
  <c r="N200" i="5"/>
  <c r="M200" i="5"/>
  <c r="K200" i="5"/>
  <c r="J200" i="5"/>
  <c r="H200" i="5"/>
  <c r="AB199" i="5"/>
  <c r="AA199" i="5"/>
  <c r="Z199" i="5"/>
  <c r="Y199" i="5"/>
  <c r="AC199" i="5" s="1"/>
  <c r="X199" i="5"/>
  <c r="T199" i="5"/>
  <c r="S199" i="5"/>
  <c r="R199" i="5"/>
  <c r="Q199" i="5"/>
  <c r="V199" i="5" s="1"/>
  <c r="P199" i="5"/>
  <c r="N199" i="5"/>
  <c r="M199" i="5"/>
  <c r="K199" i="5"/>
  <c r="J199" i="5"/>
  <c r="H199" i="5"/>
  <c r="AB198" i="5"/>
  <c r="AA198" i="5"/>
  <c r="Z198" i="5"/>
  <c r="Y198" i="5"/>
  <c r="X198" i="5"/>
  <c r="AC198" i="5" s="1"/>
  <c r="T198" i="5"/>
  <c r="S198" i="5"/>
  <c r="R198" i="5"/>
  <c r="Q198" i="5"/>
  <c r="P198" i="5"/>
  <c r="V198" i="5" s="1"/>
  <c r="N198" i="5"/>
  <c r="M198" i="5"/>
  <c r="K198" i="5"/>
  <c r="J198" i="5"/>
  <c r="H198" i="5"/>
  <c r="AB197" i="5"/>
  <c r="AA197" i="5"/>
  <c r="Z197" i="5"/>
  <c r="Y197" i="5"/>
  <c r="AC197" i="5" s="1"/>
  <c r="X197" i="5"/>
  <c r="T197" i="5"/>
  <c r="S197" i="5"/>
  <c r="R197" i="5"/>
  <c r="Q197" i="5"/>
  <c r="V197" i="5" s="1"/>
  <c r="P197" i="5"/>
  <c r="N197" i="5"/>
  <c r="M197" i="5"/>
  <c r="K197" i="5"/>
  <c r="J197" i="5"/>
  <c r="H197" i="5"/>
  <c r="AB196" i="5"/>
  <c r="AA196" i="5"/>
  <c r="Z196" i="5"/>
  <c r="Y196" i="5"/>
  <c r="X196" i="5"/>
  <c r="AC196" i="5" s="1"/>
  <c r="T196" i="5"/>
  <c r="S196" i="5"/>
  <c r="R196" i="5"/>
  <c r="Q196" i="5"/>
  <c r="P196" i="5"/>
  <c r="V196" i="5" s="1"/>
  <c r="N196" i="5"/>
  <c r="M196" i="5"/>
  <c r="K196" i="5"/>
  <c r="J196" i="5"/>
  <c r="H196" i="5"/>
  <c r="AB195" i="5"/>
  <c r="AA195" i="5"/>
  <c r="Z195" i="5"/>
  <c r="Y195" i="5"/>
  <c r="AC195" i="5" s="1"/>
  <c r="X195" i="5"/>
  <c r="T195" i="5"/>
  <c r="S195" i="5"/>
  <c r="R195" i="5"/>
  <c r="Q195" i="5"/>
  <c r="V195" i="5" s="1"/>
  <c r="P195" i="5"/>
  <c r="N195" i="5"/>
  <c r="M195" i="5"/>
  <c r="K195" i="5"/>
  <c r="J195" i="5"/>
  <c r="H195" i="5"/>
  <c r="AB194" i="5"/>
  <c r="AA194" i="5"/>
  <c r="Z194" i="5"/>
  <c r="Y194" i="5"/>
  <c r="X194" i="5"/>
  <c r="AC194" i="5" s="1"/>
  <c r="T194" i="5"/>
  <c r="S194" i="5"/>
  <c r="R194" i="5"/>
  <c r="Q194" i="5"/>
  <c r="P194" i="5"/>
  <c r="V194" i="5" s="1"/>
  <c r="N194" i="5"/>
  <c r="M194" i="5"/>
  <c r="K194" i="5"/>
  <c r="J194" i="5"/>
  <c r="H194" i="5"/>
  <c r="AB193" i="5"/>
  <c r="AA193" i="5"/>
  <c r="Z193" i="5"/>
  <c r="Y193" i="5"/>
  <c r="AC193" i="5" s="1"/>
  <c r="X193" i="5"/>
  <c r="T193" i="5"/>
  <c r="S193" i="5"/>
  <c r="R193" i="5"/>
  <c r="Q193" i="5"/>
  <c r="V193" i="5" s="1"/>
  <c r="P193" i="5"/>
  <c r="N193" i="5"/>
  <c r="M193" i="5"/>
  <c r="K193" i="5"/>
  <c r="J193" i="5"/>
  <c r="H193" i="5"/>
  <c r="AB192" i="5"/>
  <c r="AA192" i="5"/>
  <c r="Z192" i="5"/>
  <c r="Y192" i="5"/>
  <c r="X192" i="5"/>
  <c r="AC192" i="5" s="1"/>
  <c r="T192" i="5"/>
  <c r="S192" i="5"/>
  <c r="R192" i="5"/>
  <c r="Q192" i="5"/>
  <c r="P192" i="5"/>
  <c r="V192" i="5" s="1"/>
  <c r="N192" i="5"/>
  <c r="M192" i="5"/>
  <c r="K192" i="5"/>
  <c r="J192" i="5"/>
  <c r="H192" i="5"/>
  <c r="AB191" i="5"/>
  <c r="AA191" i="5"/>
  <c r="Z191" i="5"/>
  <c r="Y191" i="5"/>
  <c r="AC191" i="5" s="1"/>
  <c r="X191" i="5"/>
  <c r="T191" i="5"/>
  <c r="S191" i="5"/>
  <c r="R191" i="5"/>
  <c r="Q191" i="5"/>
  <c r="V191" i="5" s="1"/>
  <c r="P191" i="5"/>
  <c r="N191" i="5"/>
  <c r="M191" i="5"/>
  <c r="K191" i="5"/>
  <c r="J191" i="5"/>
  <c r="H191" i="5"/>
  <c r="AB190" i="5"/>
  <c r="AA190" i="5"/>
  <c r="Z190" i="5"/>
  <c r="Y190" i="5"/>
  <c r="X190" i="5"/>
  <c r="AC190" i="5" s="1"/>
  <c r="T190" i="5"/>
  <c r="S190" i="5"/>
  <c r="R190" i="5"/>
  <c r="Q190" i="5"/>
  <c r="P190" i="5"/>
  <c r="V190" i="5" s="1"/>
  <c r="N190" i="5"/>
  <c r="M190" i="5"/>
  <c r="K190" i="5"/>
  <c r="J190" i="5"/>
  <c r="H190" i="5"/>
  <c r="AB189" i="5"/>
  <c r="AA189" i="5"/>
  <c r="Z189" i="5"/>
  <c r="Y189" i="5"/>
  <c r="AC189" i="5" s="1"/>
  <c r="X189" i="5"/>
  <c r="T189" i="5"/>
  <c r="S189" i="5"/>
  <c r="R189" i="5"/>
  <c r="Q189" i="5"/>
  <c r="V189" i="5" s="1"/>
  <c r="P189" i="5"/>
  <c r="N189" i="5"/>
  <c r="M189" i="5"/>
  <c r="K189" i="5"/>
  <c r="J189" i="5"/>
  <c r="H189" i="5"/>
  <c r="AB188" i="5"/>
  <c r="AA188" i="5"/>
  <c r="Z188" i="5"/>
  <c r="Y188" i="5"/>
  <c r="X188" i="5"/>
  <c r="AC188" i="5" s="1"/>
  <c r="T188" i="5"/>
  <c r="S188" i="5"/>
  <c r="R188" i="5"/>
  <c r="Q188" i="5"/>
  <c r="P188" i="5"/>
  <c r="V188" i="5" s="1"/>
  <c r="N188" i="5"/>
  <c r="M188" i="5"/>
  <c r="K188" i="5"/>
  <c r="J188" i="5"/>
  <c r="H188" i="5"/>
  <c r="AB187" i="5"/>
  <c r="AA187" i="5"/>
  <c r="Z187" i="5"/>
  <c r="Y187" i="5"/>
  <c r="AC187" i="5" s="1"/>
  <c r="X187" i="5"/>
  <c r="T187" i="5"/>
  <c r="S187" i="5"/>
  <c r="R187" i="5"/>
  <c r="Q187" i="5"/>
  <c r="V187" i="5" s="1"/>
  <c r="P187" i="5"/>
  <c r="N187" i="5"/>
  <c r="M187" i="5"/>
  <c r="K187" i="5"/>
  <c r="J187" i="5"/>
  <c r="H187" i="5"/>
  <c r="AB186" i="5"/>
  <c r="AA186" i="5"/>
  <c r="Z186" i="5"/>
  <c r="Y186" i="5"/>
  <c r="X186" i="5"/>
  <c r="AC186" i="5" s="1"/>
  <c r="T186" i="5"/>
  <c r="S186" i="5"/>
  <c r="R186" i="5"/>
  <c r="Q186" i="5"/>
  <c r="P186" i="5"/>
  <c r="V186" i="5" s="1"/>
  <c r="N186" i="5"/>
  <c r="M186" i="5"/>
  <c r="K186" i="5"/>
  <c r="J186" i="5"/>
  <c r="H186" i="5"/>
  <c r="AB185" i="5"/>
  <c r="AA185" i="5"/>
  <c r="Z185" i="5"/>
  <c r="Y185" i="5"/>
  <c r="AC185" i="5" s="1"/>
  <c r="X185" i="5"/>
  <c r="T185" i="5"/>
  <c r="S185" i="5"/>
  <c r="R185" i="5"/>
  <c r="Q185" i="5"/>
  <c r="V185" i="5" s="1"/>
  <c r="P185" i="5"/>
  <c r="N185" i="5"/>
  <c r="M185" i="5"/>
  <c r="K185" i="5"/>
  <c r="J185" i="5"/>
  <c r="H185" i="5"/>
  <c r="AB184" i="5"/>
  <c r="AA184" i="5"/>
  <c r="Z184" i="5"/>
  <c r="Y184" i="5"/>
  <c r="X184" i="5"/>
  <c r="AC184" i="5" s="1"/>
  <c r="T184" i="5"/>
  <c r="S184" i="5"/>
  <c r="R184" i="5"/>
  <c r="Q184" i="5"/>
  <c r="P184" i="5"/>
  <c r="V184" i="5" s="1"/>
  <c r="N184" i="5"/>
  <c r="M184" i="5"/>
  <c r="K184" i="5"/>
  <c r="J184" i="5"/>
  <c r="H184" i="5"/>
  <c r="AB183" i="5"/>
  <c r="AA183" i="5"/>
  <c r="Z183" i="5"/>
  <c r="Y183" i="5"/>
  <c r="AC183" i="5" s="1"/>
  <c r="X183" i="5"/>
  <c r="T183" i="5"/>
  <c r="S183" i="5"/>
  <c r="R183" i="5"/>
  <c r="Q183" i="5"/>
  <c r="V183" i="5" s="1"/>
  <c r="P183" i="5"/>
  <c r="N183" i="5"/>
  <c r="M183" i="5"/>
  <c r="K183" i="5"/>
  <c r="J183" i="5"/>
  <c r="H183" i="5"/>
  <c r="AB182" i="5"/>
  <c r="AA182" i="5"/>
  <c r="Z182" i="5"/>
  <c r="Y182" i="5"/>
  <c r="X182" i="5"/>
  <c r="AC182" i="5" s="1"/>
  <c r="T182" i="5"/>
  <c r="S182" i="5"/>
  <c r="R182" i="5"/>
  <c r="Q182" i="5"/>
  <c r="P182" i="5"/>
  <c r="V182" i="5" s="1"/>
  <c r="N182" i="5"/>
  <c r="M182" i="5"/>
  <c r="K182" i="5"/>
  <c r="J182" i="5"/>
  <c r="H182" i="5"/>
  <c r="AB181" i="5"/>
  <c r="AA181" i="5"/>
  <c r="Z181" i="5"/>
  <c r="Y181" i="5"/>
  <c r="AC181" i="5" s="1"/>
  <c r="X181" i="5"/>
  <c r="T181" i="5"/>
  <c r="S181" i="5"/>
  <c r="R181" i="5"/>
  <c r="Q181" i="5"/>
  <c r="V181" i="5" s="1"/>
  <c r="P181" i="5"/>
  <c r="N181" i="5"/>
  <c r="M181" i="5"/>
  <c r="K181" i="5"/>
  <c r="J181" i="5"/>
  <c r="H181" i="5"/>
  <c r="AB180" i="5"/>
  <c r="AA180" i="5"/>
  <c r="Z180" i="5"/>
  <c r="Y180" i="5"/>
  <c r="X180" i="5"/>
  <c r="AC180" i="5" s="1"/>
  <c r="T180" i="5"/>
  <c r="S180" i="5"/>
  <c r="R180" i="5"/>
  <c r="Q180" i="5"/>
  <c r="P180" i="5"/>
  <c r="V180" i="5" s="1"/>
  <c r="N180" i="5"/>
  <c r="M180" i="5"/>
  <c r="K180" i="5"/>
  <c r="J180" i="5"/>
  <c r="H180" i="5"/>
  <c r="AB179" i="5"/>
  <c r="AA179" i="5"/>
  <c r="Z179" i="5"/>
  <c r="Y179" i="5"/>
  <c r="AC179" i="5" s="1"/>
  <c r="X179" i="5"/>
  <c r="T179" i="5"/>
  <c r="S179" i="5"/>
  <c r="R179" i="5"/>
  <c r="Q179" i="5"/>
  <c r="V179" i="5" s="1"/>
  <c r="P179" i="5"/>
  <c r="N179" i="5"/>
  <c r="M179" i="5"/>
  <c r="K179" i="5"/>
  <c r="J179" i="5"/>
  <c r="H179" i="5"/>
  <c r="AB178" i="5"/>
  <c r="AA178" i="5"/>
  <c r="Z178" i="5"/>
  <c r="Y178" i="5"/>
  <c r="X178" i="5"/>
  <c r="AC178" i="5" s="1"/>
  <c r="T178" i="5"/>
  <c r="S178" i="5"/>
  <c r="R178" i="5"/>
  <c r="Q178" i="5"/>
  <c r="P178" i="5"/>
  <c r="V178" i="5" s="1"/>
  <c r="N178" i="5"/>
  <c r="M178" i="5"/>
  <c r="K178" i="5"/>
  <c r="J178" i="5"/>
  <c r="H178" i="5"/>
  <c r="AB177" i="5"/>
  <c r="AA177" i="5"/>
  <c r="Z177" i="5"/>
  <c r="Y177" i="5"/>
  <c r="AC177" i="5" s="1"/>
  <c r="X177" i="5"/>
  <c r="T177" i="5"/>
  <c r="S177" i="5"/>
  <c r="R177" i="5"/>
  <c r="Q177" i="5"/>
  <c r="V177" i="5" s="1"/>
  <c r="P177" i="5"/>
  <c r="N177" i="5"/>
  <c r="M177" i="5"/>
  <c r="K177" i="5"/>
  <c r="J177" i="5"/>
  <c r="H177" i="5"/>
  <c r="AB176" i="5"/>
  <c r="AA176" i="5"/>
  <c r="Z176" i="5"/>
  <c r="Y176" i="5"/>
  <c r="X176" i="5"/>
  <c r="AC176" i="5" s="1"/>
  <c r="T176" i="5"/>
  <c r="S176" i="5"/>
  <c r="R176" i="5"/>
  <c r="Q176" i="5"/>
  <c r="P176" i="5"/>
  <c r="V176" i="5" s="1"/>
  <c r="N176" i="5"/>
  <c r="M176" i="5"/>
  <c r="K176" i="5"/>
  <c r="J176" i="5"/>
  <c r="H176" i="5"/>
  <c r="AB175" i="5"/>
  <c r="AA175" i="5"/>
  <c r="Z175" i="5"/>
  <c r="Y175" i="5"/>
  <c r="AC175" i="5" s="1"/>
  <c r="X175" i="5"/>
  <c r="T175" i="5"/>
  <c r="S175" i="5"/>
  <c r="R175" i="5"/>
  <c r="Q175" i="5"/>
  <c r="V175" i="5" s="1"/>
  <c r="P175" i="5"/>
  <c r="N175" i="5"/>
  <c r="M175" i="5"/>
  <c r="K175" i="5"/>
  <c r="J175" i="5"/>
  <c r="H175" i="5"/>
  <c r="AB174" i="5"/>
  <c r="AA174" i="5"/>
  <c r="Z174" i="5"/>
  <c r="Y174" i="5"/>
  <c r="X174" i="5"/>
  <c r="AC174" i="5" s="1"/>
  <c r="T174" i="5"/>
  <c r="S174" i="5"/>
  <c r="R174" i="5"/>
  <c r="Q174" i="5"/>
  <c r="P174" i="5"/>
  <c r="V174" i="5" s="1"/>
  <c r="N174" i="5"/>
  <c r="M174" i="5"/>
  <c r="K174" i="5"/>
  <c r="J174" i="5"/>
  <c r="H174" i="5"/>
  <c r="AB173" i="5"/>
  <c r="AA173" i="5"/>
  <c r="Z173" i="5"/>
  <c r="Y173" i="5"/>
  <c r="AC173" i="5" s="1"/>
  <c r="X173" i="5"/>
  <c r="T173" i="5"/>
  <c r="S173" i="5"/>
  <c r="R173" i="5"/>
  <c r="Q173" i="5"/>
  <c r="V173" i="5" s="1"/>
  <c r="P173" i="5"/>
  <c r="N173" i="5"/>
  <c r="M173" i="5"/>
  <c r="K173" i="5"/>
  <c r="J173" i="5"/>
  <c r="H173" i="5"/>
  <c r="AB172" i="5"/>
  <c r="AA172" i="5"/>
  <c r="Z172" i="5"/>
  <c r="Y172" i="5"/>
  <c r="X172" i="5"/>
  <c r="AC172" i="5" s="1"/>
  <c r="T172" i="5"/>
  <c r="S172" i="5"/>
  <c r="R172" i="5"/>
  <c r="Q172" i="5"/>
  <c r="P172" i="5"/>
  <c r="V172" i="5" s="1"/>
  <c r="N172" i="5"/>
  <c r="M172" i="5"/>
  <c r="K172" i="5"/>
  <c r="J172" i="5"/>
  <c r="H172" i="5"/>
  <c r="AB171" i="5"/>
  <c r="AA171" i="5"/>
  <c r="Z171" i="5"/>
  <c r="Y171" i="5"/>
  <c r="AC171" i="5" s="1"/>
  <c r="X171" i="5"/>
  <c r="T171" i="5"/>
  <c r="S171" i="5"/>
  <c r="R171" i="5"/>
  <c r="Q171" i="5"/>
  <c r="V171" i="5" s="1"/>
  <c r="P171" i="5"/>
  <c r="N171" i="5"/>
  <c r="M171" i="5"/>
  <c r="K171" i="5"/>
  <c r="J171" i="5"/>
  <c r="H171" i="5"/>
  <c r="AB170" i="5"/>
  <c r="AA170" i="5"/>
  <c r="Z170" i="5"/>
  <c r="Y170" i="5"/>
  <c r="X170" i="5"/>
  <c r="AC170" i="5" s="1"/>
  <c r="T170" i="5"/>
  <c r="S170" i="5"/>
  <c r="R170" i="5"/>
  <c r="Q170" i="5"/>
  <c r="P170" i="5"/>
  <c r="V170" i="5" s="1"/>
  <c r="N170" i="5"/>
  <c r="M170" i="5"/>
  <c r="K170" i="5"/>
  <c r="J170" i="5"/>
  <c r="H170" i="5"/>
  <c r="AB169" i="5"/>
  <c r="AA169" i="5"/>
  <c r="Z169" i="5"/>
  <c r="Y169" i="5"/>
  <c r="AC169" i="5" s="1"/>
  <c r="X169" i="5"/>
  <c r="T169" i="5"/>
  <c r="S169" i="5"/>
  <c r="R169" i="5"/>
  <c r="Q169" i="5"/>
  <c r="V169" i="5" s="1"/>
  <c r="P169" i="5"/>
  <c r="N169" i="5"/>
  <c r="M169" i="5"/>
  <c r="K169" i="5"/>
  <c r="J169" i="5"/>
  <c r="H169" i="5"/>
  <c r="AB168" i="5"/>
  <c r="AA168" i="5"/>
  <c r="Z168" i="5"/>
  <c r="Y168" i="5"/>
  <c r="X168" i="5"/>
  <c r="AC168" i="5" s="1"/>
  <c r="T168" i="5"/>
  <c r="S168" i="5"/>
  <c r="R168" i="5"/>
  <c r="Q168" i="5"/>
  <c r="P168" i="5"/>
  <c r="V168" i="5" s="1"/>
  <c r="N168" i="5"/>
  <c r="M168" i="5"/>
  <c r="K168" i="5"/>
  <c r="J168" i="5"/>
  <c r="H168" i="5"/>
  <c r="AB167" i="5"/>
  <c r="AA167" i="5"/>
  <c r="Z167" i="5"/>
  <c r="Y167" i="5"/>
  <c r="AC167" i="5" s="1"/>
  <c r="X167" i="5"/>
  <c r="T167" i="5"/>
  <c r="S167" i="5"/>
  <c r="R167" i="5"/>
  <c r="Q167" i="5"/>
  <c r="V167" i="5" s="1"/>
  <c r="P167" i="5"/>
  <c r="N167" i="5"/>
  <c r="M167" i="5"/>
  <c r="K167" i="5"/>
  <c r="J167" i="5"/>
  <c r="H167" i="5"/>
  <c r="AB166" i="5"/>
  <c r="AA166" i="5"/>
  <c r="Z166" i="5"/>
  <c r="Y166" i="5"/>
  <c r="X166" i="5"/>
  <c r="AC166" i="5" s="1"/>
  <c r="T166" i="5"/>
  <c r="S166" i="5"/>
  <c r="R166" i="5"/>
  <c r="Q166" i="5"/>
  <c r="P166" i="5"/>
  <c r="V166" i="5" s="1"/>
  <c r="N166" i="5"/>
  <c r="M166" i="5"/>
  <c r="K166" i="5"/>
  <c r="J166" i="5"/>
  <c r="H166" i="5"/>
  <c r="AB165" i="5"/>
  <c r="AA165" i="5"/>
  <c r="Z165" i="5"/>
  <c r="Y165" i="5"/>
  <c r="AC165" i="5" s="1"/>
  <c r="X165" i="5"/>
  <c r="T165" i="5"/>
  <c r="S165" i="5"/>
  <c r="R165" i="5"/>
  <c r="Q165" i="5"/>
  <c r="V165" i="5" s="1"/>
  <c r="P165" i="5"/>
  <c r="N165" i="5"/>
  <c r="M165" i="5"/>
  <c r="K165" i="5"/>
  <c r="J165" i="5"/>
  <c r="H165" i="5"/>
  <c r="AB164" i="5"/>
  <c r="AA164" i="5"/>
  <c r="Z164" i="5"/>
  <c r="Y164" i="5"/>
  <c r="X164" i="5"/>
  <c r="AC164" i="5" s="1"/>
  <c r="T164" i="5"/>
  <c r="S164" i="5"/>
  <c r="R164" i="5"/>
  <c r="Q164" i="5"/>
  <c r="P164" i="5"/>
  <c r="V164" i="5" s="1"/>
  <c r="N164" i="5"/>
  <c r="M164" i="5"/>
  <c r="K164" i="5"/>
  <c r="J164" i="5"/>
  <c r="H164" i="5"/>
  <c r="AB163" i="5"/>
  <c r="AA163" i="5"/>
  <c r="Z163" i="5"/>
  <c r="Y163" i="5"/>
  <c r="AC163" i="5" s="1"/>
  <c r="X163" i="5"/>
  <c r="T163" i="5"/>
  <c r="S163" i="5"/>
  <c r="R163" i="5"/>
  <c r="Q163" i="5"/>
  <c r="V163" i="5" s="1"/>
  <c r="P163" i="5"/>
  <c r="N163" i="5"/>
  <c r="M163" i="5"/>
  <c r="K163" i="5"/>
  <c r="J163" i="5"/>
  <c r="H163" i="5"/>
  <c r="AB162" i="5"/>
  <c r="AA162" i="5"/>
  <c r="Z162" i="5"/>
  <c r="Y162" i="5"/>
  <c r="X162" i="5"/>
  <c r="AC162" i="5" s="1"/>
  <c r="T162" i="5"/>
  <c r="S162" i="5"/>
  <c r="R162" i="5"/>
  <c r="Q162" i="5"/>
  <c r="P162" i="5"/>
  <c r="V162" i="5" s="1"/>
  <c r="N162" i="5"/>
  <c r="M162" i="5"/>
  <c r="K162" i="5"/>
  <c r="J162" i="5"/>
  <c r="H162" i="5"/>
  <c r="AB161" i="5"/>
  <c r="AA161" i="5"/>
  <c r="Z161" i="5"/>
  <c r="Y161" i="5"/>
  <c r="AC161" i="5" s="1"/>
  <c r="X161" i="5"/>
  <c r="T161" i="5"/>
  <c r="S161" i="5"/>
  <c r="R161" i="5"/>
  <c r="Q161" i="5"/>
  <c r="V161" i="5" s="1"/>
  <c r="P161" i="5"/>
  <c r="N161" i="5"/>
  <c r="M161" i="5"/>
  <c r="K161" i="5"/>
  <c r="J161" i="5"/>
  <c r="H161" i="5"/>
  <c r="AB160" i="5"/>
  <c r="AA160" i="5"/>
  <c r="Z160" i="5"/>
  <c r="Y160" i="5"/>
  <c r="X160" i="5"/>
  <c r="AC160" i="5" s="1"/>
  <c r="T160" i="5"/>
  <c r="S160" i="5"/>
  <c r="R160" i="5"/>
  <c r="Q160" i="5"/>
  <c r="P160" i="5"/>
  <c r="V160" i="5" s="1"/>
  <c r="N160" i="5"/>
  <c r="M160" i="5"/>
  <c r="K160" i="5"/>
  <c r="J160" i="5"/>
  <c r="H160" i="5"/>
  <c r="AB159" i="5"/>
  <c r="AA159" i="5"/>
  <c r="Z159" i="5"/>
  <c r="Y159" i="5"/>
  <c r="AC159" i="5" s="1"/>
  <c r="X159" i="5"/>
  <c r="T159" i="5"/>
  <c r="S159" i="5"/>
  <c r="R159" i="5"/>
  <c r="Q159" i="5"/>
  <c r="V159" i="5" s="1"/>
  <c r="P159" i="5"/>
  <c r="N159" i="5"/>
  <c r="M159" i="5"/>
  <c r="K159" i="5"/>
  <c r="J159" i="5"/>
  <c r="H159" i="5"/>
  <c r="AB158" i="5"/>
  <c r="AA158" i="5"/>
  <c r="Z158" i="5"/>
  <c r="Y158" i="5"/>
  <c r="X158" i="5"/>
  <c r="AC158" i="5" s="1"/>
  <c r="T158" i="5"/>
  <c r="S158" i="5"/>
  <c r="R158" i="5"/>
  <c r="Q158" i="5"/>
  <c r="P158" i="5"/>
  <c r="V158" i="5" s="1"/>
  <c r="N158" i="5"/>
  <c r="M158" i="5"/>
  <c r="K158" i="5"/>
  <c r="J158" i="5"/>
  <c r="H158" i="5"/>
  <c r="AB157" i="5"/>
  <c r="AA157" i="5"/>
  <c r="Z157" i="5"/>
  <c r="Y157" i="5"/>
  <c r="AC157" i="5" s="1"/>
  <c r="X157" i="5"/>
  <c r="T157" i="5"/>
  <c r="S157" i="5"/>
  <c r="R157" i="5"/>
  <c r="Q157" i="5"/>
  <c r="V157" i="5" s="1"/>
  <c r="P157" i="5"/>
  <c r="N157" i="5"/>
  <c r="M157" i="5"/>
  <c r="K157" i="5"/>
  <c r="J157" i="5"/>
  <c r="H157" i="5"/>
  <c r="AB156" i="5"/>
  <c r="AA156" i="5"/>
  <c r="Z156" i="5"/>
  <c r="Y156" i="5"/>
  <c r="X156" i="5"/>
  <c r="AC156" i="5" s="1"/>
  <c r="T156" i="5"/>
  <c r="S156" i="5"/>
  <c r="R156" i="5"/>
  <c r="Q156" i="5"/>
  <c r="P156" i="5"/>
  <c r="V156" i="5" s="1"/>
  <c r="N156" i="5"/>
  <c r="M156" i="5"/>
  <c r="K156" i="5"/>
  <c r="J156" i="5"/>
  <c r="H156" i="5"/>
  <c r="AB155" i="5"/>
  <c r="AA155" i="5"/>
  <c r="Z155" i="5"/>
  <c r="Y155" i="5"/>
  <c r="AC155" i="5" s="1"/>
  <c r="X155" i="5"/>
  <c r="T155" i="5"/>
  <c r="S155" i="5"/>
  <c r="R155" i="5"/>
  <c r="Q155" i="5"/>
  <c r="V155" i="5" s="1"/>
  <c r="P155" i="5"/>
  <c r="N155" i="5"/>
  <c r="M155" i="5"/>
  <c r="K155" i="5"/>
  <c r="J155" i="5"/>
  <c r="H155" i="5"/>
  <c r="AB154" i="5"/>
  <c r="AA154" i="5"/>
  <c r="Z154" i="5"/>
  <c r="Y154" i="5"/>
  <c r="X154" i="5"/>
  <c r="AC154" i="5" s="1"/>
  <c r="T154" i="5"/>
  <c r="S154" i="5"/>
  <c r="R154" i="5"/>
  <c r="Q154" i="5"/>
  <c r="P154" i="5"/>
  <c r="V154" i="5" s="1"/>
  <c r="N154" i="5"/>
  <c r="M154" i="5"/>
  <c r="K154" i="5"/>
  <c r="J154" i="5"/>
  <c r="H154" i="5"/>
  <c r="AB153" i="5"/>
  <c r="AA153" i="5"/>
  <c r="Z153" i="5"/>
  <c r="Y153" i="5"/>
  <c r="AC153" i="5" s="1"/>
  <c r="X153" i="5"/>
  <c r="T153" i="5"/>
  <c r="S153" i="5"/>
  <c r="R153" i="5"/>
  <c r="Q153" i="5"/>
  <c r="V153" i="5" s="1"/>
  <c r="P153" i="5"/>
  <c r="N153" i="5"/>
  <c r="M153" i="5"/>
  <c r="K153" i="5"/>
  <c r="J153" i="5"/>
  <c r="H153" i="5"/>
  <c r="AB152" i="5"/>
  <c r="AA152" i="5"/>
  <c r="Z152" i="5"/>
  <c r="Y152" i="5"/>
  <c r="X152" i="5"/>
  <c r="AC152" i="5" s="1"/>
  <c r="T152" i="5"/>
  <c r="S152" i="5"/>
  <c r="R152" i="5"/>
  <c r="Q152" i="5"/>
  <c r="P152" i="5"/>
  <c r="V152" i="5" s="1"/>
  <c r="N152" i="5"/>
  <c r="M152" i="5"/>
  <c r="K152" i="5"/>
  <c r="J152" i="5"/>
  <c r="H152" i="5"/>
  <c r="AB151" i="5"/>
  <c r="AA151" i="5"/>
  <c r="Z151" i="5"/>
  <c r="Y151" i="5"/>
  <c r="AC151" i="5" s="1"/>
  <c r="X151" i="5"/>
  <c r="T151" i="5"/>
  <c r="S151" i="5"/>
  <c r="R151" i="5"/>
  <c r="Q151" i="5"/>
  <c r="V151" i="5" s="1"/>
  <c r="P151" i="5"/>
  <c r="N151" i="5"/>
  <c r="M151" i="5"/>
  <c r="K151" i="5"/>
  <c r="J151" i="5"/>
  <c r="H151" i="5"/>
  <c r="AB150" i="5"/>
  <c r="AA150" i="5"/>
  <c r="Z150" i="5"/>
  <c r="Y150" i="5"/>
  <c r="X150" i="5"/>
  <c r="AC150" i="5" s="1"/>
  <c r="T150" i="5"/>
  <c r="S150" i="5"/>
  <c r="R150" i="5"/>
  <c r="Q150" i="5"/>
  <c r="P150" i="5"/>
  <c r="V150" i="5" s="1"/>
  <c r="N150" i="5"/>
  <c r="M150" i="5"/>
  <c r="K150" i="5"/>
  <c r="J150" i="5"/>
  <c r="H150" i="5"/>
  <c r="AB149" i="5"/>
  <c r="AA149" i="5"/>
  <c r="Z149" i="5"/>
  <c r="Y149" i="5"/>
  <c r="AC149" i="5" s="1"/>
  <c r="X149" i="5"/>
  <c r="T149" i="5"/>
  <c r="S149" i="5"/>
  <c r="R149" i="5"/>
  <c r="Q149" i="5"/>
  <c r="V149" i="5" s="1"/>
  <c r="P149" i="5"/>
  <c r="N149" i="5"/>
  <c r="M149" i="5"/>
  <c r="K149" i="5"/>
  <c r="J149" i="5"/>
  <c r="H149" i="5"/>
  <c r="AB148" i="5"/>
  <c r="AA148" i="5"/>
  <c r="Z148" i="5"/>
  <c r="Y148" i="5"/>
  <c r="X148" i="5"/>
  <c r="AC148" i="5" s="1"/>
  <c r="T148" i="5"/>
  <c r="S148" i="5"/>
  <c r="R148" i="5"/>
  <c r="Q148" i="5"/>
  <c r="P148" i="5"/>
  <c r="V148" i="5" s="1"/>
  <c r="N148" i="5"/>
  <c r="M148" i="5"/>
  <c r="K148" i="5"/>
  <c r="J148" i="5"/>
  <c r="H148" i="5"/>
  <c r="AB147" i="5"/>
  <c r="AA147" i="5"/>
  <c r="Z147" i="5"/>
  <c r="Y147" i="5"/>
  <c r="AC147" i="5" s="1"/>
  <c r="X147" i="5"/>
  <c r="T147" i="5"/>
  <c r="S147" i="5"/>
  <c r="R147" i="5"/>
  <c r="Q147" i="5"/>
  <c r="V147" i="5" s="1"/>
  <c r="P147" i="5"/>
  <c r="N147" i="5"/>
  <c r="M147" i="5"/>
  <c r="K147" i="5"/>
  <c r="J147" i="5"/>
  <c r="H147" i="5"/>
  <c r="AB146" i="5"/>
  <c r="AA146" i="5"/>
  <c r="Z146" i="5"/>
  <c r="Y146" i="5"/>
  <c r="X146" i="5"/>
  <c r="AC146" i="5" s="1"/>
  <c r="T146" i="5"/>
  <c r="S146" i="5"/>
  <c r="R146" i="5"/>
  <c r="Q146" i="5"/>
  <c r="P146" i="5"/>
  <c r="V146" i="5" s="1"/>
  <c r="N146" i="5"/>
  <c r="M146" i="5"/>
  <c r="K146" i="5"/>
  <c r="J146" i="5"/>
  <c r="H146" i="5"/>
  <c r="AB145" i="5"/>
  <c r="AA145" i="5"/>
  <c r="Z145" i="5"/>
  <c r="Y145" i="5"/>
  <c r="AC145" i="5" s="1"/>
  <c r="X145" i="5"/>
  <c r="T145" i="5"/>
  <c r="S145" i="5"/>
  <c r="R145" i="5"/>
  <c r="Q145" i="5"/>
  <c r="V145" i="5" s="1"/>
  <c r="P145" i="5"/>
  <c r="N145" i="5"/>
  <c r="M145" i="5"/>
  <c r="K145" i="5"/>
  <c r="J145" i="5"/>
  <c r="H145" i="5"/>
  <c r="AB144" i="5"/>
  <c r="AA144" i="5"/>
  <c r="Z144" i="5"/>
  <c r="Y144" i="5"/>
  <c r="X144" i="5"/>
  <c r="AC144" i="5" s="1"/>
  <c r="T144" i="5"/>
  <c r="S144" i="5"/>
  <c r="R144" i="5"/>
  <c r="Q144" i="5"/>
  <c r="P144" i="5"/>
  <c r="V144" i="5" s="1"/>
  <c r="N144" i="5"/>
  <c r="M144" i="5"/>
  <c r="K144" i="5"/>
  <c r="J144" i="5"/>
  <c r="H144" i="5"/>
  <c r="AB143" i="5"/>
  <c r="AA143" i="5"/>
  <c r="Z143" i="5"/>
  <c r="Y143" i="5"/>
  <c r="AC143" i="5" s="1"/>
  <c r="X143" i="5"/>
  <c r="T143" i="5"/>
  <c r="S143" i="5"/>
  <c r="R143" i="5"/>
  <c r="Q143" i="5"/>
  <c r="V143" i="5" s="1"/>
  <c r="P143" i="5"/>
  <c r="N143" i="5"/>
  <c r="M143" i="5"/>
  <c r="K143" i="5"/>
  <c r="J143" i="5"/>
  <c r="H143" i="5"/>
  <c r="AB142" i="5"/>
  <c r="AA142" i="5"/>
  <c r="Z142" i="5"/>
  <c r="Y142" i="5"/>
  <c r="X142" i="5"/>
  <c r="AC142" i="5" s="1"/>
  <c r="T142" i="5"/>
  <c r="S142" i="5"/>
  <c r="R142" i="5"/>
  <c r="Q142" i="5"/>
  <c r="P142" i="5"/>
  <c r="V142" i="5" s="1"/>
  <c r="N142" i="5"/>
  <c r="M142" i="5"/>
  <c r="K142" i="5"/>
  <c r="J142" i="5"/>
  <c r="H142" i="5"/>
  <c r="AB141" i="5"/>
  <c r="AA141" i="5"/>
  <c r="Z141" i="5"/>
  <c r="Y141" i="5"/>
  <c r="AC141" i="5" s="1"/>
  <c r="X141" i="5"/>
  <c r="T141" i="5"/>
  <c r="S141" i="5"/>
  <c r="R141" i="5"/>
  <c r="Q141" i="5"/>
  <c r="V141" i="5" s="1"/>
  <c r="P141" i="5"/>
  <c r="N141" i="5"/>
  <c r="M141" i="5"/>
  <c r="K141" i="5"/>
  <c r="J141" i="5"/>
  <c r="H141" i="5"/>
  <c r="AB140" i="5"/>
  <c r="AA140" i="5"/>
  <c r="Z140" i="5"/>
  <c r="Y140" i="5"/>
  <c r="X140" i="5"/>
  <c r="AC140" i="5" s="1"/>
  <c r="T140" i="5"/>
  <c r="S140" i="5"/>
  <c r="R140" i="5"/>
  <c r="Q140" i="5"/>
  <c r="P140" i="5"/>
  <c r="V140" i="5" s="1"/>
  <c r="N140" i="5"/>
  <c r="M140" i="5"/>
  <c r="K140" i="5"/>
  <c r="J140" i="5"/>
  <c r="H140" i="5"/>
  <c r="AB139" i="5"/>
  <c r="AA139" i="5"/>
  <c r="Z139" i="5"/>
  <c r="Y139" i="5"/>
  <c r="AC139" i="5" s="1"/>
  <c r="X139" i="5"/>
  <c r="T139" i="5"/>
  <c r="S139" i="5"/>
  <c r="R139" i="5"/>
  <c r="Q139" i="5"/>
  <c r="V139" i="5" s="1"/>
  <c r="P139" i="5"/>
  <c r="N139" i="5"/>
  <c r="M139" i="5"/>
  <c r="K139" i="5"/>
  <c r="J139" i="5"/>
  <c r="H139" i="5"/>
  <c r="AB138" i="5"/>
  <c r="AA138" i="5"/>
  <c r="Z138" i="5"/>
  <c r="Y138" i="5"/>
  <c r="X138" i="5"/>
  <c r="AC138" i="5" s="1"/>
  <c r="T138" i="5"/>
  <c r="S138" i="5"/>
  <c r="R138" i="5"/>
  <c r="Q138" i="5"/>
  <c r="P138" i="5"/>
  <c r="V138" i="5" s="1"/>
  <c r="N138" i="5"/>
  <c r="M138" i="5"/>
  <c r="K138" i="5"/>
  <c r="J138" i="5"/>
  <c r="H138" i="5"/>
  <c r="AB137" i="5"/>
  <c r="AA137" i="5"/>
  <c r="Z137" i="5"/>
  <c r="Y137" i="5"/>
  <c r="AC137" i="5" s="1"/>
  <c r="X137" i="5"/>
  <c r="T137" i="5"/>
  <c r="S137" i="5"/>
  <c r="R137" i="5"/>
  <c r="Q137" i="5"/>
  <c r="V137" i="5" s="1"/>
  <c r="P137" i="5"/>
  <c r="N137" i="5"/>
  <c r="M137" i="5"/>
  <c r="K137" i="5"/>
  <c r="J137" i="5"/>
  <c r="H137" i="5"/>
  <c r="AB136" i="5"/>
  <c r="AA136" i="5"/>
  <c r="Z136" i="5"/>
  <c r="Y136" i="5"/>
  <c r="X136" i="5"/>
  <c r="AC136" i="5" s="1"/>
  <c r="T136" i="5"/>
  <c r="S136" i="5"/>
  <c r="R136" i="5"/>
  <c r="Q136" i="5"/>
  <c r="P136" i="5"/>
  <c r="V136" i="5" s="1"/>
  <c r="N136" i="5"/>
  <c r="M136" i="5"/>
  <c r="K136" i="5"/>
  <c r="J136" i="5"/>
  <c r="H136" i="5"/>
  <c r="AB135" i="5"/>
  <c r="AA135" i="5"/>
  <c r="Z135" i="5"/>
  <c r="Y135" i="5"/>
  <c r="AC135" i="5" s="1"/>
  <c r="X135" i="5"/>
  <c r="T135" i="5"/>
  <c r="S135" i="5"/>
  <c r="R135" i="5"/>
  <c r="Q135" i="5"/>
  <c r="V135" i="5" s="1"/>
  <c r="P135" i="5"/>
  <c r="N135" i="5"/>
  <c r="M135" i="5"/>
  <c r="K135" i="5"/>
  <c r="J135" i="5"/>
  <c r="H135" i="5"/>
  <c r="AB134" i="5"/>
  <c r="AA134" i="5"/>
  <c r="Z134" i="5"/>
  <c r="Y134" i="5"/>
  <c r="X134" i="5"/>
  <c r="AC134" i="5" s="1"/>
  <c r="T134" i="5"/>
  <c r="S134" i="5"/>
  <c r="R134" i="5"/>
  <c r="Q134" i="5"/>
  <c r="P134" i="5"/>
  <c r="V134" i="5" s="1"/>
  <c r="N134" i="5"/>
  <c r="M134" i="5"/>
  <c r="K134" i="5"/>
  <c r="J134" i="5"/>
  <c r="H134" i="5"/>
  <c r="AB133" i="5"/>
  <c r="AA133" i="5"/>
  <c r="Z133" i="5"/>
  <c r="Y133" i="5"/>
  <c r="AC133" i="5" s="1"/>
  <c r="X133" i="5"/>
  <c r="T133" i="5"/>
  <c r="S133" i="5"/>
  <c r="R133" i="5"/>
  <c r="Q133" i="5"/>
  <c r="V133" i="5" s="1"/>
  <c r="P133" i="5"/>
  <c r="N133" i="5"/>
  <c r="M133" i="5"/>
  <c r="K133" i="5"/>
  <c r="J133" i="5"/>
  <c r="H133" i="5"/>
  <c r="AB132" i="5"/>
  <c r="AA132" i="5"/>
  <c r="Z132" i="5"/>
  <c r="Y132" i="5"/>
  <c r="X132" i="5"/>
  <c r="AC132" i="5" s="1"/>
  <c r="T132" i="5"/>
  <c r="S132" i="5"/>
  <c r="R132" i="5"/>
  <c r="Q132" i="5"/>
  <c r="P132" i="5"/>
  <c r="V132" i="5" s="1"/>
  <c r="N132" i="5"/>
  <c r="M132" i="5"/>
  <c r="K132" i="5"/>
  <c r="J132" i="5"/>
  <c r="H132" i="5"/>
  <c r="AB131" i="5"/>
  <c r="AA131" i="5"/>
  <c r="Z131" i="5"/>
  <c r="Y131" i="5"/>
  <c r="AC131" i="5" s="1"/>
  <c r="X131" i="5"/>
  <c r="T131" i="5"/>
  <c r="S131" i="5"/>
  <c r="R131" i="5"/>
  <c r="Q131" i="5"/>
  <c r="V131" i="5" s="1"/>
  <c r="P131" i="5"/>
  <c r="N131" i="5"/>
  <c r="M131" i="5"/>
  <c r="K131" i="5"/>
  <c r="J131" i="5"/>
  <c r="H131" i="5"/>
  <c r="AB130" i="5"/>
  <c r="AA130" i="5"/>
  <c r="Z130" i="5"/>
  <c r="Y130" i="5"/>
  <c r="X130" i="5"/>
  <c r="AC130" i="5" s="1"/>
  <c r="T130" i="5"/>
  <c r="S130" i="5"/>
  <c r="R130" i="5"/>
  <c r="Q130" i="5"/>
  <c r="P130" i="5"/>
  <c r="V130" i="5" s="1"/>
  <c r="N130" i="5"/>
  <c r="M130" i="5"/>
  <c r="K130" i="5"/>
  <c r="J130" i="5"/>
  <c r="H130" i="5"/>
  <c r="AB129" i="5"/>
  <c r="AA129" i="5"/>
  <c r="Z129" i="5"/>
  <c r="Y129" i="5"/>
  <c r="AC129" i="5" s="1"/>
  <c r="X129" i="5"/>
  <c r="T129" i="5"/>
  <c r="S129" i="5"/>
  <c r="R129" i="5"/>
  <c r="Q129" i="5"/>
  <c r="V129" i="5" s="1"/>
  <c r="P129" i="5"/>
  <c r="N129" i="5"/>
  <c r="M129" i="5"/>
  <c r="K129" i="5"/>
  <c r="J129" i="5"/>
  <c r="H129" i="5"/>
  <c r="AB128" i="5"/>
  <c r="AA128" i="5"/>
  <c r="Z128" i="5"/>
  <c r="Y128" i="5"/>
  <c r="X128" i="5"/>
  <c r="AC128" i="5" s="1"/>
  <c r="T128" i="5"/>
  <c r="S128" i="5"/>
  <c r="R128" i="5"/>
  <c r="Q128" i="5"/>
  <c r="P128" i="5"/>
  <c r="V128" i="5" s="1"/>
  <c r="N128" i="5"/>
  <c r="M128" i="5"/>
  <c r="K128" i="5"/>
  <c r="J128" i="5"/>
  <c r="H128" i="5"/>
  <c r="AB127" i="5"/>
  <c r="AA127" i="5"/>
  <c r="Z127" i="5"/>
  <c r="Y127" i="5"/>
  <c r="AC127" i="5" s="1"/>
  <c r="X127" i="5"/>
  <c r="T127" i="5"/>
  <c r="S127" i="5"/>
  <c r="R127" i="5"/>
  <c r="Q127" i="5"/>
  <c r="V127" i="5" s="1"/>
  <c r="P127" i="5"/>
  <c r="N127" i="5"/>
  <c r="M127" i="5"/>
  <c r="K127" i="5"/>
  <c r="J127" i="5"/>
  <c r="H127" i="5"/>
  <c r="AB126" i="5"/>
  <c r="AA126" i="5"/>
  <c r="Z126" i="5"/>
  <c r="Y126" i="5"/>
  <c r="X126" i="5"/>
  <c r="AC126" i="5" s="1"/>
  <c r="T126" i="5"/>
  <c r="S126" i="5"/>
  <c r="R126" i="5"/>
  <c r="Q126" i="5"/>
  <c r="P126" i="5"/>
  <c r="V126" i="5" s="1"/>
  <c r="N126" i="5"/>
  <c r="M126" i="5"/>
  <c r="K126" i="5"/>
  <c r="J126" i="5"/>
  <c r="H126" i="5"/>
  <c r="AB125" i="5"/>
  <c r="AA125" i="5"/>
  <c r="Z125" i="5"/>
  <c r="Y125" i="5"/>
  <c r="AC125" i="5" s="1"/>
  <c r="X125" i="5"/>
  <c r="T125" i="5"/>
  <c r="S125" i="5"/>
  <c r="R125" i="5"/>
  <c r="Q125" i="5"/>
  <c r="V125" i="5" s="1"/>
  <c r="P125" i="5"/>
  <c r="N125" i="5"/>
  <c r="M125" i="5"/>
  <c r="K125" i="5"/>
  <c r="J125" i="5"/>
  <c r="H125" i="5"/>
  <c r="AB124" i="5"/>
  <c r="AA124" i="5"/>
  <c r="Z124" i="5"/>
  <c r="Y124" i="5"/>
  <c r="X124" i="5"/>
  <c r="AC124" i="5" s="1"/>
  <c r="T124" i="5"/>
  <c r="S124" i="5"/>
  <c r="R124" i="5"/>
  <c r="Q124" i="5"/>
  <c r="P124" i="5"/>
  <c r="V124" i="5" s="1"/>
  <c r="N124" i="5"/>
  <c r="M124" i="5"/>
  <c r="K124" i="5"/>
  <c r="J124" i="5"/>
  <c r="H124" i="5"/>
  <c r="AB123" i="5"/>
  <c r="AA123" i="5"/>
  <c r="Z123" i="5"/>
  <c r="Y123" i="5"/>
  <c r="AC123" i="5" s="1"/>
  <c r="X123" i="5"/>
  <c r="T123" i="5"/>
  <c r="S123" i="5"/>
  <c r="R123" i="5"/>
  <c r="Q123" i="5"/>
  <c r="V123" i="5" s="1"/>
  <c r="P123" i="5"/>
  <c r="N123" i="5"/>
  <c r="M123" i="5"/>
  <c r="K123" i="5"/>
  <c r="J123" i="5"/>
  <c r="H123" i="5"/>
  <c r="AB122" i="5"/>
  <c r="AA122" i="5"/>
  <c r="Z122" i="5"/>
  <c r="Y122" i="5"/>
  <c r="X122" i="5"/>
  <c r="AC122" i="5" s="1"/>
  <c r="T122" i="5"/>
  <c r="S122" i="5"/>
  <c r="R122" i="5"/>
  <c r="Q122" i="5"/>
  <c r="P122" i="5"/>
  <c r="V122" i="5" s="1"/>
  <c r="N122" i="5"/>
  <c r="M122" i="5"/>
  <c r="K122" i="5"/>
  <c r="J122" i="5"/>
  <c r="H122" i="5"/>
  <c r="AB121" i="5"/>
  <c r="AA121" i="5"/>
  <c r="Z121" i="5"/>
  <c r="Y121" i="5"/>
  <c r="AC121" i="5" s="1"/>
  <c r="X121" i="5"/>
  <c r="T121" i="5"/>
  <c r="S121" i="5"/>
  <c r="R121" i="5"/>
  <c r="Q121" i="5"/>
  <c r="V121" i="5" s="1"/>
  <c r="P121" i="5"/>
  <c r="N121" i="5"/>
  <c r="M121" i="5"/>
  <c r="K121" i="5"/>
  <c r="J121" i="5"/>
  <c r="H121" i="5"/>
  <c r="AB120" i="5"/>
  <c r="AA120" i="5"/>
  <c r="Z120" i="5"/>
  <c r="Y120" i="5"/>
  <c r="X120" i="5"/>
  <c r="AC120" i="5" s="1"/>
  <c r="T120" i="5"/>
  <c r="S120" i="5"/>
  <c r="R120" i="5"/>
  <c r="Q120" i="5"/>
  <c r="P120" i="5"/>
  <c r="V120" i="5" s="1"/>
  <c r="N120" i="5"/>
  <c r="M120" i="5"/>
  <c r="K120" i="5"/>
  <c r="J120" i="5"/>
  <c r="H120" i="5"/>
  <c r="AB119" i="5"/>
  <c r="AA119" i="5"/>
  <c r="Z119" i="5"/>
  <c r="Y119" i="5"/>
  <c r="AC119" i="5" s="1"/>
  <c r="X119" i="5"/>
  <c r="T119" i="5"/>
  <c r="S119" i="5"/>
  <c r="R119" i="5"/>
  <c r="Q119" i="5"/>
  <c r="V119" i="5" s="1"/>
  <c r="P119" i="5"/>
  <c r="N119" i="5"/>
  <c r="M119" i="5"/>
  <c r="K119" i="5"/>
  <c r="J119" i="5"/>
  <c r="H119" i="5"/>
  <c r="AB118" i="5"/>
  <c r="AA118" i="5"/>
  <c r="Z118" i="5"/>
  <c r="Y118" i="5"/>
  <c r="X118" i="5"/>
  <c r="AC118" i="5" s="1"/>
  <c r="T118" i="5"/>
  <c r="S118" i="5"/>
  <c r="R118" i="5"/>
  <c r="Q118" i="5"/>
  <c r="P118" i="5"/>
  <c r="V118" i="5" s="1"/>
  <c r="N118" i="5"/>
  <c r="M118" i="5"/>
  <c r="K118" i="5"/>
  <c r="J118" i="5"/>
  <c r="H118" i="5"/>
  <c r="AB117" i="5"/>
  <c r="AA117" i="5"/>
  <c r="Z117" i="5"/>
  <c r="Y117" i="5"/>
  <c r="AC117" i="5" s="1"/>
  <c r="X117" i="5"/>
  <c r="T117" i="5"/>
  <c r="S117" i="5"/>
  <c r="R117" i="5"/>
  <c r="Q117" i="5"/>
  <c r="V117" i="5" s="1"/>
  <c r="P117" i="5"/>
  <c r="N117" i="5"/>
  <c r="M117" i="5"/>
  <c r="K117" i="5"/>
  <c r="J117" i="5"/>
  <c r="H117" i="5"/>
  <c r="AB116" i="5"/>
  <c r="AA116" i="5"/>
  <c r="Z116" i="5"/>
  <c r="Y116" i="5"/>
  <c r="X116" i="5"/>
  <c r="AC116" i="5" s="1"/>
  <c r="T116" i="5"/>
  <c r="S116" i="5"/>
  <c r="R116" i="5"/>
  <c r="Q116" i="5"/>
  <c r="P116" i="5"/>
  <c r="V116" i="5" s="1"/>
  <c r="N116" i="5"/>
  <c r="M116" i="5"/>
  <c r="K116" i="5"/>
  <c r="J116" i="5"/>
  <c r="H116" i="5"/>
  <c r="AB115" i="5"/>
  <c r="AA115" i="5"/>
  <c r="Z115" i="5"/>
  <c r="Y115" i="5"/>
  <c r="AC115" i="5" s="1"/>
  <c r="X115" i="5"/>
  <c r="T115" i="5"/>
  <c r="S115" i="5"/>
  <c r="R115" i="5"/>
  <c r="Q115" i="5"/>
  <c r="V115" i="5" s="1"/>
  <c r="P115" i="5"/>
  <c r="N115" i="5"/>
  <c r="M115" i="5"/>
  <c r="K115" i="5"/>
  <c r="J115" i="5"/>
  <c r="H115" i="5"/>
  <c r="AB114" i="5"/>
  <c r="AA114" i="5"/>
  <c r="Z114" i="5"/>
  <c r="Y114" i="5"/>
  <c r="X114" i="5"/>
  <c r="AC114" i="5" s="1"/>
  <c r="T114" i="5"/>
  <c r="S114" i="5"/>
  <c r="R114" i="5"/>
  <c r="Q114" i="5"/>
  <c r="P114" i="5"/>
  <c r="V114" i="5" s="1"/>
  <c r="N114" i="5"/>
  <c r="M114" i="5"/>
  <c r="K114" i="5"/>
  <c r="J114" i="5"/>
  <c r="H114" i="5"/>
  <c r="AB113" i="5"/>
  <c r="AA113" i="5"/>
  <c r="Z113" i="5"/>
  <c r="Y113" i="5"/>
  <c r="AC113" i="5" s="1"/>
  <c r="X113" i="5"/>
  <c r="T113" i="5"/>
  <c r="S113" i="5"/>
  <c r="R113" i="5"/>
  <c r="Q113" i="5"/>
  <c r="V113" i="5" s="1"/>
  <c r="P113" i="5"/>
  <c r="N113" i="5"/>
  <c r="M113" i="5"/>
  <c r="K113" i="5"/>
  <c r="J113" i="5"/>
  <c r="H113" i="5"/>
  <c r="AB112" i="5"/>
  <c r="AA112" i="5"/>
  <c r="Z112" i="5"/>
  <c r="Y112" i="5"/>
  <c r="X112" i="5"/>
  <c r="AC112" i="5" s="1"/>
  <c r="T112" i="5"/>
  <c r="S112" i="5"/>
  <c r="R112" i="5"/>
  <c r="Q112" i="5"/>
  <c r="P112" i="5"/>
  <c r="V112" i="5" s="1"/>
  <c r="N112" i="5"/>
  <c r="M112" i="5"/>
  <c r="K112" i="5"/>
  <c r="J112" i="5"/>
  <c r="H112" i="5"/>
  <c r="AB111" i="5"/>
  <c r="AA111" i="5"/>
  <c r="Z111" i="5"/>
  <c r="Y111" i="5"/>
  <c r="AC111" i="5" s="1"/>
  <c r="X111" i="5"/>
  <c r="T111" i="5"/>
  <c r="S111" i="5"/>
  <c r="R111" i="5"/>
  <c r="Q111" i="5"/>
  <c r="V111" i="5" s="1"/>
  <c r="P111" i="5"/>
  <c r="N111" i="5"/>
  <c r="M111" i="5"/>
  <c r="K111" i="5"/>
  <c r="J111" i="5"/>
  <c r="H111" i="5"/>
  <c r="AB110" i="5"/>
  <c r="AA110" i="5"/>
  <c r="Z110" i="5"/>
  <c r="Y110" i="5"/>
  <c r="X110" i="5"/>
  <c r="AC110" i="5" s="1"/>
  <c r="T110" i="5"/>
  <c r="S110" i="5"/>
  <c r="R110" i="5"/>
  <c r="Q110" i="5"/>
  <c r="P110" i="5"/>
  <c r="V110" i="5" s="1"/>
  <c r="N110" i="5"/>
  <c r="M110" i="5"/>
  <c r="K110" i="5"/>
  <c r="J110" i="5"/>
  <c r="H110" i="5"/>
  <c r="AB109" i="5"/>
  <c r="AA109" i="5"/>
  <c r="Z109" i="5"/>
  <c r="Y109" i="5"/>
  <c r="AC109" i="5" s="1"/>
  <c r="X109" i="5"/>
  <c r="T109" i="5"/>
  <c r="S109" i="5"/>
  <c r="R109" i="5"/>
  <c r="Q109" i="5"/>
  <c r="V109" i="5" s="1"/>
  <c r="P109" i="5"/>
  <c r="N109" i="5"/>
  <c r="M109" i="5"/>
  <c r="K109" i="5"/>
  <c r="J109" i="5"/>
  <c r="H109" i="5"/>
  <c r="AB108" i="5"/>
  <c r="AA108" i="5"/>
  <c r="Z108" i="5"/>
  <c r="Y108" i="5"/>
  <c r="X108" i="5"/>
  <c r="AC108" i="5" s="1"/>
  <c r="T108" i="5"/>
  <c r="S108" i="5"/>
  <c r="R108" i="5"/>
  <c r="Q108" i="5"/>
  <c r="P108" i="5"/>
  <c r="V108" i="5" s="1"/>
  <c r="N108" i="5"/>
  <c r="M108" i="5"/>
  <c r="K108" i="5"/>
  <c r="J108" i="5"/>
  <c r="H108" i="5"/>
  <c r="AB107" i="5"/>
  <c r="AA107" i="5"/>
  <c r="Z107" i="5"/>
  <c r="Y107" i="5"/>
  <c r="AC107" i="5" s="1"/>
  <c r="X107" i="5"/>
  <c r="T107" i="5"/>
  <c r="S107" i="5"/>
  <c r="R107" i="5"/>
  <c r="Q107" i="5"/>
  <c r="V107" i="5" s="1"/>
  <c r="P107" i="5"/>
  <c r="N107" i="5"/>
  <c r="M107" i="5"/>
  <c r="K107" i="5"/>
  <c r="J107" i="5"/>
  <c r="H107" i="5"/>
  <c r="AB106" i="5"/>
  <c r="AA106" i="5"/>
  <c r="Z106" i="5"/>
  <c r="Y106" i="5"/>
  <c r="X106" i="5"/>
  <c r="AC106" i="5" s="1"/>
  <c r="T106" i="5"/>
  <c r="S106" i="5"/>
  <c r="R106" i="5"/>
  <c r="Q106" i="5"/>
  <c r="P106" i="5"/>
  <c r="V106" i="5" s="1"/>
  <c r="N106" i="5"/>
  <c r="M106" i="5"/>
  <c r="K106" i="5"/>
  <c r="J106" i="5"/>
  <c r="H106" i="5"/>
  <c r="AB105" i="5"/>
  <c r="AA105" i="5"/>
  <c r="Z105" i="5"/>
  <c r="Y105" i="5"/>
  <c r="AC105" i="5" s="1"/>
  <c r="X105" i="5"/>
  <c r="T105" i="5"/>
  <c r="S105" i="5"/>
  <c r="R105" i="5"/>
  <c r="Q105" i="5"/>
  <c r="V105" i="5" s="1"/>
  <c r="P105" i="5"/>
  <c r="N105" i="5"/>
  <c r="M105" i="5"/>
  <c r="K105" i="5"/>
  <c r="J105" i="5"/>
  <c r="H105" i="5"/>
  <c r="AB104" i="5"/>
  <c r="AA104" i="5"/>
  <c r="Z104" i="5"/>
  <c r="Y104" i="5"/>
  <c r="X104" i="5"/>
  <c r="AC104" i="5" s="1"/>
  <c r="T104" i="5"/>
  <c r="S104" i="5"/>
  <c r="R104" i="5"/>
  <c r="Q104" i="5"/>
  <c r="P104" i="5"/>
  <c r="V104" i="5" s="1"/>
  <c r="N104" i="5"/>
  <c r="M104" i="5"/>
  <c r="K104" i="5"/>
  <c r="J104" i="5"/>
  <c r="H104" i="5"/>
  <c r="AB103" i="5"/>
  <c r="AA103" i="5"/>
  <c r="Z103" i="5"/>
  <c r="Y103" i="5"/>
  <c r="AC103" i="5" s="1"/>
  <c r="X103" i="5"/>
  <c r="T103" i="5"/>
  <c r="S103" i="5"/>
  <c r="R103" i="5"/>
  <c r="Q103" i="5"/>
  <c r="V103" i="5" s="1"/>
  <c r="P103" i="5"/>
  <c r="N103" i="5"/>
  <c r="M103" i="5"/>
  <c r="K103" i="5"/>
  <c r="J103" i="5"/>
  <c r="H103" i="5"/>
  <c r="AB102" i="5"/>
  <c r="AA102" i="5"/>
  <c r="Z102" i="5"/>
  <c r="Y102" i="5"/>
  <c r="X102" i="5"/>
  <c r="AC102" i="5" s="1"/>
  <c r="T102" i="5"/>
  <c r="S102" i="5"/>
  <c r="R102" i="5"/>
  <c r="Q102" i="5"/>
  <c r="P102" i="5"/>
  <c r="V102" i="5" s="1"/>
  <c r="N102" i="5"/>
  <c r="M102" i="5"/>
  <c r="K102" i="5"/>
  <c r="J102" i="5"/>
  <c r="H102" i="5"/>
  <c r="AB101" i="5"/>
  <c r="AA101" i="5"/>
  <c r="Z101" i="5"/>
  <c r="Y101" i="5"/>
  <c r="AC101" i="5" s="1"/>
  <c r="X101" i="5"/>
  <c r="T101" i="5"/>
  <c r="S101" i="5"/>
  <c r="R101" i="5"/>
  <c r="Q101" i="5"/>
  <c r="V101" i="5" s="1"/>
  <c r="P101" i="5"/>
  <c r="N101" i="5"/>
  <c r="M101" i="5"/>
  <c r="K101" i="5"/>
  <c r="J101" i="5"/>
  <c r="H101" i="5"/>
  <c r="AB100" i="5"/>
  <c r="AA100" i="5"/>
  <c r="Z100" i="5"/>
  <c r="Y100" i="5"/>
  <c r="X100" i="5"/>
  <c r="AC100" i="5" s="1"/>
  <c r="T100" i="5"/>
  <c r="S100" i="5"/>
  <c r="R100" i="5"/>
  <c r="Q100" i="5"/>
  <c r="P100" i="5"/>
  <c r="V100" i="5" s="1"/>
  <c r="N100" i="5"/>
  <c r="M100" i="5"/>
  <c r="K100" i="5"/>
  <c r="J100" i="5"/>
  <c r="H100" i="5"/>
  <c r="AB99" i="5"/>
  <c r="AA99" i="5"/>
  <c r="Z99" i="5"/>
  <c r="Y99" i="5"/>
  <c r="AC99" i="5" s="1"/>
  <c r="X99" i="5"/>
  <c r="T99" i="5"/>
  <c r="S99" i="5"/>
  <c r="R99" i="5"/>
  <c r="Q99" i="5"/>
  <c r="V99" i="5" s="1"/>
  <c r="P99" i="5"/>
  <c r="N99" i="5"/>
  <c r="M99" i="5"/>
  <c r="K99" i="5"/>
  <c r="J99" i="5"/>
  <c r="H99" i="5"/>
  <c r="AB98" i="5"/>
  <c r="AA98" i="5"/>
  <c r="Z98" i="5"/>
  <c r="Y98" i="5"/>
  <c r="X98" i="5"/>
  <c r="AC98" i="5" s="1"/>
  <c r="T98" i="5"/>
  <c r="S98" i="5"/>
  <c r="R98" i="5"/>
  <c r="Q98" i="5"/>
  <c r="P98" i="5"/>
  <c r="V98" i="5" s="1"/>
  <c r="N98" i="5"/>
  <c r="M98" i="5"/>
  <c r="K98" i="5"/>
  <c r="J98" i="5"/>
  <c r="H98" i="5"/>
  <c r="AB97" i="5"/>
  <c r="AA97" i="5"/>
  <c r="Z97" i="5"/>
  <c r="Y97" i="5"/>
  <c r="AC97" i="5" s="1"/>
  <c r="X97" i="5"/>
  <c r="T97" i="5"/>
  <c r="S97" i="5"/>
  <c r="R97" i="5"/>
  <c r="Q97" i="5"/>
  <c r="V97" i="5" s="1"/>
  <c r="P97" i="5"/>
  <c r="N97" i="5"/>
  <c r="M97" i="5"/>
  <c r="K97" i="5"/>
  <c r="J97" i="5"/>
  <c r="H97" i="5"/>
  <c r="AB96" i="5"/>
  <c r="AA96" i="5"/>
  <c r="Z96" i="5"/>
  <c r="Y96" i="5"/>
  <c r="X96" i="5"/>
  <c r="AC96" i="5" s="1"/>
  <c r="T96" i="5"/>
  <c r="S96" i="5"/>
  <c r="R96" i="5"/>
  <c r="Q96" i="5"/>
  <c r="P96" i="5"/>
  <c r="V96" i="5" s="1"/>
  <c r="N96" i="5"/>
  <c r="M96" i="5"/>
  <c r="K96" i="5"/>
  <c r="J96" i="5"/>
  <c r="H96" i="5"/>
  <c r="AB95" i="5"/>
  <c r="AA95" i="5"/>
  <c r="Z95" i="5"/>
  <c r="Y95" i="5"/>
  <c r="AC95" i="5" s="1"/>
  <c r="X95" i="5"/>
  <c r="T95" i="5"/>
  <c r="S95" i="5"/>
  <c r="R95" i="5"/>
  <c r="Q95" i="5"/>
  <c r="V95" i="5" s="1"/>
  <c r="P95" i="5"/>
  <c r="N95" i="5"/>
  <c r="M95" i="5"/>
  <c r="K95" i="5"/>
  <c r="J95" i="5"/>
  <c r="H95" i="5"/>
  <c r="AB94" i="5"/>
  <c r="AA94" i="5"/>
  <c r="Z94" i="5"/>
  <c r="Y94" i="5"/>
  <c r="X94" i="5"/>
  <c r="AC94" i="5" s="1"/>
  <c r="T94" i="5"/>
  <c r="S94" i="5"/>
  <c r="R94" i="5"/>
  <c r="Q94" i="5"/>
  <c r="P94" i="5"/>
  <c r="V94" i="5" s="1"/>
  <c r="N94" i="5"/>
  <c r="M94" i="5"/>
  <c r="K94" i="5"/>
  <c r="J94" i="5"/>
  <c r="H94" i="5"/>
  <c r="AB93" i="5"/>
  <c r="AA93" i="5"/>
  <c r="Z93" i="5"/>
  <c r="Y93" i="5"/>
  <c r="AC93" i="5" s="1"/>
  <c r="X93" i="5"/>
  <c r="T93" i="5"/>
  <c r="S93" i="5"/>
  <c r="R93" i="5"/>
  <c r="Q93" i="5"/>
  <c r="V93" i="5" s="1"/>
  <c r="P93" i="5"/>
  <c r="N93" i="5"/>
  <c r="M93" i="5"/>
  <c r="K93" i="5"/>
  <c r="J93" i="5"/>
  <c r="H93" i="5"/>
  <c r="AB92" i="5"/>
  <c r="AA92" i="5"/>
  <c r="Z92" i="5"/>
  <c r="Y92" i="5"/>
  <c r="X92" i="5"/>
  <c r="AC92" i="5" s="1"/>
  <c r="T92" i="5"/>
  <c r="S92" i="5"/>
  <c r="R92" i="5"/>
  <c r="Q92" i="5"/>
  <c r="P92" i="5"/>
  <c r="V92" i="5" s="1"/>
  <c r="N92" i="5"/>
  <c r="M92" i="5"/>
  <c r="K92" i="5"/>
  <c r="J92" i="5"/>
  <c r="H92" i="5"/>
  <c r="AB91" i="5"/>
  <c r="AA91" i="5"/>
  <c r="Z91" i="5"/>
  <c r="Y91" i="5"/>
  <c r="AC91" i="5" s="1"/>
  <c r="X91" i="5"/>
  <c r="T91" i="5"/>
  <c r="S91" i="5"/>
  <c r="R91" i="5"/>
  <c r="Q91" i="5"/>
  <c r="V91" i="5" s="1"/>
  <c r="P91" i="5"/>
  <c r="N91" i="5"/>
  <c r="M91" i="5"/>
  <c r="K91" i="5"/>
  <c r="J91" i="5"/>
  <c r="H91" i="5"/>
  <c r="AB90" i="5"/>
  <c r="AA90" i="5"/>
  <c r="Z90" i="5"/>
  <c r="Y90" i="5"/>
  <c r="X90" i="5"/>
  <c r="AC90" i="5" s="1"/>
  <c r="T90" i="5"/>
  <c r="S90" i="5"/>
  <c r="R90" i="5"/>
  <c r="Q90" i="5"/>
  <c r="P90" i="5"/>
  <c r="V90" i="5" s="1"/>
  <c r="N90" i="5"/>
  <c r="M90" i="5"/>
  <c r="K90" i="5"/>
  <c r="J90" i="5"/>
  <c r="H90" i="5"/>
  <c r="AB89" i="5"/>
  <c r="AA89" i="5"/>
  <c r="Z89" i="5"/>
  <c r="Y89" i="5"/>
  <c r="AC89" i="5" s="1"/>
  <c r="X89" i="5"/>
  <c r="T89" i="5"/>
  <c r="S89" i="5"/>
  <c r="R89" i="5"/>
  <c r="Q89" i="5"/>
  <c r="V89" i="5" s="1"/>
  <c r="P89" i="5"/>
  <c r="N89" i="5"/>
  <c r="M89" i="5"/>
  <c r="K89" i="5"/>
  <c r="J89" i="5"/>
  <c r="H89" i="5"/>
  <c r="AB88" i="5"/>
  <c r="AA88" i="5"/>
  <c r="Z88" i="5"/>
  <c r="Y88" i="5"/>
  <c r="X88" i="5"/>
  <c r="AC88" i="5" s="1"/>
  <c r="T88" i="5"/>
  <c r="S88" i="5"/>
  <c r="R88" i="5"/>
  <c r="Q88" i="5"/>
  <c r="P88" i="5"/>
  <c r="V88" i="5" s="1"/>
  <c r="N88" i="5"/>
  <c r="M88" i="5"/>
  <c r="K88" i="5"/>
  <c r="J88" i="5"/>
  <c r="H88" i="5"/>
  <c r="AB87" i="5"/>
  <c r="AA87" i="5"/>
  <c r="Z87" i="5"/>
  <c r="Y87" i="5"/>
  <c r="AC87" i="5" s="1"/>
  <c r="X87" i="5"/>
  <c r="T87" i="5"/>
  <c r="S87" i="5"/>
  <c r="R87" i="5"/>
  <c r="Q87" i="5"/>
  <c r="V87" i="5" s="1"/>
  <c r="P87" i="5"/>
  <c r="N87" i="5"/>
  <c r="M87" i="5"/>
  <c r="K87" i="5"/>
  <c r="J87" i="5"/>
  <c r="H87" i="5"/>
  <c r="AB86" i="5"/>
  <c r="AA86" i="5"/>
  <c r="Z86" i="5"/>
  <c r="Y86" i="5"/>
  <c r="X86" i="5"/>
  <c r="AC86" i="5" s="1"/>
  <c r="T86" i="5"/>
  <c r="S86" i="5"/>
  <c r="R86" i="5"/>
  <c r="Q86" i="5"/>
  <c r="P86" i="5"/>
  <c r="V86" i="5" s="1"/>
  <c r="N86" i="5"/>
  <c r="M86" i="5"/>
  <c r="K86" i="5"/>
  <c r="J86" i="5"/>
  <c r="H86" i="5"/>
  <c r="AB85" i="5"/>
  <c r="AA85" i="5"/>
  <c r="Z85" i="5"/>
  <c r="Y85" i="5"/>
  <c r="AC85" i="5" s="1"/>
  <c r="X85" i="5"/>
  <c r="T85" i="5"/>
  <c r="S85" i="5"/>
  <c r="R85" i="5"/>
  <c r="Q85" i="5"/>
  <c r="V85" i="5" s="1"/>
  <c r="P85" i="5"/>
  <c r="N85" i="5"/>
  <c r="M85" i="5"/>
  <c r="K85" i="5"/>
  <c r="J85" i="5"/>
  <c r="H85" i="5"/>
  <c r="AB84" i="5"/>
  <c r="AA84" i="5"/>
  <c r="Z84" i="5"/>
  <c r="Y84" i="5"/>
  <c r="X84" i="5"/>
  <c r="AC84" i="5" s="1"/>
  <c r="T84" i="5"/>
  <c r="S84" i="5"/>
  <c r="R84" i="5"/>
  <c r="Q84" i="5"/>
  <c r="P84" i="5"/>
  <c r="V84" i="5" s="1"/>
  <c r="N84" i="5"/>
  <c r="M84" i="5"/>
  <c r="K84" i="5"/>
  <c r="J84" i="5"/>
  <c r="H84" i="5"/>
  <c r="AB83" i="5"/>
  <c r="AA83" i="5"/>
  <c r="Z83" i="5"/>
  <c r="Y83" i="5"/>
  <c r="AC83" i="5" s="1"/>
  <c r="X83" i="5"/>
  <c r="T83" i="5"/>
  <c r="S83" i="5"/>
  <c r="R83" i="5"/>
  <c r="Q83" i="5"/>
  <c r="V83" i="5" s="1"/>
  <c r="P83" i="5"/>
  <c r="N83" i="5"/>
  <c r="M83" i="5"/>
  <c r="K83" i="5"/>
  <c r="J83" i="5"/>
  <c r="H83" i="5"/>
  <c r="AB82" i="5"/>
  <c r="AA82" i="5"/>
  <c r="Z82" i="5"/>
  <c r="Y82" i="5"/>
  <c r="X82" i="5"/>
  <c r="AC82" i="5" s="1"/>
  <c r="T82" i="5"/>
  <c r="S82" i="5"/>
  <c r="R82" i="5"/>
  <c r="Q82" i="5"/>
  <c r="P82" i="5"/>
  <c r="V82" i="5" s="1"/>
  <c r="N82" i="5"/>
  <c r="M82" i="5"/>
  <c r="K82" i="5"/>
  <c r="J82" i="5"/>
  <c r="H82" i="5"/>
  <c r="AB81" i="5"/>
  <c r="AA81" i="5"/>
  <c r="Z81" i="5"/>
  <c r="Y81" i="5"/>
  <c r="AC81" i="5" s="1"/>
  <c r="X81" i="5"/>
  <c r="T81" i="5"/>
  <c r="S81" i="5"/>
  <c r="R81" i="5"/>
  <c r="Q81" i="5"/>
  <c r="V81" i="5" s="1"/>
  <c r="P81" i="5"/>
  <c r="N81" i="5"/>
  <c r="M81" i="5"/>
  <c r="K81" i="5"/>
  <c r="J81" i="5"/>
  <c r="H81" i="5"/>
  <c r="AB80" i="5"/>
  <c r="AA80" i="5"/>
  <c r="Z80" i="5"/>
  <c r="Y80" i="5"/>
  <c r="X80" i="5"/>
  <c r="AC80" i="5" s="1"/>
  <c r="T80" i="5"/>
  <c r="S80" i="5"/>
  <c r="R80" i="5"/>
  <c r="Q80" i="5"/>
  <c r="P80" i="5"/>
  <c r="V80" i="5" s="1"/>
  <c r="N80" i="5"/>
  <c r="M80" i="5"/>
  <c r="K80" i="5"/>
  <c r="J80" i="5"/>
  <c r="H80" i="5"/>
  <c r="AB79" i="5"/>
  <c r="AA79" i="5"/>
  <c r="Z79" i="5"/>
  <c r="Y79" i="5"/>
  <c r="AC79" i="5" s="1"/>
  <c r="X79" i="5"/>
  <c r="T79" i="5"/>
  <c r="S79" i="5"/>
  <c r="R79" i="5"/>
  <c r="Q79" i="5"/>
  <c r="V79" i="5" s="1"/>
  <c r="P79" i="5"/>
  <c r="N79" i="5"/>
  <c r="M79" i="5"/>
  <c r="K79" i="5"/>
  <c r="J79" i="5"/>
  <c r="H79" i="5"/>
  <c r="AB78" i="5"/>
  <c r="AA78" i="5"/>
  <c r="Z78" i="5"/>
  <c r="Y78" i="5"/>
  <c r="X78" i="5"/>
  <c r="AC78" i="5" s="1"/>
  <c r="T78" i="5"/>
  <c r="S78" i="5"/>
  <c r="R78" i="5"/>
  <c r="Q78" i="5"/>
  <c r="P78" i="5"/>
  <c r="V78" i="5" s="1"/>
  <c r="N78" i="5"/>
  <c r="M78" i="5"/>
  <c r="K78" i="5"/>
  <c r="J78" i="5"/>
  <c r="H78" i="5"/>
  <c r="AB77" i="5"/>
  <c r="AA77" i="5"/>
  <c r="Z77" i="5"/>
  <c r="Y77" i="5"/>
  <c r="AC77" i="5" s="1"/>
  <c r="X77" i="5"/>
  <c r="T77" i="5"/>
  <c r="S77" i="5"/>
  <c r="R77" i="5"/>
  <c r="Q77" i="5"/>
  <c r="V77" i="5" s="1"/>
  <c r="P77" i="5"/>
  <c r="N77" i="5"/>
  <c r="M77" i="5"/>
  <c r="K77" i="5"/>
  <c r="J77" i="5"/>
  <c r="H77" i="5"/>
  <c r="AB76" i="5"/>
  <c r="AA76" i="5"/>
  <c r="Z76" i="5"/>
  <c r="Y76" i="5"/>
  <c r="X76" i="5"/>
  <c r="AC76" i="5" s="1"/>
  <c r="T76" i="5"/>
  <c r="S76" i="5"/>
  <c r="R76" i="5"/>
  <c r="Q76" i="5"/>
  <c r="P76" i="5"/>
  <c r="V76" i="5" s="1"/>
  <c r="N76" i="5"/>
  <c r="M76" i="5"/>
  <c r="K76" i="5"/>
  <c r="J76" i="5"/>
  <c r="H76" i="5"/>
  <c r="AB75" i="5"/>
  <c r="AA75" i="5"/>
  <c r="Z75" i="5"/>
  <c r="Y75" i="5"/>
  <c r="AC75" i="5" s="1"/>
  <c r="X75" i="5"/>
  <c r="T75" i="5"/>
  <c r="S75" i="5"/>
  <c r="R75" i="5"/>
  <c r="Q75" i="5"/>
  <c r="V75" i="5" s="1"/>
  <c r="P75" i="5"/>
  <c r="N75" i="5"/>
  <c r="M75" i="5"/>
  <c r="K75" i="5"/>
  <c r="J75" i="5"/>
  <c r="H75" i="5"/>
  <c r="AB74" i="5"/>
  <c r="AA74" i="5"/>
  <c r="Z74" i="5"/>
  <c r="Y74" i="5"/>
  <c r="X74" i="5"/>
  <c r="AC74" i="5" s="1"/>
  <c r="T74" i="5"/>
  <c r="S74" i="5"/>
  <c r="R74" i="5"/>
  <c r="Q74" i="5"/>
  <c r="P74" i="5"/>
  <c r="V74" i="5" s="1"/>
  <c r="N74" i="5"/>
  <c r="M74" i="5"/>
  <c r="K74" i="5"/>
  <c r="J74" i="5"/>
  <c r="H74" i="5"/>
  <c r="AB73" i="5"/>
  <c r="AA73" i="5"/>
  <c r="Z73" i="5"/>
  <c r="Y73" i="5"/>
  <c r="AC73" i="5" s="1"/>
  <c r="X73" i="5"/>
  <c r="T73" i="5"/>
  <c r="S73" i="5"/>
  <c r="R73" i="5"/>
  <c r="Q73" i="5"/>
  <c r="V73" i="5" s="1"/>
  <c r="P73" i="5"/>
  <c r="N73" i="5"/>
  <c r="M73" i="5"/>
  <c r="K73" i="5"/>
  <c r="J73" i="5"/>
  <c r="H73" i="5"/>
  <c r="AB72" i="5"/>
  <c r="AA72" i="5"/>
  <c r="Z72" i="5"/>
  <c r="Y72" i="5"/>
  <c r="X72" i="5"/>
  <c r="AC72" i="5" s="1"/>
  <c r="T72" i="5"/>
  <c r="S72" i="5"/>
  <c r="R72" i="5"/>
  <c r="Q72" i="5"/>
  <c r="P72" i="5"/>
  <c r="V72" i="5" s="1"/>
  <c r="N72" i="5"/>
  <c r="M72" i="5"/>
  <c r="K72" i="5"/>
  <c r="J72" i="5"/>
  <c r="H72" i="5"/>
  <c r="AB71" i="5"/>
  <c r="AA71" i="5"/>
  <c r="Z71" i="5"/>
  <c r="Y71" i="5"/>
  <c r="AC71" i="5" s="1"/>
  <c r="X71" i="5"/>
  <c r="T71" i="5"/>
  <c r="S71" i="5"/>
  <c r="R71" i="5"/>
  <c r="Q71" i="5"/>
  <c r="V71" i="5" s="1"/>
  <c r="P71" i="5"/>
  <c r="N71" i="5"/>
  <c r="M71" i="5"/>
  <c r="K71" i="5"/>
  <c r="J71" i="5"/>
  <c r="H71" i="5"/>
  <c r="AB70" i="5"/>
  <c r="AA70" i="5"/>
  <c r="Z70" i="5"/>
  <c r="Y70" i="5"/>
  <c r="X70" i="5"/>
  <c r="AC70" i="5" s="1"/>
  <c r="T70" i="5"/>
  <c r="S70" i="5"/>
  <c r="R70" i="5"/>
  <c r="Q70" i="5"/>
  <c r="P70" i="5"/>
  <c r="V70" i="5" s="1"/>
  <c r="N70" i="5"/>
  <c r="M70" i="5"/>
  <c r="K70" i="5"/>
  <c r="J70" i="5"/>
  <c r="H70" i="5"/>
  <c r="AB69" i="5"/>
  <c r="AA69" i="5"/>
  <c r="Z69" i="5"/>
  <c r="Y69" i="5"/>
  <c r="AC69" i="5" s="1"/>
  <c r="X69" i="5"/>
  <c r="T69" i="5"/>
  <c r="S69" i="5"/>
  <c r="R69" i="5"/>
  <c r="Q69" i="5"/>
  <c r="V69" i="5" s="1"/>
  <c r="P69" i="5"/>
  <c r="N69" i="5"/>
  <c r="M69" i="5"/>
  <c r="K69" i="5"/>
  <c r="J69" i="5"/>
  <c r="H69" i="5"/>
  <c r="AB68" i="5"/>
  <c r="AA68" i="5"/>
  <c r="Z68" i="5"/>
  <c r="Y68" i="5"/>
  <c r="X68" i="5"/>
  <c r="AC68" i="5" s="1"/>
  <c r="T68" i="5"/>
  <c r="S68" i="5"/>
  <c r="R68" i="5"/>
  <c r="Q68" i="5"/>
  <c r="P68" i="5"/>
  <c r="V68" i="5" s="1"/>
  <c r="N68" i="5"/>
  <c r="M68" i="5"/>
  <c r="K68" i="5"/>
  <c r="J68" i="5"/>
  <c r="H68" i="5"/>
  <c r="AB67" i="5"/>
  <c r="AA67" i="5"/>
  <c r="Z67" i="5"/>
  <c r="Y67" i="5"/>
  <c r="AC67" i="5" s="1"/>
  <c r="X67" i="5"/>
  <c r="T67" i="5"/>
  <c r="S67" i="5"/>
  <c r="R67" i="5"/>
  <c r="Q67" i="5"/>
  <c r="V67" i="5" s="1"/>
  <c r="P67" i="5"/>
  <c r="N67" i="5"/>
  <c r="M67" i="5"/>
  <c r="K67" i="5"/>
  <c r="J67" i="5"/>
  <c r="H67" i="5"/>
  <c r="AB66" i="5"/>
  <c r="AA66" i="5"/>
  <c r="Z66" i="5"/>
  <c r="Y66" i="5"/>
  <c r="X66" i="5"/>
  <c r="AC66" i="5" s="1"/>
  <c r="T66" i="5"/>
  <c r="S66" i="5"/>
  <c r="R66" i="5"/>
  <c r="Q66" i="5"/>
  <c r="P66" i="5"/>
  <c r="V66" i="5" s="1"/>
  <c r="N66" i="5"/>
  <c r="M66" i="5"/>
  <c r="K66" i="5"/>
  <c r="J66" i="5"/>
  <c r="H66" i="5"/>
  <c r="AB65" i="5"/>
  <c r="AA65" i="5"/>
  <c r="Z65" i="5"/>
  <c r="Y65" i="5"/>
  <c r="AC65" i="5" s="1"/>
  <c r="X65" i="5"/>
  <c r="T65" i="5"/>
  <c r="S65" i="5"/>
  <c r="R65" i="5"/>
  <c r="Q65" i="5"/>
  <c r="V65" i="5" s="1"/>
  <c r="P65" i="5"/>
  <c r="N65" i="5"/>
  <c r="M65" i="5"/>
  <c r="K65" i="5"/>
  <c r="J65" i="5"/>
  <c r="H65" i="5"/>
  <c r="AB64" i="5"/>
  <c r="AA64" i="5"/>
  <c r="Z64" i="5"/>
  <c r="Y64" i="5"/>
  <c r="X64" i="5"/>
  <c r="AC64" i="5" s="1"/>
  <c r="T64" i="5"/>
  <c r="S64" i="5"/>
  <c r="R64" i="5"/>
  <c r="Q64" i="5"/>
  <c r="P64" i="5"/>
  <c r="V64" i="5" s="1"/>
  <c r="N64" i="5"/>
  <c r="M64" i="5"/>
  <c r="K64" i="5"/>
  <c r="J64" i="5"/>
  <c r="H64" i="5"/>
  <c r="AB63" i="5"/>
  <c r="AA63" i="5"/>
  <c r="Z63" i="5"/>
  <c r="Y63" i="5"/>
  <c r="AC63" i="5" s="1"/>
  <c r="X63" i="5"/>
  <c r="T63" i="5"/>
  <c r="S63" i="5"/>
  <c r="R63" i="5"/>
  <c r="Q63" i="5"/>
  <c r="V63" i="5" s="1"/>
  <c r="P63" i="5"/>
  <c r="N63" i="5"/>
  <c r="M63" i="5"/>
  <c r="K63" i="5"/>
  <c r="J63" i="5"/>
  <c r="H63" i="5"/>
  <c r="AB62" i="5"/>
  <c r="AA62" i="5"/>
  <c r="Z62" i="5"/>
  <c r="Y62" i="5"/>
  <c r="X62" i="5"/>
  <c r="AC62" i="5" s="1"/>
  <c r="T62" i="5"/>
  <c r="S62" i="5"/>
  <c r="R62" i="5"/>
  <c r="Q62" i="5"/>
  <c r="P62" i="5"/>
  <c r="V62" i="5" s="1"/>
  <c r="N62" i="5"/>
  <c r="M62" i="5"/>
  <c r="K62" i="5"/>
  <c r="J62" i="5"/>
  <c r="H62" i="5"/>
  <c r="AB61" i="5"/>
  <c r="AA61" i="5"/>
  <c r="Z61" i="5"/>
  <c r="Y61" i="5"/>
  <c r="AC61" i="5" s="1"/>
  <c r="X61" i="5"/>
  <c r="T61" i="5"/>
  <c r="S61" i="5"/>
  <c r="R61" i="5"/>
  <c r="Q61" i="5"/>
  <c r="V61" i="5" s="1"/>
  <c r="P61" i="5"/>
  <c r="N61" i="5"/>
  <c r="M61" i="5"/>
  <c r="K61" i="5"/>
  <c r="J61" i="5"/>
  <c r="H61" i="5"/>
  <c r="AB60" i="5"/>
  <c r="AA60" i="5"/>
  <c r="Z60" i="5"/>
  <c r="Y60" i="5"/>
  <c r="X60" i="5"/>
  <c r="AC60" i="5" s="1"/>
  <c r="T60" i="5"/>
  <c r="S60" i="5"/>
  <c r="R60" i="5"/>
  <c r="Q60" i="5"/>
  <c r="P60" i="5"/>
  <c r="V60" i="5" s="1"/>
  <c r="N60" i="5"/>
  <c r="M60" i="5"/>
  <c r="K60" i="5"/>
  <c r="J60" i="5"/>
  <c r="H60" i="5"/>
  <c r="AB59" i="5"/>
  <c r="AA59" i="5"/>
  <c r="Z59" i="5"/>
  <c r="Y59" i="5"/>
  <c r="AC59" i="5" s="1"/>
  <c r="X59" i="5"/>
  <c r="T59" i="5"/>
  <c r="S59" i="5"/>
  <c r="R59" i="5"/>
  <c r="Q59" i="5"/>
  <c r="V59" i="5" s="1"/>
  <c r="P59" i="5"/>
  <c r="N59" i="5"/>
  <c r="M59" i="5"/>
  <c r="K59" i="5"/>
  <c r="J59" i="5"/>
  <c r="H59" i="5"/>
  <c r="AB58" i="5"/>
  <c r="AA58" i="5"/>
  <c r="Z58" i="5"/>
  <c r="Y58" i="5"/>
  <c r="X58" i="5"/>
  <c r="AC58" i="5" s="1"/>
  <c r="T58" i="5"/>
  <c r="S58" i="5"/>
  <c r="R58" i="5"/>
  <c r="Q58" i="5"/>
  <c r="P58" i="5"/>
  <c r="V58" i="5" s="1"/>
  <c r="N58" i="5"/>
  <c r="M58" i="5"/>
  <c r="K58" i="5"/>
  <c r="J58" i="5"/>
  <c r="H58" i="5"/>
  <c r="AB57" i="5"/>
  <c r="AA57" i="5"/>
  <c r="Z57" i="5"/>
  <c r="Y57" i="5"/>
  <c r="AC57" i="5" s="1"/>
  <c r="X57" i="5"/>
  <c r="T57" i="5"/>
  <c r="S57" i="5"/>
  <c r="R57" i="5"/>
  <c r="Q57" i="5"/>
  <c r="V57" i="5" s="1"/>
  <c r="P57" i="5"/>
  <c r="N57" i="5"/>
  <c r="M57" i="5"/>
  <c r="K57" i="5"/>
  <c r="J57" i="5"/>
  <c r="H57" i="5"/>
  <c r="AB56" i="5"/>
  <c r="AA56" i="5"/>
  <c r="Z56" i="5"/>
  <c r="Y56" i="5"/>
  <c r="X56" i="5"/>
  <c r="AC56" i="5" s="1"/>
  <c r="T56" i="5"/>
  <c r="S56" i="5"/>
  <c r="R56" i="5"/>
  <c r="Q56" i="5"/>
  <c r="P56" i="5"/>
  <c r="V56" i="5" s="1"/>
  <c r="N56" i="5"/>
  <c r="M56" i="5"/>
  <c r="K56" i="5"/>
  <c r="J56" i="5"/>
  <c r="H56" i="5"/>
  <c r="AB55" i="5"/>
  <c r="AA55" i="5"/>
  <c r="Z55" i="5"/>
  <c r="Y55" i="5"/>
  <c r="AC55" i="5" s="1"/>
  <c r="X55" i="5"/>
  <c r="T55" i="5"/>
  <c r="S55" i="5"/>
  <c r="R55" i="5"/>
  <c r="Q55" i="5"/>
  <c r="V55" i="5" s="1"/>
  <c r="P55" i="5"/>
  <c r="N55" i="5"/>
  <c r="M55" i="5"/>
  <c r="K55" i="5"/>
  <c r="J55" i="5"/>
  <c r="H55" i="5"/>
  <c r="AB54" i="5"/>
  <c r="AA54" i="5"/>
  <c r="Z54" i="5"/>
  <c r="Y54" i="5"/>
  <c r="X54" i="5"/>
  <c r="AC54" i="5" s="1"/>
  <c r="T54" i="5"/>
  <c r="S54" i="5"/>
  <c r="R54" i="5"/>
  <c r="Q54" i="5"/>
  <c r="P54" i="5"/>
  <c r="V54" i="5" s="1"/>
  <c r="N54" i="5"/>
  <c r="M54" i="5"/>
  <c r="K54" i="5"/>
  <c r="J54" i="5"/>
  <c r="H54" i="5"/>
  <c r="AB53" i="5"/>
  <c r="AA53" i="5"/>
  <c r="Z53" i="5"/>
  <c r="Y53" i="5"/>
  <c r="AC53" i="5" s="1"/>
  <c r="X53" i="5"/>
  <c r="T53" i="5"/>
  <c r="S53" i="5"/>
  <c r="R53" i="5"/>
  <c r="Q53" i="5"/>
  <c r="V53" i="5" s="1"/>
  <c r="P53" i="5"/>
  <c r="N53" i="5"/>
  <c r="M53" i="5"/>
  <c r="K53" i="5"/>
  <c r="J53" i="5"/>
  <c r="H53" i="5"/>
  <c r="AB52" i="5"/>
  <c r="AA52" i="5"/>
  <c r="Z52" i="5"/>
  <c r="Y52" i="5"/>
  <c r="X52" i="5"/>
  <c r="AC52" i="5" s="1"/>
  <c r="T52" i="5"/>
  <c r="S52" i="5"/>
  <c r="R52" i="5"/>
  <c r="Q52" i="5"/>
  <c r="P52" i="5"/>
  <c r="V52" i="5" s="1"/>
  <c r="N52" i="5"/>
  <c r="M52" i="5"/>
  <c r="K52" i="5"/>
  <c r="J52" i="5"/>
  <c r="H52" i="5"/>
  <c r="AB51" i="5"/>
  <c r="AA51" i="5"/>
  <c r="Z51" i="5"/>
  <c r="Y51" i="5"/>
  <c r="AC51" i="5" s="1"/>
  <c r="X51" i="5"/>
  <c r="T51" i="5"/>
  <c r="S51" i="5"/>
  <c r="R51" i="5"/>
  <c r="Q51" i="5"/>
  <c r="V51" i="5" s="1"/>
  <c r="P51" i="5"/>
  <c r="N51" i="5"/>
  <c r="M51" i="5"/>
  <c r="K51" i="5"/>
  <c r="J51" i="5"/>
  <c r="H51" i="5"/>
  <c r="AB50" i="5"/>
  <c r="AA50" i="5"/>
  <c r="Z50" i="5"/>
  <c r="Y50" i="5"/>
  <c r="X50" i="5"/>
  <c r="AC50" i="5" s="1"/>
  <c r="T50" i="5"/>
  <c r="S50" i="5"/>
  <c r="R50" i="5"/>
  <c r="Q50" i="5"/>
  <c r="P50" i="5"/>
  <c r="N50" i="5"/>
  <c r="M50" i="5"/>
  <c r="K50" i="5"/>
  <c r="J50" i="5"/>
  <c r="H50" i="5"/>
  <c r="AB49" i="5"/>
  <c r="AA49" i="5"/>
  <c r="Z49" i="5"/>
  <c r="Y49" i="5"/>
  <c r="AC49" i="5" s="1"/>
  <c r="X49" i="5"/>
  <c r="T49" i="5"/>
  <c r="S49" i="5"/>
  <c r="R49" i="5"/>
  <c r="Q49" i="5"/>
  <c r="V49" i="5" s="1"/>
  <c r="P49" i="5"/>
  <c r="N49" i="5"/>
  <c r="M49" i="5"/>
  <c r="K49" i="5"/>
  <c r="J49" i="5"/>
  <c r="H49" i="5"/>
  <c r="AB48" i="5"/>
  <c r="AA48" i="5"/>
  <c r="Z48" i="5"/>
  <c r="Y48" i="5"/>
  <c r="X48" i="5"/>
  <c r="AC48" i="5" s="1"/>
  <c r="T48" i="5"/>
  <c r="S48" i="5"/>
  <c r="R48" i="5"/>
  <c r="Q48" i="5"/>
  <c r="P48" i="5"/>
  <c r="V48" i="5" s="1"/>
  <c r="N48" i="5"/>
  <c r="M48" i="5"/>
  <c r="K48" i="5"/>
  <c r="J48" i="5"/>
  <c r="H48" i="5"/>
  <c r="AB47" i="5"/>
  <c r="AA47" i="5"/>
  <c r="Z47" i="5"/>
  <c r="Y47" i="5"/>
  <c r="AC47" i="5" s="1"/>
  <c r="X47" i="5"/>
  <c r="T47" i="5"/>
  <c r="S47" i="5"/>
  <c r="R47" i="5"/>
  <c r="Q47" i="5"/>
  <c r="V47" i="5" s="1"/>
  <c r="P47" i="5"/>
  <c r="N47" i="5"/>
  <c r="M47" i="5"/>
  <c r="K47" i="5"/>
  <c r="J47" i="5"/>
  <c r="H47" i="5"/>
  <c r="AB46" i="5"/>
  <c r="AA46" i="5"/>
  <c r="Z46" i="5"/>
  <c r="Y46" i="5"/>
  <c r="X46" i="5"/>
  <c r="AC46" i="5" s="1"/>
  <c r="T46" i="5"/>
  <c r="S46" i="5"/>
  <c r="R46" i="5"/>
  <c r="Q46" i="5"/>
  <c r="P46" i="5"/>
  <c r="V46" i="5" s="1"/>
  <c r="N46" i="5"/>
  <c r="M46" i="5"/>
  <c r="K46" i="5"/>
  <c r="J46" i="5"/>
  <c r="H46" i="5"/>
  <c r="AB45" i="5"/>
  <c r="AA45" i="5"/>
  <c r="Z45" i="5"/>
  <c r="Y45" i="5"/>
  <c r="AC45" i="5" s="1"/>
  <c r="X45" i="5"/>
  <c r="T45" i="5"/>
  <c r="S45" i="5"/>
  <c r="R45" i="5"/>
  <c r="Q45" i="5"/>
  <c r="V45" i="5" s="1"/>
  <c r="P45" i="5"/>
  <c r="N45" i="5"/>
  <c r="M45" i="5"/>
  <c r="K45" i="5"/>
  <c r="J45" i="5"/>
  <c r="H45" i="5"/>
  <c r="AB44" i="5"/>
  <c r="AA44" i="5"/>
  <c r="Z44" i="5"/>
  <c r="Y44" i="5"/>
  <c r="X44" i="5"/>
  <c r="AC44" i="5" s="1"/>
  <c r="T44" i="5"/>
  <c r="S44" i="5"/>
  <c r="R44" i="5"/>
  <c r="Q44" i="5"/>
  <c r="P44" i="5"/>
  <c r="N44" i="5"/>
  <c r="M44" i="5"/>
  <c r="K44" i="5"/>
  <c r="J44" i="5"/>
  <c r="H44" i="5"/>
  <c r="AB43" i="5"/>
  <c r="AA43" i="5"/>
  <c r="Z43" i="5"/>
  <c r="Y43" i="5"/>
  <c r="AC43" i="5" s="1"/>
  <c r="X43" i="5"/>
  <c r="T43" i="5"/>
  <c r="S43" i="5"/>
  <c r="R43" i="5"/>
  <c r="Q43" i="5"/>
  <c r="V43" i="5" s="1"/>
  <c r="P43" i="5"/>
  <c r="N43" i="5"/>
  <c r="M43" i="5"/>
  <c r="K43" i="5"/>
  <c r="J43" i="5"/>
  <c r="H43" i="5"/>
  <c r="AB42" i="5"/>
  <c r="AA42" i="5"/>
  <c r="Z42" i="5"/>
  <c r="Y42" i="5"/>
  <c r="X42" i="5"/>
  <c r="AC42" i="5" s="1"/>
  <c r="T42" i="5"/>
  <c r="S42" i="5"/>
  <c r="R42" i="5"/>
  <c r="Q42" i="5"/>
  <c r="P42" i="5"/>
  <c r="V42" i="5" s="1"/>
  <c r="N42" i="5"/>
  <c r="M42" i="5"/>
  <c r="K42" i="5"/>
  <c r="J42" i="5"/>
  <c r="H42" i="5"/>
  <c r="AB41" i="5"/>
  <c r="AA41" i="5"/>
  <c r="Z41" i="5"/>
  <c r="Y41" i="5"/>
  <c r="AC41" i="5" s="1"/>
  <c r="X41" i="5"/>
  <c r="T41" i="5"/>
  <c r="S41" i="5"/>
  <c r="R41" i="5"/>
  <c r="Q41" i="5"/>
  <c r="V41" i="5" s="1"/>
  <c r="P41" i="5"/>
  <c r="N41" i="5"/>
  <c r="M41" i="5"/>
  <c r="K41" i="5"/>
  <c r="J41" i="5"/>
  <c r="H41" i="5"/>
  <c r="AB40" i="5"/>
  <c r="AA40" i="5"/>
  <c r="Z40" i="5"/>
  <c r="Y40" i="5"/>
  <c r="X40" i="5"/>
  <c r="AC40" i="5" s="1"/>
  <c r="T40" i="5"/>
  <c r="S40" i="5"/>
  <c r="R40" i="5"/>
  <c r="Q40" i="5"/>
  <c r="P40" i="5"/>
  <c r="V40" i="5" s="1"/>
  <c r="N40" i="5"/>
  <c r="M40" i="5"/>
  <c r="K40" i="5"/>
  <c r="J40" i="5"/>
  <c r="H40" i="5"/>
  <c r="AB39" i="5"/>
  <c r="AA39" i="5"/>
  <c r="Z39" i="5"/>
  <c r="Y39" i="5"/>
  <c r="AC39" i="5" s="1"/>
  <c r="X39" i="5"/>
  <c r="T39" i="5"/>
  <c r="S39" i="5"/>
  <c r="R39" i="5"/>
  <c r="Q39" i="5"/>
  <c r="V39" i="5" s="1"/>
  <c r="P39" i="5"/>
  <c r="N39" i="5"/>
  <c r="M39" i="5"/>
  <c r="K39" i="5"/>
  <c r="J39" i="5"/>
  <c r="H39" i="5"/>
  <c r="AB38" i="5"/>
  <c r="AA38" i="5"/>
  <c r="Z38" i="5"/>
  <c r="Y38" i="5"/>
  <c r="X38" i="5"/>
  <c r="AC38" i="5" s="1"/>
  <c r="T38" i="5"/>
  <c r="S38" i="5"/>
  <c r="R38" i="5"/>
  <c r="Q38" i="5"/>
  <c r="P38" i="5"/>
  <c r="V38" i="5" s="1"/>
  <c r="N38" i="5"/>
  <c r="M38" i="5"/>
  <c r="K38" i="5"/>
  <c r="J38" i="5"/>
  <c r="H38" i="5"/>
  <c r="AB37" i="5"/>
  <c r="AA37" i="5"/>
  <c r="Z37" i="5"/>
  <c r="Y37" i="5"/>
  <c r="AC37" i="5" s="1"/>
  <c r="X37" i="5"/>
  <c r="T37" i="5"/>
  <c r="S37" i="5"/>
  <c r="R37" i="5"/>
  <c r="Q37" i="5"/>
  <c r="V37" i="5" s="1"/>
  <c r="P37" i="5"/>
  <c r="N37" i="5"/>
  <c r="M37" i="5"/>
  <c r="K37" i="5"/>
  <c r="J37" i="5"/>
  <c r="H37" i="5"/>
  <c r="AB36" i="5"/>
  <c r="AA36" i="5"/>
  <c r="Z36" i="5"/>
  <c r="Y36" i="5"/>
  <c r="X36" i="5"/>
  <c r="AC36" i="5" s="1"/>
  <c r="T36" i="5"/>
  <c r="S36" i="5"/>
  <c r="R36" i="5"/>
  <c r="Q36" i="5"/>
  <c r="P36" i="5"/>
  <c r="V36" i="5" s="1"/>
  <c r="N36" i="5"/>
  <c r="M36" i="5"/>
  <c r="K36" i="5"/>
  <c r="J36" i="5"/>
  <c r="H36" i="5"/>
  <c r="AB35" i="5"/>
  <c r="AA35" i="5"/>
  <c r="Z35" i="5"/>
  <c r="Y35" i="5"/>
  <c r="AC35" i="5" s="1"/>
  <c r="X35" i="5"/>
  <c r="T35" i="5"/>
  <c r="S35" i="5"/>
  <c r="R35" i="5"/>
  <c r="Q35" i="5"/>
  <c r="V35" i="5" s="1"/>
  <c r="P35" i="5"/>
  <c r="N35" i="5"/>
  <c r="M35" i="5"/>
  <c r="K35" i="5"/>
  <c r="J35" i="5"/>
  <c r="H35" i="5"/>
  <c r="AB34" i="5"/>
  <c r="AA34" i="5"/>
  <c r="Z34" i="5"/>
  <c r="Y34" i="5"/>
  <c r="X34" i="5"/>
  <c r="AC34" i="5" s="1"/>
  <c r="T34" i="5"/>
  <c r="S34" i="5"/>
  <c r="R34" i="5"/>
  <c r="Q34" i="5"/>
  <c r="P34" i="5"/>
  <c r="N34" i="5"/>
  <c r="M34" i="5"/>
  <c r="K34" i="5"/>
  <c r="J34" i="5"/>
  <c r="H34" i="5"/>
  <c r="AB33" i="5"/>
  <c r="AA33" i="5"/>
  <c r="Z33" i="5"/>
  <c r="Y33" i="5"/>
  <c r="AC33" i="5" s="1"/>
  <c r="X33" i="5"/>
  <c r="T33" i="5"/>
  <c r="S33" i="5"/>
  <c r="R33" i="5"/>
  <c r="Q33" i="5"/>
  <c r="V33" i="5" s="1"/>
  <c r="P33" i="5"/>
  <c r="N33" i="5"/>
  <c r="M33" i="5"/>
  <c r="K33" i="5"/>
  <c r="J33" i="5"/>
  <c r="H33" i="5"/>
  <c r="AB32" i="5"/>
  <c r="AA32" i="5"/>
  <c r="Z32" i="5"/>
  <c r="Y32" i="5"/>
  <c r="X32" i="5"/>
  <c r="AC32" i="5" s="1"/>
  <c r="T32" i="5"/>
  <c r="S32" i="5"/>
  <c r="R32" i="5"/>
  <c r="Q32" i="5"/>
  <c r="P32" i="5"/>
  <c r="V32" i="5" s="1"/>
  <c r="N32" i="5"/>
  <c r="M32" i="5"/>
  <c r="K32" i="5"/>
  <c r="J32" i="5"/>
  <c r="H32" i="5"/>
  <c r="AB31" i="5"/>
  <c r="AA31" i="5"/>
  <c r="Z31" i="5"/>
  <c r="Y31" i="5"/>
  <c r="AC31" i="5" s="1"/>
  <c r="X31" i="5"/>
  <c r="T31" i="5"/>
  <c r="S31" i="5"/>
  <c r="R31" i="5"/>
  <c r="Q31" i="5"/>
  <c r="V31" i="5" s="1"/>
  <c r="P31" i="5"/>
  <c r="N31" i="5"/>
  <c r="M31" i="5"/>
  <c r="K31" i="5"/>
  <c r="J31" i="5"/>
  <c r="H31" i="5"/>
  <c r="AB30" i="5"/>
  <c r="AA30" i="5"/>
  <c r="Z30" i="5"/>
  <c r="Y30" i="5"/>
  <c r="X30" i="5"/>
  <c r="AC30" i="5" s="1"/>
  <c r="T30" i="5"/>
  <c r="S30" i="5"/>
  <c r="R30" i="5"/>
  <c r="Q30" i="5"/>
  <c r="P30" i="5"/>
  <c r="V30" i="5" s="1"/>
  <c r="N30" i="5"/>
  <c r="M30" i="5"/>
  <c r="K30" i="5"/>
  <c r="J30" i="5"/>
  <c r="H30" i="5"/>
  <c r="AB29" i="5"/>
  <c r="AA29" i="5"/>
  <c r="Z29" i="5"/>
  <c r="Y29" i="5"/>
  <c r="AC29" i="5" s="1"/>
  <c r="X29" i="5"/>
  <c r="T29" i="5"/>
  <c r="S29" i="5"/>
  <c r="R29" i="5"/>
  <c r="Q29" i="5"/>
  <c r="V29" i="5" s="1"/>
  <c r="P29" i="5"/>
  <c r="N29" i="5"/>
  <c r="M29" i="5"/>
  <c r="K29" i="5"/>
  <c r="J29" i="5"/>
  <c r="H29" i="5"/>
  <c r="AB28" i="5"/>
  <c r="AA28" i="5"/>
  <c r="Z28" i="5"/>
  <c r="Y28" i="5"/>
  <c r="X28" i="5"/>
  <c r="AC28" i="5" s="1"/>
  <c r="T28" i="5"/>
  <c r="S28" i="5"/>
  <c r="R28" i="5"/>
  <c r="Q28" i="5"/>
  <c r="P28" i="5"/>
  <c r="V28" i="5" s="1"/>
  <c r="N28" i="5"/>
  <c r="M28" i="5"/>
  <c r="K28" i="5"/>
  <c r="J28" i="5"/>
  <c r="H28" i="5"/>
  <c r="AB27" i="5"/>
  <c r="AA27" i="5"/>
  <c r="Z27" i="5"/>
  <c r="Y27" i="5"/>
  <c r="AC27" i="5" s="1"/>
  <c r="X27" i="5"/>
  <c r="T27" i="5"/>
  <c r="S27" i="5"/>
  <c r="R27" i="5"/>
  <c r="Q27" i="5"/>
  <c r="V27" i="5" s="1"/>
  <c r="P27" i="5"/>
  <c r="N27" i="5"/>
  <c r="M27" i="5"/>
  <c r="K27" i="5"/>
  <c r="J27" i="5"/>
  <c r="H27" i="5"/>
  <c r="AB26" i="5"/>
  <c r="AA26" i="5"/>
  <c r="Z26" i="5"/>
  <c r="Y26" i="5"/>
  <c r="X26" i="5"/>
  <c r="AC26" i="5" s="1"/>
  <c r="T26" i="5"/>
  <c r="S26" i="5"/>
  <c r="R26" i="5"/>
  <c r="Q26" i="5"/>
  <c r="P26" i="5"/>
  <c r="V26" i="5" s="1"/>
  <c r="N26" i="5"/>
  <c r="M26" i="5"/>
  <c r="K26" i="5"/>
  <c r="J26" i="5"/>
  <c r="H26" i="5"/>
  <c r="AB25" i="5"/>
  <c r="AA25" i="5"/>
  <c r="Z25" i="5"/>
  <c r="Y25" i="5"/>
  <c r="AC25" i="5" s="1"/>
  <c r="X25" i="5"/>
  <c r="T25" i="5"/>
  <c r="S25" i="5"/>
  <c r="R25" i="5"/>
  <c r="Q25" i="5"/>
  <c r="V25" i="5" s="1"/>
  <c r="P25" i="5"/>
  <c r="N25" i="5"/>
  <c r="M25" i="5"/>
  <c r="K25" i="5"/>
  <c r="J25" i="5"/>
  <c r="H25" i="5"/>
  <c r="AB24" i="5"/>
  <c r="AA24" i="5"/>
  <c r="Z24" i="5"/>
  <c r="Y24" i="5"/>
  <c r="X24" i="5"/>
  <c r="AC24" i="5" s="1"/>
  <c r="T24" i="5"/>
  <c r="S24" i="5"/>
  <c r="R24" i="5"/>
  <c r="Q24" i="5"/>
  <c r="P24" i="5"/>
  <c r="V24" i="5" s="1"/>
  <c r="N24" i="5"/>
  <c r="M24" i="5"/>
  <c r="K24" i="5"/>
  <c r="J24" i="5"/>
  <c r="H24" i="5"/>
  <c r="AB23" i="5"/>
  <c r="AA23" i="5"/>
  <c r="Z23" i="5"/>
  <c r="Y23" i="5"/>
  <c r="AC23" i="5" s="1"/>
  <c r="X23" i="5"/>
  <c r="T23" i="5"/>
  <c r="S23" i="5"/>
  <c r="R23" i="5"/>
  <c r="Q23" i="5"/>
  <c r="V23" i="5" s="1"/>
  <c r="P23" i="5"/>
  <c r="N23" i="5"/>
  <c r="M23" i="5"/>
  <c r="K23" i="5"/>
  <c r="J23" i="5"/>
  <c r="H23" i="5"/>
  <c r="AB22" i="5"/>
  <c r="AA22" i="5"/>
  <c r="Z22" i="5"/>
  <c r="Y22" i="5"/>
  <c r="X22" i="5"/>
  <c r="AC22" i="5" s="1"/>
  <c r="T22" i="5"/>
  <c r="S22" i="5"/>
  <c r="R22" i="5"/>
  <c r="Q22" i="5"/>
  <c r="P22" i="5"/>
  <c r="V22" i="5" s="1"/>
  <c r="N22" i="5"/>
  <c r="M22" i="5"/>
  <c r="K22" i="5"/>
  <c r="J22" i="5"/>
  <c r="H22" i="5"/>
  <c r="AB21" i="5"/>
  <c r="AA21" i="5"/>
  <c r="Z21" i="5"/>
  <c r="Y21" i="5"/>
  <c r="AC21" i="5" s="1"/>
  <c r="X21" i="5"/>
  <c r="T21" i="5"/>
  <c r="S21" i="5"/>
  <c r="R21" i="5"/>
  <c r="Q21" i="5"/>
  <c r="V21" i="5" s="1"/>
  <c r="P21" i="5"/>
  <c r="N21" i="5"/>
  <c r="M21" i="5"/>
  <c r="K21" i="5"/>
  <c r="J21" i="5"/>
  <c r="H21" i="5"/>
  <c r="AB20" i="5"/>
  <c r="AA20" i="5"/>
  <c r="Z20" i="5"/>
  <c r="Y20" i="5"/>
  <c r="X20" i="5"/>
  <c r="AC20" i="5" s="1"/>
  <c r="T20" i="5"/>
  <c r="S20" i="5"/>
  <c r="R20" i="5"/>
  <c r="Q20" i="5"/>
  <c r="P20" i="5"/>
  <c r="V20" i="5" s="1"/>
  <c r="N20" i="5"/>
  <c r="M20" i="5"/>
  <c r="K20" i="5"/>
  <c r="J20" i="5"/>
  <c r="H20" i="5"/>
  <c r="AB19" i="5"/>
  <c r="AA19" i="5"/>
  <c r="Z19" i="5"/>
  <c r="Y19" i="5"/>
  <c r="AC19" i="5" s="1"/>
  <c r="X19" i="5"/>
  <c r="T19" i="5"/>
  <c r="S19" i="5"/>
  <c r="R19" i="5"/>
  <c r="Q19" i="5"/>
  <c r="V19" i="5" s="1"/>
  <c r="P19" i="5"/>
  <c r="N19" i="5"/>
  <c r="M19" i="5"/>
  <c r="K19" i="5"/>
  <c r="J19" i="5"/>
  <c r="H19" i="5"/>
  <c r="AB18" i="5"/>
  <c r="AA18" i="5"/>
  <c r="Z18" i="5"/>
  <c r="Y18" i="5"/>
  <c r="X18" i="5"/>
  <c r="AC18" i="5" s="1"/>
  <c r="T18" i="5"/>
  <c r="S18" i="5"/>
  <c r="R18" i="5"/>
  <c r="Q18" i="5"/>
  <c r="P18" i="5"/>
  <c r="V18" i="5" s="1"/>
  <c r="N18" i="5"/>
  <c r="M18" i="5"/>
  <c r="K18" i="5"/>
  <c r="J18" i="5"/>
  <c r="H18" i="5"/>
  <c r="AB17" i="5"/>
  <c r="AA17" i="5"/>
  <c r="Z17" i="5"/>
  <c r="Y17" i="5"/>
  <c r="X17" i="5"/>
  <c r="AC17" i="5" s="1"/>
  <c r="T17" i="5"/>
  <c r="S17" i="5"/>
  <c r="R17" i="5"/>
  <c r="Q17" i="5"/>
  <c r="P17" i="5"/>
  <c r="V17" i="5" s="1"/>
  <c r="N17" i="5"/>
  <c r="M17" i="5"/>
  <c r="K17" i="5"/>
  <c r="J17" i="5"/>
  <c r="H17" i="5"/>
  <c r="AB16" i="5"/>
  <c r="AA16" i="5"/>
  <c r="Z16" i="5"/>
  <c r="Y16" i="5"/>
  <c r="AC16" i="5" s="1"/>
  <c r="X16" i="5"/>
  <c r="T16" i="5"/>
  <c r="S16" i="5"/>
  <c r="R16" i="5"/>
  <c r="Q16" i="5"/>
  <c r="V16" i="5" s="1"/>
  <c r="P16" i="5"/>
  <c r="N16" i="5"/>
  <c r="M16" i="5"/>
  <c r="K16" i="5"/>
  <c r="J16" i="5"/>
  <c r="H16" i="5"/>
  <c r="AB15" i="5"/>
  <c r="AA15" i="5"/>
  <c r="Z15" i="5"/>
  <c r="Y15" i="5"/>
  <c r="AC15" i="5" s="1"/>
  <c r="X15" i="5"/>
  <c r="T15" i="5"/>
  <c r="S15" i="5"/>
  <c r="R15" i="5"/>
  <c r="Q15" i="5"/>
  <c r="V15" i="5" s="1"/>
  <c r="P15" i="5"/>
  <c r="N15" i="5"/>
  <c r="M15" i="5"/>
  <c r="K15" i="5"/>
  <c r="J15" i="5"/>
  <c r="H15" i="5"/>
  <c r="AB14" i="5"/>
  <c r="AA14" i="5"/>
  <c r="Z14" i="5"/>
  <c r="Y14" i="5"/>
  <c r="AC14" i="5" s="1"/>
  <c r="X14" i="5"/>
  <c r="T14" i="5"/>
  <c r="S14" i="5"/>
  <c r="R14" i="5"/>
  <c r="Q14" i="5"/>
  <c r="V14" i="5" s="1"/>
  <c r="P14" i="5"/>
  <c r="N14" i="5"/>
  <c r="M14" i="5"/>
  <c r="K14" i="5"/>
  <c r="J14" i="5"/>
  <c r="H14" i="5"/>
  <c r="AB13" i="5"/>
  <c r="AA13" i="5"/>
  <c r="Z13" i="5"/>
  <c r="Y13" i="5"/>
  <c r="AC13" i="5" s="1"/>
  <c r="X13" i="5"/>
  <c r="T13" i="5"/>
  <c r="S13" i="5"/>
  <c r="R13" i="5"/>
  <c r="Q13" i="5"/>
  <c r="V13" i="5" s="1"/>
  <c r="P13" i="5"/>
  <c r="N13" i="5"/>
  <c r="M13" i="5"/>
  <c r="K13" i="5"/>
  <c r="J13" i="5"/>
  <c r="H13" i="5"/>
  <c r="AB12" i="5"/>
  <c r="AA12" i="5"/>
  <c r="Z12" i="5"/>
  <c r="Y12" i="5"/>
  <c r="AC12" i="5" s="1"/>
  <c r="X12" i="5"/>
  <c r="T12" i="5"/>
  <c r="S12" i="5"/>
  <c r="R12" i="5"/>
  <c r="Q12" i="5"/>
  <c r="V12" i="5" s="1"/>
  <c r="P12" i="5"/>
  <c r="N12" i="5"/>
  <c r="M12" i="5"/>
  <c r="K12" i="5"/>
  <c r="J12" i="5"/>
  <c r="H12" i="5"/>
  <c r="AB11" i="5"/>
  <c r="AA11" i="5"/>
  <c r="Z11" i="5"/>
  <c r="Y11" i="5"/>
  <c r="AC11" i="5" s="1"/>
  <c r="X11" i="5"/>
  <c r="T11" i="5"/>
  <c r="S11" i="5"/>
  <c r="R11" i="5"/>
  <c r="Q11" i="5"/>
  <c r="V11" i="5" s="1"/>
  <c r="P11" i="5"/>
  <c r="N11" i="5"/>
  <c r="M11" i="5"/>
  <c r="K11" i="5"/>
  <c r="J11" i="5"/>
  <c r="H11" i="5"/>
  <c r="AB10" i="5"/>
  <c r="AA10" i="5"/>
  <c r="Z10" i="5"/>
  <c r="Y10" i="5"/>
  <c r="AC10" i="5" s="1"/>
  <c r="X10" i="5"/>
  <c r="T10" i="5"/>
  <c r="S10" i="5"/>
  <c r="R10" i="5"/>
  <c r="Q10" i="5"/>
  <c r="V10" i="5" s="1"/>
  <c r="P10" i="5"/>
  <c r="N10" i="5"/>
  <c r="M10" i="5"/>
  <c r="K10" i="5"/>
  <c r="J10" i="5"/>
  <c r="H10" i="5"/>
  <c r="AB9" i="5"/>
  <c r="AA9" i="5"/>
  <c r="Z9" i="5"/>
  <c r="Y9" i="5"/>
  <c r="AC9" i="5" s="1"/>
  <c r="X9" i="5"/>
  <c r="T9" i="5"/>
  <c r="S9" i="5"/>
  <c r="R9" i="5"/>
  <c r="Q9" i="5"/>
  <c r="V9" i="5" s="1"/>
  <c r="P9" i="5"/>
  <c r="N9" i="5"/>
  <c r="M9" i="5"/>
  <c r="K9" i="5"/>
  <c r="J9" i="5"/>
  <c r="H9" i="5"/>
  <c r="AB8" i="5"/>
  <c r="AA8" i="5"/>
  <c r="Z8" i="5"/>
  <c r="Y8" i="5"/>
  <c r="AC8" i="5" s="1"/>
  <c r="X8" i="5"/>
  <c r="T8" i="5"/>
  <c r="S8" i="5"/>
  <c r="R8" i="5"/>
  <c r="Q8" i="5"/>
  <c r="V8" i="5" s="1"/>
  <c r="P8" i="5"/>
  <c r="N8" i="5"/>
  <c r="M8" i="5"/>
  <c r="K8" i="5"/>
  <c r="J8" i="5"/>
  <c r="H8" i="5"/>
  <c r="AB7" i="5"/>
  <c r="AA7" i="5"/>
  <c r="Z7" i="5"/>
  <c r="Y7" i="5"/>
  <c r="AC7" i="5" s="1"/>
  <c r="X7" i="5"/>
  <c r="T7" i="5"/>
  <c r="S7" i="5"/>
  <c r="R7" i="5"/>
  <c r="Q7" i="5"/>
  <c r="V7" i="5" s="1"/>
  <c r="P7" i="5"/>
  <c r="N7" i="5"/>
  <c r="M7" i="5"/>
  <c r="K7" i="5"/>
  <c r="J7" i="5"/>
  <c r="H7" i="5"/>
  <c r="AB6" i="5"/>
  <c r="AA6" i="5"/>
  <c r="Z6" i="5"/>
  <c r="Y6" i="5"/>
  <c r="AC6" i="5" s="1"/>
  <c r="X6" i="5"/>
  <c r="T6" i="5"/>
  <c r="S6" i="5"/>
  <c r="R6" i="5"/>
  <c r="Q6" i="5"/>
  <c r="V6" i="5" s="1"/>
  <c r="P6" i="5"/>
  <c r="N6" i="5"/>
  <c r="M6" i="5"/>
  <c r="K6" i="5"/>
  <c r="J6" i="5"/>
  <c r="H6" i="5"/>
  <c r="AB5" i="5"/>
  <c r="AA5" i="5"/>
  <c r="Z5" i="5"/>
  <c r="Y5" i="5"/>
  <c r="AC5" i="5" s="1"/>
  <c r="X5" i="5"/>
  <c r="T5" i="5"/>
  <c r="S5" i="5"/>
  <c r="R5" i="5"/>
  <c r="Q5" i="5"/>
  <c r="V5" i="5" s="1"/>
  <c r="P5" i="5"/>
  <c r="N5" i="5"/>
  <c r="M5" i="5"/>
  <c r="K5" i="5"/>
  <c r="J5" i="5"/>
  <c r="H5" i="5"/>
  <c r="AB4" i="5"/>
  <c r="AA4" i="5"/>
  <c r="Z4" i="5"/>
  <c r="Y4" i="5"/>
  <c r="AC4" i="5" s="1"/>
  <c r="X4" i="5"/>
  <c r="T4" i="5"/>
  <c r="S4" i="5"/>
  <c r="R4" i="5"/>
  <c r="Q4" i="5"/>
  <c r="V4" i="5" s="1"/>
  <c r="P4" i="5"/>
  <c r="N4" i="5"/>
  <c r="M4" i="5"/>
  <c r="K4" i="5"/>
  <c r="J4" i="5"/>
  <c r="H4" i="5"/>
  <c r="AB3" i="5"/>
  <c r="AA3" i="5"/>
  <c r="Z3" i="5"/>
  <c r="Y3" i="5"/>
  <c r="AC3" i="5" s="1"/>
  <c r="X3" i="5"/>
  <c r="T3" i="5"/>
  <c r="S3" i="5"/>
  <c r="R3" i="5"/>
  <c r="Q3" i="5"/>
  <c r="V3" i="5" s="1"/>
  <c r="P3" i="5"/>
  <c r="N3" i="5"/>
  <c r="M3" i="5"/>
  <c r="K3" i="5"/>
  <c r="J3" i="5"/>
  <c r="H3" i="5"/>
  <c r="I2" i="5" l="1"/>
  <c r="V34" i="5"/>
  <c r="AI15" i="5" s="1"/>
  <c r="V44" i="5"/>
  <c r="AI4" i="5" s="1"/>
  <c r="V50" i="5"/>
  <c r="AC247" i="5"/>
  <c r="AH4" i="5" l="1"/>
  <c r="AH6" i="5"/>
  <c r="AH8" i="5"/>
  <c r="AH10" i="5"/>
  <c r="AH12" i="5"/>
  <c r="AH14" i="5"/>
  <c r="AF3" i="5"/>
  <c r="AF4" i="5"/>
  <c r="AF5" i="5"/>
  <c r="AF6" i="5"/>
  <c r="AF7" i="5"/>
  <c r="AF8" i="5"/>
  <c r="AF9" i="5"/>
  <c r="AF10" i="5"/>
  <c r="AF11" i="5"/>
  <c r="AF12" i="5"/>
  <c r="AF13" i="5"/>
  <c r="AF14" i="5"/>
  <c r="AF15" i="5"/>
  <c r="AH3" i="5"/>
  <c r="AH5" i="5"/>
  <c r="AH7" i="5"/>
  <c r="AH9" i="5"/>
  <c r="AH11" i="5"/>
  <c r="AH13" i="5"/>
  <c r="AH15" i="5"/>
  <c r="AI3" i="5"/>
  <c r="AI5" i="5"/>
  <c r="AI6" i="5"/>
  <c r="AI7" i="5"/>
  <c r="AI8" i="5"/>
  <c r="AI9" i="5"/>
  <c r="AI10" i="5"/>
  <c r="AI11" i="5"/>
  <c r="AI12" i="5"/>
  <c r="AI13" i="5"/>
  <c r="AI14" i="5"/>
  <c r="AH17" i="5" l="1"/>
</calcChain>
</file>

<file path=xl/sharedStrings.xml><?xml version="1.0" encoding="utf-8"?>
<sst xmlns="http://schemas.openxmlformats.org/spreadsheetml/2006/main" count="1103" uniqueCount="450">
  <si>
    <t>12,17,25,28,36,44,3</t>
  </si>
  <si>
    <t>7,9,16,27,32,47,36</t>
  </si>
  <si>
    <t>13,19,20,23,29,31,48</t>
  </si>
  <si>
    <t>10,12,20,27,43,46,26</t>
  </si>
  <si>
    <t>1,28,30,32,40,48,31</t>
  </si>
  <si>
    <t>28,34,38,39,42,46,24</t>
  </si>
  <si>
    <t>1,27,28,40,41,44,36</t>
  </si>
  <si>
    <t>5,13,18,25,28,44,16</t>
  </si>
  <si>
    <t>6,20,30,41,42,45,35</t>
  </si>
  <si>
    <t>2,9,15,19,20,37,29</t>
  </si>
  <si>
    <t>6,28,30,35,39,42,33</t>
  </si>
  <si>
    <t>2,6,9,17,26,46,13</t>
  </si>
  <si>
    <t>16,22,28,36,39,47,3</t>
  </si>
  <si>
    <t>8,14,20,35,36,41,38</t>
  </si>
  <si>
    <t>22,25,27,29,35,49,31</t>
  </si>
  <si>
    <t>7,8,9,28,41,42,29</t>
  </si>
  <si>
    <t>2,6,13,17,23,46,3</t>
  </si>
  <si>
    <t>8,17,31,43,44,48,46</t>
  </si>
  <si>
    <t>7,10,19,23,24,33,3</t>
  </si>
  <si>
    <t>2,7,24,27,29,34,21</t>
  </si>
  <si>
    <t>9,14,17,25,30,36,44</t>
  </si>
  <si>
    <t>11,20,21,29,37,48,23</t>
  </si>
  <si>
    <t>21,22,25,27,32,39,6</t>
  </si>
  <si>
    <t>8,12,16,19,22,46,6</t>
  </si>
  <si>
    <t>5,14,23,28,45,49,39</t>
  </si>
  <si>
    <t>5,8,16,44,48,49,32</t>
  </si>
  <si>
    <t>2,7,17,21,35,42,16</t>
  </si>
  <si>
    <t>3,6,12,25,40,43,42</t>
  </si>
  <si>
    <t>8,29,33,34,42,49,21</t>
  </si>
  <si>
    <t>7,15,20,33,39,44,43</t>
  </si>
  <si>
    <t>1,18,22,35,38,49,30</t>
  </si>
  <si>
    <t>2,4,34,36,42,46,15</t>
  </si>
  <si>
    <t>8,10,18,25,28,46,23</t>
  </si>
  <si>
    <t>3,28,37,38,44,47,46</t>
  </si>
  <si>
    <t>10,11,24,27,36,49,43</t>
  </si>
  <si>
    <t>4,18,24,39,46,47,10</t>
  </si>
  <si>
    <t>2,14,31,36,43,46,39</t>
  </si>
  <si>
    <t>6,8,11,24,37,46,23</t>
  </si>
  <si>
    <t>5,9,11,19,24,37,36</t>
  </si>
  <si>
    <t>3,4,8,19,24,46,12</t>
  </si>
  <si>
    <t>2,4,15,24,37,48,6</t>
  </si>
  <si>
    <t>2,3,17,19,22,40,20</t>
  </si>
  <si>
    <t>4,21,25,40,47,48,49</t>
  </si>
  <si>
    <t>1,21,31,36,39,43,38</t>
  </si>
  <si>
    <t>8,10,15,31,38,40,19</t>
  </si>
  <si>
    <t>17,22,26,34,41,47,42</t>
  </si>
  <si>
    <t>1,13,21,41,48,49,22</t>
  </si>
  <si>
    <t>1,11,19,26,35,39,14</t>
  </si>
  <si>
    <t>14,19,24,32,36,42,35</t>
  </si>
  <si>
    <t>3,5,8,21,40,46,30</t>
  </si>
  <si>
    <t>2,15,18,24,34,35,48</t>
  </si>
  <si>
    <t>5,14,20,23,36,49,30</t>
  </si>
  <si>
    <t>3,7,9,27,39,44,48</t>
  </si>
  <si>
    <t>16,20,31,32,40,41,13</t>
  </si>
  <si>
    <t>3,18,24,30,35,49,44</t>
  </si>
  <si>
    <t>6,13,19,25,26,39,35</t>
  </si>
  <si>
    <t>6,9,14,27,28,46,2</t>
  </si>
  <si>
    <t>1,3,4,24,34,48,29</t>
  </si>
  <si>
    <t>6,9,15,27,37,48,24</t>
  </si>
  <si>
    <t>8,11,28,34,40,46,48</t>
  </si>
  <si>
    <t>14,17,26,31,41,45,30</t>
  </si>
  <si>
    <t>2,20,21,25,27,38,28</t>
  </si>
  <si>
    <t>3,10,18,22,48,49,41</t>
  </si>
  <si>
    <t>4,6,11,13,26,31,17</t>
  </si>
  <si>
    <t>3,9,14,21,32,40,7</t>
  </si>
  <si>
    <t>3,4,12,15,28,48,8</t>
  </si>
  <si>
    <t>11,19,23,32,48,49,34</t>
  </si>
  <si>
    <t>5,6,11,25,35,40,44</t>
  </si>
  <si>
    <t>1,10,35,36,41,49,48</t>
  </si>
  <si>
    <t>2,10,11,21,26,36,18</t>
  </si>
  <si>
    <t>3,16,18,31,35,38,29</t>
  </si>
  <si>
    <t>13,22,30,32,45,46,29</t>
  </si>
  <si>
    <t>4,9,23,26,34,44,21</t>
  </si>
  <si>
    <t>1,8,29,31,37,42,23</t>
  </si>
  <si>
    <t>6,14,24,36,37,39,27</t>
  </si>
  <si>
    <t>4,6,8,15,29,36,9</t>
  </si>
  <si>
    <t>6,26,38,40,44,49,16</t>
  </si>
  <si>
    <t>2,14,18,27,31,44,26</t>
  </si>
  <si>
    <t>8,11,22,35,36,46,43</t>
  </si>
  <si>
    <t>2,11,14,16,31,44,19</t>
  </si>
  <si>
    <t>7,21,22,30,35,39,19</t>
  </si>
  <si>
    <t>4,6,13,15,21,30,49</t>
  </si>
  <si>
    <t>11,18,26,27,34,46,22</t>
  </si>
  <si>
    <t>11,12,15,16,21,32,47</t>
  </si>
  <si>
    <t>1,12,23,24,38,40,34</t>
  </si>
  <si>
    <t>1,3,5,8,20,44,22</t>
  </si>
  <si>
    <t>4,6,14,18,19,35,42</t>
  </si>
  <si>
    <t>5,11,30,36,44,46,16</t>
  </si>
  <si>
    <t>6,18,22,24,26,30,36</t>
  </si>
  <si>
    <t>12,21,27,28,35,43,47</t>
  </si>
  <si>
    <t>2,7,12,19,29,36,20</t>
  </si>
  <si>
    <t>1,15,23,25,33,42,44</t>
  </si>
  <si>
    <t>8,12,24,33,35,39,22</t>
  </si>
  <si>
    <t>7,15,19,31,32,40,47</t>
  </si>
  <si>
    <t>7,12,20,24,30,31,43</t>
  </si>
  <si>
    <t>2,17,19,23,32,49,33</t>
  </si>
  <si>
    <t>1,10,24,26,36,47,4</t>
  </si>
  <si>
    <t>1,4,23,40,46,48,34</t>
  </si>
  <si>
    <t>1,12,26,29,39,49,42</t>
  </si>
  <si>
    <t>9,20,23,46,48,49,42</t>
  </si>
  <si>
    <t>6,7,8,9,14,19,48</t>
  </si>
  <si>
    <t>3,20,26,31,34,40,30</t>
  </si>
  <si>
    <t>1,3,4,22,37,41,31</t>
  </si>
  <si>
    <t>13,14,19,32,33,48,42</t>
  </si>
  <si>
    <t>11,14,21,28,30,39,49</t>
  </si>
  <si>
    <t>3,4,19,26,28,34,30</t>
  </si>
  <si>
    <t>9,13,16,18,48,49,42</t>
  </si>
  <si>
    <t>1,7,30,32,38,46,23</t>
  </si>
  <si>
    <t>10,15,22,28,34,38,12</t>
  </si>
  <si>
    <t>20,21,22,31,39,46,32</t>
  </si>
  <si>
    <t>8,9,15,28,36,39,33</t>
  </si>
  <si>
    <t>4,9,28,35,38,44,36</t>
  </si>
  <si>
    <t>8,12,20,39,43,47,9</t>
  </si>
  <si>
    <t>2,3,20,21,30,33,12</t>
  </si>
  <si>
    <t>8,10,24,29,31,33,4</t>
  </si>
  <si>
    <t>25,29,32,33,34,49,13</t>
  </si>
  <si>
    <t>9,18,30,33,45,47,25</t>
  </si>
  <si>
    <t>6,14,24,33,38,41,25</t>
  </si>
  <si>
    <t>8,11,15,17,28,47,18</t>
  </si>
  <si>
    <t>7,14,17,23,35,49,31</t>
  </si>
  <si>
    <t>10,18,22,37,39,40,46</t>
  </si>
  <si>
    <t>16,18,20,21,27,49,23</t>
  </si>
  <si>
    <t>3,5,29,40,43,49,21</t>
  </si>
  <si>
    <t>7,8,17,39,46,49,13</t>
  </si>
  <si>
    <t>13,14,16,21,24,42,7</t>
  </si>
  <si>
    <t>2,21,26,34,39,49,3</t>
  </si>
  <si>
    <t>9,10,11,22,23,32,6</t>
  </si>
  <si>
    <t>4,20,22,40,41,48,21</t>
  </si>
  <si>
    <t>16,17,19,35,40,48,37</t>
  </si>
  <si>
    <t>2,11,23,24,33,44,28</t>
  </si>
  <si>
    <t>4,11,40,43,48,49,17</t>
  </si>
  <si>
    <t>1,2,4,7,28,41,18</t>
  </si>
  <si>
    <t>13,20,22,29,36,37,33</t>
  </si>
  <si>
    <t>3,5,6,20,21,45,33</t>
  </si>
  <si>
    <t>3,9,18,28,31,46,32</t>
  </si>
  <si>
    <t>9,21,23,35,38,41,36</t>
  </si>
  <si>
    <t>7,15,16,17,35,47,41</t>
  </si>
  <si>
    <t>10,20,21,27,33,46,37</t>
  </si>
  <si>
    <t>11,14,18,22,35,43,28</t>
  </si>
  <si>
    <t>2,12,17,19,20,33,27</t>
  </si>
  <si>
    <t>6,21,25,29,33,40,31</t>
  </si>
  <si>
    <t>4,8,11,39,44,46,29</t>
  </si>
  <si>
    <t>5,24,26,36,44,49,19</t>
  </si>
  <si>
    <t>17,20,34,37,43,48,32</t>
  </si>
  <si>
    <t>11,31,35,37,44,46,42</t>
  </si>
  <si>
    <t>2,24,34,43,44,46,28</t>
  </si>
  <si>
    <t>5,31,36,39,44,46,43</t>
  </si>
  <si>
    <t>1,14,19,37,40,47,9</t>
  </si>
  <si>
    <t>3,5,18,41,46,48,40</t>
  </si>
  <si>
    <t>8,10,11,12,33,41,1</t>
  </si>
  <si>
    <t>3,17,36,40,48,49,12</t>
  </si>
  <si>
    <t>2,26,27,28,37,47,17</t>
  </si>
  <si>
    <t>1,10,18,27,35,48,30</t>
  </si>
  <si>
    <t>7,9,18,26,36,46,43</t>
  </si>
  <si>
    <t>1,5,22,28,48,49,8</t>
  </si>
  <si>
    <t>5,16,22,29,48,49,27</t>
  </si>
  <si>
    <t>10,13,27,36,39,45,47</t>
  </si>
  <si>
    <t>7,14,23,25,28,33,31</t>
  </si>
  <si>
    <t>6,11,17,28,41,48,19</t>
  </si>
  <si>
    <t>6,8,15,20,25,45,22</t>
  </si>
  <si>
    <t>1,4,7,20,26,28,18</t>
  </si>
  <si>
    <t>3,6,15,27,36,41,49</t>
  </si>
  <si>
    <t>12,32,35,40,41,47,25</t>
  </si>
  <si>
    <t>8,16,25,29,31,40,11</t>
  </si>
  <si>
    <t>8,9,10,19,28,33,24</t>
  </si>
  <si>
    <t>5,8,20,30,35,49,12</t>
  </si>
  <si>
    <t>3,13,14,19,25,31,47</t>
  </si>
  <si>
    <t>27,33,38,39,41,47,35</t>
  </si>
  <si>
    <t>1,3,12,15,26,31,16</t>
  </si>
  <si>
    <t>1,9,10,23,24,32,5</t>
  </si>
  <si>
    <t>5,8,9,12,18,48,24</t>
  </si>
  <si>
    <t>13,16,19,23,25,48,11</t>
  </si>
  <si>
    <t>5,7,8,23,29,33,42</t>
  </si>
  <si>
    <t>3,14,19,33,38,41,22</t>
  </si>
  <si>
    <t>2,6,20,21,27,36,31</t>
  </si>
  <si>
    <t>8,10,12,34,38,48,19</t>
  </si>
  <si>
    <t>6,7,8,12,37,45,1</t>
  </si>
  <si>
    <t>11,15,20,33,38,40,8</t>
  </si>
  <si>
    <t>18,21,23,25,26,41,40</t>
  </si>
  <si>
    <t>2,10,13,21,25,49,7</t>
  </si>
  <si>
    <t>6,9,40,42,43,46,37</t>
  </si>
  <si>
    <t>4,13,18,24,34,37,48</t>
  </si>
  <si>
    <t>3,17,25,28,34,46,27</t>
  </si>
  <si>
    <t>2,10,30,32,42,48,19</t>
  </si>
  <si>
    <t>31,33,34,35,37,42,6</t>
  </si>
  <si>
    <t>5,24,33,38,42,44,49</t>
  </si>
  <si>
    <t>1,6,9,18,21,35,26</t>
  </si>
  <si>
    <t>7,12,13,21,30,32,5</t>
  </si>
  <si>
    <t>2,14,15,26,29,31,8</t>
  </si>
  <si>
    <t>14,29,36,38,39,41,20</t>
  </si>
  <si>
    <t>3,18,22,33,47,49,9</t>
  </si>
  <si>
    <t>5,20,28,35,39,46,15</t>
  </si>
  <si>
    <t>9,21,26,27,29,48,20</t>
  </si>
  <si>
    <t>7,11,13,16,38,46,41</t>
  </si>
  <si>
    <t>20,31,35,38,42,49,46</t>
  </si>
  <si>
    <t>3,6,8,14,18,41,31</t>
  </si>
  <si>
    <t>5,9,14,29,32,36,28</t>
  </si>
  <si>
    <t>5,13,20,26,31,38,6</t>
  </si>
  <si>
    <t>13,17,19,24,26,43,25</t>
  </si>
  <si>
    <t>6,20,22,35,36,41,8</t>
  </si>
  <si>
    <t>17,23,32,33,41,45,15</t>
  </si>
  <si>
    <t>8,17,19,45,47,48,14</t>
  </si>
  <si>
    <t>3,6,7,20,21,23,33</t>
  </si>
  <si>
    <t>8,10,17,24,32,43,26</t>
  </si>
  <si>
    <t>6,11,17,22,25,36,42</t>
  </si>
  <si>
    <t>2,14,30,31,46,47,12</t>
  </si>
  <si>
    <t>1,9,15,28,42,45,40</t>
  </si>
  <si>
    <t>9,16, 17, 25, 27, 36, 7</t>
  </si>
  <si>
    <t>3, 4, 18, 32, 35, 48,6</t>
  </si>
  <si>
    <t>6, 13, 31, 32, 40, 43, 3</t>
  </si>
  <si>
    <t>6, 12, 21, 24, 25, 43, 29</t>
  </si>
  <si>
    <t>3, 18, 21, 42, 45, 49, 25</t>
  </si>
  <si>
    <t>11, 19, 22, 29, 42, 46, 2</t>
  </si>
  <si>
    <t>11, 12, 30, 38, 45, 47, 6</t>
  </si>
  <si>
    <t>5, 21, 30, 33, 39, 47, 43</t>
  </si>
  <si>
    <t>1, 5, 14, 23, 40, 49, 33</t>
  </si>
  <si>
    <t>3, 15, 26, 29, 38, 45, 49</t>
  </si>
  <si>
    <t>7, 10, 19, 41, 43, 45, 31</t>
  </si>
  <si>
    <t>14, 15, 19, 20, 36, 47, 10</t>
  </si>
  <si>
    <t>9, 11, 38, 39, 44, 47, 3</t>
  </si>
  <si>
    <t>5, 10, 11, 38, 44, 47, 20</t>
  </si>
  <si>
    <t>7, 12, 24, 27, 35, 44, 20</t>
  </si>
  <si>
    <t>2, 13, 19, 28, 41, 42, 14</t>
  </si>
  <si>
    <t>1, 5, 14, 18, 24, 26, 29</t>
  </si>
  <si>
    <t>2, 17, 22, 36, 37, 45, 23</t>
  </si>
  <si>
    <t>19, 22, 33, 36, 37, 46, 8</t>
  </si>
  <si>
    <t>12, 13, 26, 32, 42, 47, 39</t>
  </si>
  <si>
    <t>4, 15, 22, 31, 32, 36, 6</t>
  </si>
  <si>
    <t>8, 10, 25, 31, 45, 48, 2</t>
  </si>
  <si>
    <t>8, 18, 20, 29, 39, 41, 38</t>
  </si>
  <si>
    <t>6, 15, 38, 40, 45, 49, 27</t>
  </si>
  <si>
    <t>6, 23, 24, 30, 36, 46, 31</t>
  </si>
  <si>
    <t>5, 12, 26, 31, 40, 47, 25</t>
  </si>
  <si>
    <t>21, 24, 25, 31, 33, 36, 13</t>
  </si>
  <si>
    <t>2, 3, 9, 16, 33, 37, 46</t>
  </si>
  <si>
    <t>25, 32, 41, 43, 47, 48, 7</t>
  </si>
  <si>
    <t>5, 7, 9, 15, 34, 38, 21</t>
  </si>
  <si>
    <t>1, 22, 27, 34, 35, 37, 20</t>
  </si>
  <si>
    <t>1, 4, 18, 31, 48, 49, 21</t>
  </si>
  <si>
    <t>1, 4, 27, 42, 44, 47, 18</t>
  </si>
  <si>
    <t>1, 5, 15, 24, 25, 42, 46</t>
  </si>
  <si>
    <t>5, 10, 19, 32, 38, 44, 12</t>
  </si>
  <si>
    <t>Date</t>
  </si>
  <si>
    <t>NGroup</t>
  </si>
  <si>
    <t>Results</t>
  </si>
  <si>
    <t>D1</t>
  </si>
  <si>
    <t>D2</t>
  </si>
  <si>
    <t>D3</t>
  </si>
  <si>
    <t>D4</t>
  </si>
  <si>
    <t>D5</t>
  </si>
  <si>
    <t>D6</t>
  </si>
  <si>
    <t>D7</t>
  </si>
  <si>
    <t>G1</t>
  </si>
  <si>
    <t>G2</t>
  </si>
  <si>
    <t>G3</t>
  </si>
  <si>
    <t>G4</t>
  </si>
  <si>
    <t>G5</t>
  </si>
  <si>
    <t>Sum</t>
  </si>
  <si>
    <t>Big</t>
  </si>
  <si>
    <t>Small</t>
  </si>
  <si>
    <t>Odd</t>
  </si>
  <si>
    <t>Even</t>
  </si>
  <si>
    <t>1-2-2-1-1</t>
  </si>
  <si>
    <t>2-1-1-2-1</t>
  </si>
  <si>
    <t>0-2-3-1-1</t>
  </si>
  <si>
    <t>0-2-3-0-2</t>
  </si>
  <si>
    <t>1-0-1-3-2</t>
  </si>
  <si>
    <t>0-0-2-3-2</t>
  </si>
  <si>
    <t>1-0-2-1-3</t>
  </si>
  <si>
    <t>1-3-2-0-1</t>
  </si>
  <si>
    <t>1-0-1-2-3</t>
  </si>
  <si>
    <t>2-2-2-1-0</t>
  </si>
  <si>
    <t>1-0-1-4-1</t>
  </si>
  <si>
    <t>3-2-1-0-1</t>
  </si>
  <si>
    <t>1-1-2-2-1</t>
  </si>
  <si>
    <t>1-1-1-3-1</t>
  </si>
  <si>
    <t>0-0-4-2-1</t>
  </si>
  <si>
    <t>3-0-2-0-2</t>
  </si>
  <si>
    <t>1-1-0-1-4</t>
  </si>
  <si>
    <t>2-0-4-1-0</t>
  </si>
  <si>
    <t>1-2-1-2-1</t>
  </si>
  <si>
    <t>0-1-4-1-1</t>
  </si>
  <si>
    <t>1-0-4-2-0</t>
  </si>
  <si>
    <t>2-3-1-0-1</t>
  </si>
  <si>
    <t>1-1-2-1-2</t>
  </si>
  <si>
    <t>2-1-0-1-3</t>
  </si>
  <si>
    <t>2-2-1-1-1</t>
  </si>
  <si>
    <t>2-1-1-0-3</t>
  </si>
  <si>
    <t>1-0-2-2-2</t>
  </si>
  <si>
    <t>1-1-1-2-2</t>
  </si>
  <si>
    <t>2-1-0-2-2</t>
  </si>
  <si>
    <t>1-2-3-0-1</t>
  </si>
  <si>
    <t>0-2-2-1-2</t>
  </si>
  <si>
    <t>1-2-1-1-2</t>
  </si>
  <si>
    <t>1-1-0-3-2</t>
  </si>
  <si>
    <t>2-1-2-1-1</t>
  </si>
  <si>
    <t>2-2-1-2-0</t>
  </si>
  <si>
    <t>3-1-1-1-1</t>
  </si>
  <si>
    <t>2-2-2-0-1</t>
  </si>
  <si>
    <t>1-0-2-0-4</t>
  </si>
  <si>
    <t>1-3-0-2-1</t>
  </si>
  <si>
    <t>0-1-2-1-3</t>
  </si>
  <si>
    <t>1-1-2-0-3</t>
  </si>
  <si>
    <t>1-3-1-2-0</t>
  </si>
  <si>
    <t>0-2-1-3-1</t>
  </si>
  <si>
    <t>3-0-1-1-2</t>
  </si>
  <si>
    <t>0-2-1-2-2</t>
  </si>
  <si>
    <t>1-2-2-2-0</t>
  </si>
  <si>
    <t>3-1-2-0-1</t>
  </si>
  <si>
    <t>3-0-2-1-1</t>
  </si>
  <si>
    <t>1-1-1-1-3</t>
  </si>
  <si>
    <t>1-0-5-1-0</t>
  </si>
  <si>
    <t>1-2-1-0-3</t>
  </si>
  <si>
    <t>2-3-1-1-0</t>
  </si>
  <si>
    <t>2-1-1-1-2</t>
  </si>
  <si>
    <t>1-1-0-2-3</t>
  </si>
  <si>
    <t>1-3-2-1-0</t>
  </si>
  <si>
    <t>1-2-1-3-0</t>
  </si>
  <si>
    <t>0-1-2-2-2</t>
  </si>
  <si>
    <t>2-0-3-1-1</t>
  </si>
  <si>
    <t>2-0-2-2-1</t>
  </si>
  <si>
    <t>1-1-2-3-0</t>
  </si>
  <si>
    <t>4-1-1-1-0</t>
  </si>
  <si>
    <t>1-4-0-1-1</t>
  </si>
  <si>
    <t>0-4-1-1-1</t>
  </si>
  <si>
    <t>4-0-2-0-1</t>
  </si>
  <si>
    <t>2-3-0-1-1</t>
  </si>
  <si>
    <t>1-2-0-2-2</t>
  </si>
  <si>
    <t>1-1-3-2-0</t>
  </si>
  <si>
    <t>0-1-3-1-2</t>
  </si>
  <si>
    <t>2-0-1-1-3</t>
  </si>
  <si>
    <t>4-2-0-0-1</t>
  </si>
  <si>
    <t>1-0-2-3-1</t>
  </si>
  <si>
    <t>3-0-1-2-1</t>
  </si>
  <si>
    <t>0-3-0-2-2</t>
  </si>
  <si>
    <t>0-2-2-2-1</t>
  </si>
  <si>
    <t>2-1-2-2-0</t>
  </si>
  <si>
    <t>1-3-0-0-3</t>
  </si>
  <si>
    <t>2-0-1-3-1</t>
  </si>
  <si>
    <t>0-3-2-2-0</t>
  </si>
  <si>
    <t>0-0-3-3-1</t>
  </si>
  <si>
    <t>2-1-1-3-0</t>
  </si>
  <si>
    <t>0-1-2-3-1</t>
  </si>
  <si>
    <t>1-4-1-0-1</t>
  </si>
  <si>
    <t>0-2-4-0-1</t>
  </si>
  <si>
    <t>2-0-2-0-3</t>
  </si>
  <si>
    <t>2-2-0-1-2</t>
  </si>
  <si>
    <t>1-0-3-0-3</t>
  </si>
  <si>
    <t>1-1-3-1-1</t>
  </si>
  <si>
    <t>1-2-0-0-4</t>
  </si>
  <si>
    <t>4-1-1-0-1</t>
  </si>
  <si>
    <t>0-1-3-3-0</t>
  </si>
  <si>
    <t>1-3-0-1-2</t>
  </si>
  <si>
    <t>0-1-3-2-1</t>
  </si>
  <si>
    <t>0-3-2-1-1</t>
  </si>
  <si>
    <t>1-0-3-2-1</t>
  </si>
  <si>
    <t>0-1-1-3-2</t>
  </si>
  <si>
    <t>0-1-0-3-3</t>
  </si>
  <si>
    <t>1-0-0-3-3</t>
  </si>
  <si>
    <t>2-1-0-0-4</t>
  </si>
  <si>
    <t>1-2-0-1-3</t>
  </si>
  <si>
    <t>1-1-3-0-2</t>
  </si>
  <si>
    <t>1-3-1-0-2</t>
  </si>
  <si>
    <t>2-1-3-0-1</t>
  </si>
  <si>
    <t>3-1-3-0-0</t>
  </si>
  <si>
    <t>0-1-1-2-3</t>
  </si>
  <si>
    <t>1-3-1-1-1</t>
  </si>
  <si>
    <t>0-0-1-4-2</t>
  </si>
  <si>
    <t>3-1-2-1-0</t>
  </si>
  <si>
    <t>0-4-2-0-1</t>
  </si>
  <si>
    <t>2-0-3-2-0</t>
  </si>
  <si>
    <t>4-1-0-1-1</t>
  </si>
  <si>
    <t>0-1-4-0-2</t>
  </si>
  <si>
    <t>2-0-0-1-4</t>
  </si>
  <si>
    <t>1-0-0-5-1</t>
  </si>
  <si>
    <t>1-0-5-0-1</t>
  </si>
  <si>
    <t>0-0-1-3-3</t>
  </si>
  <si>
    <t>3-2-0-1-1</t>
  </si>
  <si>
    <t>0-3-3-0-1</t>
  </si>
  <si>
    <t>3-0-3-1-0</t>
  </si>
  <si>
    <t>3-1-0-2-1</t>
  </si>
  <si>
    <t>1-1-4-0-1</t>
  </si>
  <si>
    <t>1-2-2-0-2</t>
  </si>
  <si>
    <t>2-2-3-0-0</t>
  </si>
  <si>
    <t>1-0-1-1-4</t>
  </si>
  <si>
    <t>3-1-1-2-0</t>
  </si>
  <si>
    <t>1-0-3-3-0</t>
  </si>
  <si>
    <t>2-1-2-0-2</t>
  </si>
  <si>
    <t>2,12,25,28,37,38,22</t>
  </si>
  <si>
    <t>Total Draw</t>
  </si>
  <si>
    <t>Number Ball</t>
  </si>
  <si>
    <t>Frequency</t>
  </si>
  <si>
    <t>Max</t>
  </si>
  <si>
    <t>Min</t>
  </si>
  <si>
    <t>Month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</si>
  <si>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</si>
  <si>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</si>
  <si>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</si>
  <si>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</si>
  <si>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</si>
  <si>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</si>
  <si>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</si>
  <si>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</si>
  <si>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</si>
  <si>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</si>
  <si>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</si>
  <si>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</si>
  <si>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HiSum</t>
  </si>
  <si>
    <t>LoSum</t>
  </si>
  <si>
    <t>Natural</t>
  </si>
  <si>
    <t>Hi</t>
  </si>
  <si>
    <t>Lo</t>
  </si>
  <si>
    <t>B</t>
  </si>
  <si>
    <t>S</t>
  </si>
  <si>
    <t>Generic</t>
  </si>
  <si>
    <t>Total Permutation</t>
  </si>
  <si>
    <t>Sets</t>
  </si>
  <si>
    <t>Permutations</t>
  </si>
  <si>
    <t>3-2-1-1-0</t>
  </si>
  <si>
    <t>4-2-1-0-0</t>
  </si>
  <si>
    <t>3-3-1-0-0</t>
  </si>
  <si>
    <t>3-2-2-0-0</t>
  </si>
  <si>
    <t>5-1-1-0-0</t>
  </si>
  <si>
    <t>7-0-0-0-0</t>
  </si>
  <si>
    <t>6-1-0-0-0</t>
  </si>
  <si>
    <t>5-2-0-0-0</t>
  </si>
  <si>
    <t>4-3-0-0-0</t>
  </si>
  <si>
    <t>Total</t>
  </si>
  <si>
    <t>Status</t>
  </si>
  <si>
    <t>2-1-0-3-1</t>
  </si>
  <si>
    <t>4,7,15,31,32,43,37</t>
  </si>
  <si>
    <t>2-0-1-4-0</t>
  </si>
  <si>
    <t>2,8,22,31,32,35,36</t>
  </si>
  <si>
    <t>2-1-2-0-3</t>
  </si>
  <si>
    <t>8,17,24,29,32,45,14</t>
  </si>
  <si>
    <t>20,21,23,37,39,47,31</t>
  </si>
  <si>
    <t>9,10,19,21,23,43,15</t>
  </si>
  <si>
    <t>5,7,22,25,34,40,1</t>
  </si>
  <si>
    <t>15,21,23,24,39,40,18</t>
  </si>
  <si>
    <t>2-2-1-0-2</t>
  </si>
  <si>
    <t>9,15,17,22,44,46,2</t>
  </si>
  <si>
    <t>3,8,11,32,44,46,12</t>
  </si>
  <si>
    <t>21,24,31,34,37,44,45</t>
  </si>
  <si>
    <t>1-1-1-0-4</t>
  </si>
  <si>
    <t>4,23,43,44,46,48,16</t>
  </si>
  <si>
    <t>8,14,16,23,24,27,5</t>
  </si>
  <si>
    <t>8,9,12,18,27,45,13</t>
  </si>
  <si>
    <t>5,21,29,30,38,45,1</t>
  </si>
  <si>
    <t>4,13,14,36,41,43,45</t>
  </si>
  <si>
    <t>13,15,16,27,36,47,24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</si>
</sst>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43" formatCode="_(* #,##0.00_);_(* \(#,##0.00\);_(* &quot;-&quot;??_);_(@_)"/>
    <numFmt numFmtId="164" formatCode="[$-409]d\-mmm\-yy;@"/>
    <numFmt numFmtId="165" formatCode="_(* #,##0_);_(* \(#,##0\);_(* &quot;-&quot;??_);_(@_)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rgb="FFFFFF00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17">
    <xf numFmtId="0" fontId="0" fillId="0" borderId="0" xfId="0"/>
    <xf numFmtId="164" fontId="0" fillId="0" borderId="0" xfId="0" applyNumberFormat="1"/>
    <xf numFmtId="164" fontId="2" fillId="0" borderId="0" xfId="0" applyNumberFormat="1" applyFont="1"/>
    <xf numFmtId="0" fontId="2" fillId="0" borderId="0" xfId="0" applyFont="1"/>
    <xf numFmtId="165" fontId="0" fillId="0" borderId="0" xfId="1" applyNumberFormat="1" applyFont="1"/>
    <xf numFmtId="14" fontId="0" fillId="0" borderId="0" xfId="0" applyNumberFormat="1"/>
    <xf numFmtId="164" fontId="2" fillId="0" borderId="0" xfId="1" applyNumberFormat="1" applyFont="1"/>
    <xf numFmtId="165" fontId="2" fillId="0" borderId="0" xfId="1" applyNumberFormat="1" applyFont="1"/>
    <xf numFmtId="0" fontId="0" fillId="0" borderId="0" xfId="0" applyAlignment="1"/>
    <xf numFmtId="0" fontId="0" fillId="2" borderId="1" xfId="0" applyFill="1" applyBorder="1" applyAlignment="1"/>
    <xf numFmtId="0" fontId="0" fillId="2" borderId="2" xfId="0" applyFill="1" applyBorder="1" applyAlignment="1"/>
    <xf numFmtId="0" fontId="0" fillId="2" borderId="3" xfId="0" applyFill="1" applyBorder="1" applyAlignment="1"/>
    <xf numFmtId="0" fontId="0" fillId="0" borderId="4" xfId="0" applyBorder="1"/>
    <xf numFmtId="0" fontId="0" fillId="3" borderId="0" xfId="0" applyFill="1"/>
    <xf numFmtId="165" fontId="0" fillId="3" borderId="0" xfId="1" applyNumberFormat="1" applyFont="1" applyFill="1"/>
    <xf numFmtId="0" fontId="0" fillId="0" borderId="0" xfId="0" applyFill="1"/>
    <xf numFmtId="0" fontId="0" fillId="0" borderId="0" xfId="0" applyAlignment="1">
      <alignment horizontal="center"/>
    </xf>
  </cellXfs>
  <cellStyles count="2">
    <cellStyle name="Comma" xfId="1" builtinId="3"/>
    <cellStyle name="Normal" xfId="0" builtinId="0"/>
  </cellStyles>
  <dxfs count="7"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19050</xdr:colOff>
      <xdr:row>0</xdr:row>
      <xdr:rowOff>28575</xdr:rowOff>
    </xdr:from>
    <xdr:to>
      <xdr:col>9</xdr:col>
      <xdr:colOff>142875</xdr:colOff>
      <xdr:row>1</xdr:row>
      <xdr:rowOff>152400</xdr:rowOff>
    </xdr:to>
    <xdr:sp macro="[0]!Generate" textlink="">
      <xdr:nvSpPr>
        <xdr:cNvPr id="3" name="Rounded Rectangle 2"/>
        <xdr:cNvSpPr/>
      </xdr:nvSpPr>
      <xdr:spPr>
        <a:xfrm>
          <a:off x="4562475" y="28575"/>
          <a:ext cx="1952625" cy="314325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/>
            <a:t>GENERATE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</xdr:col>
      <xdr:colOff>571500</xdr:colOff>
      <xdr:row>1</xdr:row>
      <xdr:rowOff>123825</xdr:rowOff>
    </xdr:to>
    <xdr:sp macro="[0]!Generate" textlink="">
      <xdr:nvSpPr>
        <xdr:cNvPr id="4" name="Rounded Rectangle 3"/>
        <xdr:cNvSpPr/>
      </xdr:nvSpPr>
      <xdr:spPr>
        <a:xfrm>
          <a:off x="0" y="0"/>
          <a:ext cx="1952625" cy="314325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/>
            <a:t>GENERATE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19050</xdr:colOff>
      <xdr:row>0</xdr:row>
      <xdr:rowOff>9525</xdr:rowOff>
    </xdr:from>
    <xdr:to>
      <xdr:col>8</xdr:col>
      <xdr:colOff>9525</xdr:colOff>
      <xdr:row>1</xdr:row>
      <xdr:rowOff>0</xdr:rowOff>
    </xdr:to>
    <xdr:sp macro="[0]!_xludf.Consolidate" textlink="">
      <xdr:nvSpPr>
        <xdr:cNvPr id="2" name="Rounded Rectangle 1"/>
        <xdr:cNvSpPr/>
      </xdr:nvSpPr>
      <xdr:spPr>
        <a:xfrm>
          <a:off x="19050" y="9525"/>
          <a:ext cx="2038350" cy="180975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CONSOLIDATE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259"/>
  <sheetViews>
    <sheetView workbookViewId="0">
      <selection activeCell="E11" sqref="E11"/>
    </sheetView>
  </sheetViews>
  <sheetFormatPr defaultRowHeight="15" x14ac:dyDescent="0.25"/>
  <cols>
    <col min="1" max="1" width="10.140625" style="1" bestFit="1" customWidth="1"/>
    <col min="2" max="2" width="9.140625" style="15"/>
    <col min="3" max="3" width="21.42578125" bestFit="1" customWidth="1"/>
  </cols>
  <sheetData>
    <row r="1" spans="1:3" x14ac:dyDescent="0.25">
      <c r="A1" s="1">
        <v>42901</v>
      </c>
      <c r="B1" s="15" t="s">
        <v>340</v>
      </c>
      <c r="C1" t="s">
        <v>435</v>
      </c>
    </row>
    <row r="2" spans="1:3" x14ac:dyDescent="0.25">
      <c r="A2" s="1">
        <v>42898</v>
      </c>
      <c r="B2" s="15" t="s">
        <v>269</v>
      </c>
      <c r="C2" t="s">
        <v>436</v>
      </c>
    </row>
    <row r="3" spans="1:3" x14ac:dyDescent="0.25">
      <c r="A3" s="1">
        <v>42894</v>
      </c>
      <c r="B3" s="15" t="s">
        <v>309</v>
      </c>
      <c r="C3" t="s">
        <v>437</v>
      </c>
    </row>
    <row r="4" spans="1:3" x14ac:dyDescent="0.25">
      <c r="A4" s="1">
        <v>42891</v>
      </c>
      <c r="B4" s="15" t="s">
        <v>264</v>
      </c>
      <c r="C4" t="s">
        <v>438</v>
      </c>
    </row>
    <row r="5" spans="1:3" x14ac:dyDescent="0.25">
      <c r="A5" s="1">
        <v>42887</v>
      </c>
      <c r="B5" s="15" t="s">
        <v>439</v>
      </c>
      <c r="C5" t="s">
        <v>440</v>
      </c>
    </row>
    <row r="6" spans="1:3" x14ac:dyDescent="0.25">
      <c r="A6" s="1">
        <v>42884</v>
      </c>
      <c r="B6" s="15" t="s">
        <v>354</v>
      </c>
      <c r="C6" t="s">
        <v>449</v>
      </c>
    </row>
    <row r="7" spans="1:3" x14ac:dyDescent="0.25">
      <c r="A7" s="1">
        <v>42880</v>
      </c>
      <c r="B7" s="15" t="s">
        <v>346</v>
      </c>
      <c r="C7" t="s">
        <v>441</v>
      </c>
    </row>
    <row r="8" spans="1:3" x14ac:dyDescent="0.25">
      <c r="A8" s="1">
        <v>42877</v>
      </c>
      <c r="B8" s="15" t="s">
        <v>267</v>
      </c>
      <c r="C8" t="s">
        <v>442</v>
      </c>
    </row>
    <row r="9" spans="1:3" x14ac:dyDescent="0.25">
      <c r="A9" s="1">
        <v>42873</v>
      </c>
      <c r="B9" s="15" t="s">
        <v>443</v>
      </c>
      <c r="C9" t="s">
        <v>444</v>
      </c>
    </row>
    <row r="10" spans="1:3" x14ac:dyDescent="0.25">
      <c r="A10" s="1">
        <v>42870</v>
      </c>
      <c r="B10" s="15" t="s">
        <v>383</v>
      </c>
      <c r="C10" t="s">
        <v>445</v>
      </c>
    </row>
    <row r="11" spans="1:3" x14ac:dyDescent="0.25">
      <c r="A11" s="1">
        <v>42866</v>
      </c>
      <c r="B11" s="15" t="s">
        <v>283</v>
      </c>
      <c r="C11" t="s">
        <v>446</v>
      </c>
    </row>
    <row r="12" spans="1:3" x14ac:dyDescent="0.25">
      <c r="A12" s="1">
        <v>42863</v>
      </c>
      <c r="B12" s="15" t="s">
        <v>320</v>
      </c>
      <c r="C12" t="s">
        <v>447</v>
      </c>
    </row>
    <row r="13" spans="1:3" x14ac:dyDescent="0.25">
      <c r="A13" s="1">
        <v>42859</v>
      </c>
      <c r="B13" s="15" t="s">
        <v>360</v>
      </c>
      <c r="C13" t="s">
        <v>448</v>
      </c>
    </row>
    <row r="14" spans="1:3" x14ac:dyDescent="0.25">
      <c r="A14" s="1">
        <v>42856</v>
      </c>
      <c r="B14" s="15" t="s">
        <v>262</v>
      </c>
      <c r="C14" t="s">
        <v>434</v>
      </c>
    </row>
    <row r="15" spans="1:3" x14ac:dyDescent="0.25">
      <c r="A15" s="1">
        <v>42852</v>
      </c>
      <c r="B15" s="15" t="s">
        <v>429</v>
      </c>
      <c r="C15" t="s">
        <v>430</v>
      </c>
    </row>
    <row r="16" spans="1:3" x14ac:dyDescent="0.25">
      <c r="A16" s="1">
        <v>42849</v>
      </c>
      <c r="B16" s="15" t="s">
        <v>431</v>
      </c>
      <c r="C16" t="s">
        <v>432</v>
      </c>
    </row>
    <row r="17" spans="1:3" x14ac:dyDescent="0.25">
      <c r="A17" s="1">
        <v>42845</v>
      </c>
      <c r="B17" s="15" t="s">
        <v>328</v>
      </c>
      <c r="C17" t="s">
        <v>388</v>
      </c>
    </row>
    <row r="18" spans="1:3" x14ac:dyDescent="0.25">
      <c r="A18" s="1">
        <v>42842</v>
      </c>
      <c r="B18" s="15" t="s">
        <v>262</v>
      </c>
      <c r="C18" t="s">
        <v>0</v>
      </c>
    </row>
    <row r="19" spans="1:3" x14ac:dyDescent="0.25">
      <c r="A19" s="1">
        <v>42838</v>
      </c>
      <c r="B19" s="15" t="s">
        <v>263</v>
      </c>
      <c r="C19" t="s">
        <v>1</v>
      </c>
    </row>
    <row r="20" spans="1:3" x14ac:dyDescent="0.25">
      <c r="A20" s="1">
        <v>42835</v>
      </c>
      <c r="B20" s="15" t="s">
        <v>264</v>
      </c>
      <c r="C20" t="s">
        <v>2</v>
      </c>
    </row>
    <row r="21" spans="1:3" x14ac:dyDescent="0.25">
      <c r="A21" s="1">
        <v>42831</v>
      </c>
      <c r="B21" s="15" t="s">
        <v>265</v>
      </c>
      <c r="C21" t="s">
        <v>3</v>
      </c>
    </row>
    <row r="22" spans="1:3" x14ac:dyDescent="0.25">
      <c r="A22" s="1">
        <v>42828</v>
      </c>
      <c r="B22" s="15" t="s">
        <v>266</v>
      </c>
      <c r="C22" t="s">
        <v>4</v>
      </c>
    </row>
    <row r="23" spans="1:3" x14ac:dyDescent="0.25">
      <c r="A23" s="1">
        <v>42824</v>
      </c>
      <c r="B23" s="15" t="s">
        <v>267</v>
      </c>
      <c r="C23" t="s">
        <v>5</v>
      </c>
    </row>
    <row r="24" spans="1:3" x14ac:dyDescent="0.25">
      <c r="A24" s="1">
        <v>42821</v>
      </c>
      <c r="B24" s="15" t="s">
        <v>268</v>
      </c>
      <c r="C24" t="s">
        <v>6</v>
      </c>
    </row>
    <row r="25" spans="1:3" x14ac:dyDescent="0.25">
      <c r="A25" s="1">
        <v>42817</v>
      </c>
      <c r="B25" s="15" t="s">
        <v>269</v>
      </c>
      <c r="C25" t="s">
        <v>7</v>
      </c>
    </row>
    <row r="26" spans="1:3" x14ac:dyDescent="0.25">
      <c r="A26" s="1">
        <v>42814</v>
      </c>
      <c r="B26" s="15" t="s">
        <v>270</v>
      </c>
      <c r="C26" t="s">
        <v>8</v>
      </c>
    </row>
    <row r="27" spans="1:3" x14ac:dyDescent="0.25">
      <c r="A27" s="1">
        <v>42810</v>
      </c>
      <c r="B27" s="15" t="s">
        <v>271</v>
      </c>
      <c r="C27" t="s">
        <v>9</v>
      </c>
    </row>
    <row r="28" spans="1:3" x14ac:dyDescent="0.25">
      <c r="A28" s="1">
        <v>42807</v>
      </c>
      <c r="B28" s="15" t="s">
        <v>272</v>
      </c>
      <c r="C28" t="s">
        <v>10</v>
      </c>
    </row>
    <row r="29" spans="1:3" x14ac:dyDescent="0.25">
      <c r="A29" s="1">
        <v>42803</v>
      </c>
      <c r="B29" s="15" t="s">
        <v>273</v>
      </c>
      <c r="C29" t="s">
        <v>11</v>
      </c>
    </row>
    <row r="30" spans="1:3" x14ac:dyDescent="0.25">
      <c r="A30" s="1">
        <v>42800</v>
      </c>
      <c r="B30" s="15" t="s">
        <v>274</v>
      </c>
      <c r="C30" t="s">
        <v>12</v>
      </c>
    </row>
    <row r="31" spans="1:3" x14ac:dyDescent="0.25">
      <c r="A31" s="1">
        <v>42796</v>
      </c>
      <c r="B31" s="15" t="s">
        <v>275</v>
      </c>
      <c r="C31" t="s">
        <v>13</v>
      </c>
    </row>
    <row r="32" spans="1:3" x14ac:dyDescent="0.25">
      <c r="A32" s="1">
        <v>42793</v>
      </c>
      <c r="B32" s="15" t="s">
        <v>276</v>
      </c>
      <c r="C32" t="s">
        <v>14</v>
      </c>
    </row>
    <row r="33" spans="1:3" x14ac:dyDescent="0.25">
      <c r="A33" s="1">
        <v>42789</v>
      </c>
      <c r="B33" s="15" t="s">
        <v>277</v>
      </c>
      <c r="C33" t="s">
        <v>15</v>
      </c>
    </row>
    <row r="34" spans="1:3" x14ac:dyDescent="0.25">
      <c r="A34" s="1">
        <v>42786</v>
      </c>
      <c r="B34" s="15" t="s">
        <v>273</v>
      </c>
      <c r="C34" t="s">
        <v>16</v>
      </c>
    </row>
    <row r="35" spans="1:3" x14ac:dyDescent="0.25">
      <c r="A35" s="1">
        <v>42782</v>
      </c>
      <c r="B35" s="15" t="s">
        <v>278</v>
      </c>
      <c r="C35" t="s">
        <v>17</v>
      </c>
    </row>
    <row r="36" spans="1:3" x14ac:dyDescent="0.25">
      <c r="A36" s="1">
        <v>42779</v>
      </c>
      <c r="B36" s="15" t="s">
        <v>271</v>
      </c>
      <c r="C36" t="s">
        <v>18</v>
      </c>
    </row>
    <row r="37" spans="1:3" x14ac:dyDescent="0.25">
      <c r="A37" s="1">
        <v>42776</v>
      </c>
      <c r="B37" s="15" t="s">
        <v>279</v>
      </c>
      <c r="C37" t="s">
        <v>19</v>
      </c>
    </row>
    <row r="38" spans="1:3" x14ac:dyDescent="0.25">
      <c r="A38" s="1">
        <v>42772</v>
      </c>
      <c r="B38" s="15" t="s">
        <v>280</v>
      </c>
      <c r="C38" t="s">
        <v>20</v>
      </c>
    </row>
    <row r="39" spans="1:3" x14ac:dyDescent="0.25">
      <c r="A39" s="1">
        <v>42768</v>
      </c>
      <c r="B39" s="15" t="s">
        <v>281</v>
      </c>
      <c r="C39" t="s">
        <v>21</v>
      </c>
    </row>
    <row r="40" spans="1:3" x14ac:dyDescent="0.25">
      <c r="A40" s="1">
        <v>42765</v>
      </c>
      <c r="B40" s="15" t="s">
        <v>282</v>
      </c>
      <c r="C40" t="s">
        <v>22</v>
      </c>
    </row>
    <row r="41" spans="1:3" x14ac:dyDescent="0.25">
      <c r="A41" s="1">
        <v>42761</v>
      </c>
      <c r="B41" s="15" t="s">
        <v>283</v>
      </c>
      <c r="C41" t="s">
        <v>23</v>
      </c>
    </row>
    <row r="42" spans="1:3" x14ac:dyDescent="0.25">
      <c r="A42" s="1">
        <v>42758</v>
      </c>
      <c r="B42" s="15" t="s">
        <v>284</v>
      </c>
      <c r="C42" t="s">
        <v>24</v>
      </c>
    </row>
    <row r="43" spans="1:3" x14ac:dyDescent="0.25">
      <c r="A43" s="1">
        <v>42754</v>
      </c>
      <c r="B43" s="15" t="s">
        <v>285</v>
      </c>
      <c r="C43" t="s">
        <v>25</v>
      </c>
    </row>
    <row r="44" spans="1:3" x14ac:dyDescent="0.25">
      <c r="A44" s="1">
        <v>42751</v>
      </c>
      <c r="B44" s="15" t="s">
        <v>286</v>
      </c>
      <c r="C44" t="s">
        <v>26</v>
      </c>
    </row>
    <row r="45" spans="1:3" x14ac:dyDescent="0.25">
      <c r="A45" s="1">
        <v>42747</v>
      </c>
      <c r="B45" s="15" t="s">
        <v>287</v>
      </c>
      <c r="C45" t="s">
        <v>27</v>
      </c>
    </row>
    <row r="46" spans="1:3" x14ac:dyDescent="0.25">
      <c r="A46" s="1">
        <v>42744</v>
      </c>
      <c r="B46" s="15" t="s">
        <v>288</v>
      </c>
      <c r="C46" t="s">
        <v>28</v>
      </c>
    </row>
    <row r="47" spans="1:3" x14ac:dyDescent="0.25">
      <c r="A47" s="1">
        <v>42739</v>
      </c>
      <c r="B47" s="15" t="s">
        <v>289</v>
      </c>
      <c r="C47" t="s">
        <v>29</v>
      </c>
    </row>
    <row r="48" spans="1:3" x14ac:dyDescent="0.25">
      <c r="A48" s="1">
        <v>42737</v>
      </c>
      <c r="B48" s="15" t="s">
        <v>275</v>
      </c>
      <c r="C48" t="s">
        <v>30</v>
      </c>
    </row>
    <row r="49" spans="1:3" x14ac:dyDescent="0.25">
      <c r="A49" s="1">
        <v>42733</v>
      </c>
      <c r="B49" s="15" t="s">
        <v>290</v>
      </c>
      <c r="C49" t="s">
        <v>31</v>
      </c>
    </row>
    <row r="50" spans="1:3" x14ac:dyDescent="0.25">
      <c r="A50" s="1">
        <v>42730</v>
      </c>
      <c r="B50" s="15" t="s">
        <v>291</v>
      </c>
      <c r="C50" t="s">
        <v>32</v>
      </c>
    </row>
    <row r="51" spans="1:3" x14ac:dyDescent="0.25">
      <c r="A51" s="1">
        <v>42726</v>
      </c>
      <c r="B51" s="15" t="s">
        <v>270</v>
      </c>
      <c r="C51" t="s">
        <v>33</v>
      </c>
    </row>
    <row r="52" spans="1:3" x14ac:dyDescent="0.25">
      <c r="A52" s="1">
        <v>42723</v>
      </c>
      <c r="B52" s="15" t="s">
        <v>292</v>
      </c>
      <c r="C52" t="s">
        <v>34</v>
      </c>
    </row>
    <row r="53" spans="1:3" x14ac:dyDescent="0.25">
      <c r="A53" s="1">
        <v>42719</v>
      </c>
      <c r="B53" s="15" t="s">
        <v>293</v>
      </c>
      <c r="C53" t="s">
        <v>35</v>
      </c>
    </row>
    <row r="54" spans="1:3" x14ac:dyDescent="0.25">
      <c r="A54" s="1">
        <v>42716</v>
      </c>
      <c r="B54" s="15" t="s">
        <v>294</v>
      </c>
      <c r="C54" t="s">
        <v>36</v>
      </c>
    </row>
    <row r="55" spans="1:3" x14ac:dyDescent="0.25">
      <c r="A55" s="1">
        <v>42712</v>
      </c>
      <c r="B55" s="15" t="s">
        <v>295</v>
      </c>
      <c r="C55" t="s">
        <v>37</v>
      </c>
    </row>
    <row r="56" spans="1:3" x14ac:dyDescent="0.25">
      <c r="A56" s="1">
        <v>42709</v>
      </c>
      <c r="B56" s="15" t="s">
        <v>296</v>
      </c>
      <c r="C56" t="s">
        <v>38</v>
      </c>
    </row>
    <row r="57" spans="1:3" x14ac:dyDescent="0.25">
      <c r="A57" s="1">
        <v>42705</v>
      </c>
      <c r="B57" s="15" t="s">
        <v>273</v>
      </c>
      <c r="C57" t="s">
        <v>39</v>
      </c>
    </row>
    <row r="58" spans="1:3" x14ac:dyDescent="0.25">
      <c r="A58" s="1">
        <v>42702</v>
      </c>
      <c r="B58" s="15" t="s">
        <v>297</v>
      </c>
      <c r="C58" t="s">
        <v>40</v>
      </c>
    </row>
    <row r="59" spans="1:3" x14ac:dyDescent="0.25">
      <c r="A59" s="1">
        <v>42698</v>
      </c>
      <c r="B59" s="15" t="s">
        <v>298</v>
      </c>
      <c r="C59" t="s">
        <v>41</v>
      </c>
    </row>
    <row r="60" spans="1:3" x14ac:dyDescent="0.25">
      <c r="A60" s="1">
        <v>42695</v>
      </c>
      <c r="B60" s="15" t="s">
        <v>299</v>
      </c>
      <c r="C60" t="s">
        <v>42</v>
      </c>
    </row>
    <row r="61" spans="1:3" x14ac:dyDescent="0.25">
      <c r="A61" s="1">
        <v>42691</v>
      </c>
      <c r="B61" s="15" t="s">
        <v>272</v>
      </c>
      <c r="C61" t="s">
        <v>43</v>
      </c>
    </row>
    <row r="62" spans="1:3" x14ac:dyDescent="0.25">
      <c r="A62" s="1">
        <v>42688</v>
      </c>
      <c r="B62" s="15" t="s">
        <v>300</v>
      </c>
      <c r="C62" t="s">
        <v>44</v>
      </c>
    </row>
    <row r="63" spans="1:3" x14ac:dyDescent="0.25">
      <c r="A63" s="1">
        <v>42684</v>
      </c>
      <c r="B63" s="15" t="s">
        <v>301</v>
      </c>
      <c r="C63" t="s">
        <v>45</v>
      </c>
    </row>
    <row r="64" spans="1:3" x14ac:dyDescent="0.25">
      <c r="A64" s="1">
        <v>42681</v>
      </c>
      <c r="B64" s="15" t="s">
        <v>302</v>
      </c>
      <c r="C64" t="s">
        <v>46</v>
      </c>
    </row>
    <row r="65" spans="1:3" x14ac:dyDescent="0.25">
      <c r="A65" s="1">
        <v>42677</v>
      </c>
      <c r="B65" s="15" t="s">
        <v>303</v>
      </c>
      <c r="C65" t="s">
        <v>47</v>
      </c>
    </row>
    <row r="66" spans="1:3" x14ac:dyDescent="0.25">
      <c r="A66" s="1">
        <v>42674</v>
      </c>
      <c r="B66" s="15" t="s">
        <v>304</v>
      </c>
      <c r="C66" t="s">
        <v>48</v>
      </c>
    </row>
    <row r="67" spans="1:3" x14ac:dyDescent="0.25">
      <c r="A67" s="1">
        <v>42670</v>
      </c>
      <c r="B67" s="15" t="s">
        <v>305</v>
      </c>
      <c r="C67" t="s">
        <v>49</v>
      </c>
    </row>
    <row r="68" spans="1:3" x14ac:dyDescent="0.25">
      <c r="A68" s="1">
        <v>42667</v>
      </c>
      <c r="B68" s="15" t="s">
        <v>280</v>
      </c>
      <c r="C68" t="s">
        <v>50</v>
      </c>
    </row>
    <row r="69" spans="1:3" x14ac:dyDescent="0.25">
      <c r="A69" s="1">
        <v>42663</v>
      </c>
      <c r="B69" s="15" t="s">
        <v>274</v>
      </c>
      <c r="C69" t="s">
        <v>51</v>
      </c>
    </row>
    <row r="70" spans="1:3" x14ac:dyDescent="0.25">
      <c r="A70" s="1">
        <v>42660</v>
      </c>
      <c r="B70" s="15" t="s">
        <v>305</v>
      </c>
      <c r="C70" t="s">
        <v>52</v>
      </c>
    </row>
    <row r="71" spans="1:3" x14ac:dyDescent="0.25">
      <c r="A71" s="1">
        <v>42656</v>
      </c>
      <c r="B71" s="15" t="s">
        <v>306</v>
      </c>
      <c r="C71" t="s">
        <v>53</v>
      </c>
    </row>
    <row r="72" spans="1:3" x14ac:dyDescent="0.25">
      <c r="A72" s="1">
        <v>42653</v>
      </c>
      <c r="B72" s="15" t="s">
        <v>289</v>
      </c>
      <c r="C72" t="s">
        <v>54</v>
      </c>
    </row>
    <row r="73" spans="1:3" x14ac:dyDescent="0.25">
      <c r="A73" s="1">
        <v>42649</v>
      </c>
      <c r="B73" s="15" t="s">
        <v>307</v>
      </c>
      <c r="C73" t="s">
        <v>55</v>
      </c>
    </row>
    <row r="74" spans="1:3" x14ac:dyDescent="0.25">
      <c r="A74" s="1">
        <v>42646</v>
      </c>
      <c r="B74" s="15" t="s">
        <v>308</v>
      </c>
      <c r="C74" t="s">
        <v>56</v>
      </c>
    </row>
    <row r="75" spans="1:3" x14ac:dyDescent="0.25">
      <c r="A75" s="1">
        <v>42642</v>
      </c>
      <c r="B75" s="15" t="s">
        <v>309</v>
      </c>
      <c r="C75" t="s">
        <v>57</v>
      </c>
    </row>
    <row r="76" spans="1:3" x14ac:dyDescent="0.25">
      <c r="A76" s="1">
        <v>42639</v>
      </c>
      <c r="B76" s="15" t="s">
        <v>295</v>
      </c>
      <c r="C76" t="s">
        <v>58</v>
      </c>
    </row>
    <row r="77" spans="1:3" x14ac:dyDescent="0.25">
      <c r="A77" s="1">
        <v>42635</v>
      </c>
      <c r="B77" s="15" t="s">
        <v>310</v>
      </c>
      <c r="C77" t="s">
        <v>59</v>
      </c>
    </row>
    <row r="78" spans="1:3" x14ac:dyDescent="0.25">
      <c r="A78" s="1">
        <v>42632</v>
      </c>
      <c r="B78" s="15" t="s">
        <v>306</v>
      </c>
      <c r="C78" t="s">
        <v>60</v>
      </c>
    </row>
    <row r="79" spans="1:3" x14ac:dyDescent="0.25">
      <c r="A79" s="1">
        <v>42628</v>
      </c>
      <c r="B79" s="15" t="s">
        <v>311</v>
      </c>
      <c r="C79" t="s">
        <v>61</v>
      </c>
    </row>
    <row r="80" spans="1:3" x14ac:dyDescent="0.25">
      <c r="A80" s="1">
        <v>42625</v>
      </c>
      <c r="B80" s="15" t="s">
        <v>312</v>
      </c>
      <c r="C80" t="s">
        <v>62</v>
      </c>
    </row>
    <row r="81" spans="1:3" x14ac:dyDescent="0.25">
      <c r="A81" s="1">
        <v>42621</v>
      </c>
      <c r="B81" s="15" t="s">
        <v>313</v>
      </c>
      <c r="C81" t="s">
        <v>63</v>
      </c>
    </row>
    <row r="82" spans="1:3" x14ac:dyDescent="0.25">
      <c r="A82" s="1">
        <v>42618</v>
      </c>
      <c r="B82" s="15" t="s">
        <v>297</v>
      </c>
      <c r="C82" t="s">
        <v>64</v>
      </c>
    </row>
    <row r="83" spans="1:3" x14ac:dyDescent="0.25">
      <c r="A83" s="1">
        <v>42614</v>
      </c>
      <c r="B83" s="15" t="s">
        <v>273</v>
      </c>
      <c r="C83" t="s">
        <v>65</v>
      </c>
    </row>
    <row r="84" spans="1:3" x14ac:dyDescent="0.25">
      <c r="A84" s="1">
        <v>42611</v>
      </c>
      <c r="B84" s="15" t="s">
        <v>306</v>
      </c>
      <c r="C84" t="s">
        <v>66</v>
      </c>
    </row>
    <row r="85" spans="1:3" x14ac:dyDescent="0.25">
      <c r="A85" s="1">
        <v>42607</v>
      </c>
      <c r="B85" s="15" t="s">
        <v>314</v>
      </c>
      <c r="C85" t="s">
        <v>67</v>
      </c>
    </row>
    <row r="86" spans="1:3" x14ac:dyDescent="0.25">
      <c r="A86" s="1">
        <v>42604</v>
      </c>
      <c r="B86" s="15" t="s">
        <v>315</v>
      </c>
      <c r="C86" t="s">
        <v>68</v>
      </c>
    </row>
    <row r="87" spans="1:3" x14ac:dyDescent="0.25">
      <c r="A87" s="1">
        <v>42600</v>
      </c>
      <c r="B87" s="15" t="s">
        <v>316</v>
      </c>
      <c r="C87" t="s">
        <v>69</v>
      </c>
    </row>
    <row r="88" spans="1:3" x14ac:dyDescent="0.25">
      <c r="A88" s="1">
        <v>42597</v>
      </c>
      <c r="B88" s="15" t="s">
        <v>317</v>
      </c>
      <c r="C88" t="s">
        <v>70</v>
      </c>
    </row>
    <row r="89" spans="1:3" x14ac:dyDescent="0.25">
      <c r="A89" s="1">
        <v>42593</v>
      </c>
      <c r="B89" s="15" t="s">
        <v>318</v>
      </c>
      <c r="C89" t="s">
        <v>71</v>
      </c>
    </row>
    <row r="90" spans="1:3" x14ac:dyDescent="0.25">
      <c r="A90" s="1">
        <v>42590</v>
      </c>
      <c r="B90" s="15" t="s">
        <v>319</v>
      </c>
      <c r="C90" t="s">
        <v>72</v>
      </c>
    </row>
    <row r="91" spans="1:3" x14ac:dyDescent="0.25">
      <c r="A91" s="1">
        <v>42586</v>
      </c>
      <c r="B91" s="15" t="s">
        <v>320</v>
      </c>
      <c r="C91" t="s">
        <v>73</v>
      </c>
    </row>
    <row r="92" spans="1:3" x14ac:dyDescent="0.25">
      <c r="A92" s="1">
        <v>42583</v>
      </c>
      <c r="B92" s="15" t="s">
        <v>321</v>
      </c>
      <c r="C92" t="s">
        <v>74</v>
      </c>
    </row>
    <row r="93" spans="1:3" x14ac:dyDescent="0.25">
      <c r="A93" s="1">
        <v>42579</v>
      </c>
      <c r="B93" s="15" t="s">
        <v>322</v>
      </c>
      <c r="C93" t="s">
        <v>75</v>
      </c>
    </row>
    <row r="94" spans="1:3" x14ac:dyDescent="0.25">
      <c r="A94" s="1">
        <v>42576</v>
      </c>
      <c r="B94" s="15" t="s">
        <v>310</v>
      </c>
      <c r="C94" t="s">
        <v>76</v>
      </c>
    </row>
    <row r="95" spans="1:3" x14ac:dyDescent="0.25">
      <c r="A95" s="1">
        <v>42572</v>
      </c>
      <c r="B95" s="15" t="s">
        <v>262</v>
      </c>
      <c r="C95" t="s">
        <v>77</v>
      </c>
    </row>
    <row r="96" spans="1:3" x14ac:dyDescent="0.25">
      <c r="A96" s="1">
        <v>42569</v>
      </c>
      <c r="B96" s="15" t="s">
        <v>289</v>
      </c>
      <c r="C96" t="s">
        <v>78</v>
      </c>
    </row>
    <row r="97" spans="1:3" x14ac:dyDescent="0.25">
      <c r="A97" s="1">
        <v>42565</v>
      </c>
      <c r="B97" s="15" t="s">
        <v>323</v>
      </c>
      <c r="C97" t="s">
        <v>79</v>
      </c>
    </row>
    <row r="98" spans="1:3" x14ac:dyDescent="0.25">
      <c r="A98" s="1">
        <v>42562</v>
      </c>
      <c r="B98" s="15" t="s">
        <v>321</v>
      </c>
      <c r="C98" t="s">
        <v>80</v>
      </c>
    </row>
    <row r="99" spans="1:3" x14ac:dyDescent="0.25">
      <c r="A99" s="1">
        <v>42558</v>
      </c>
      <c r="B99" s="15" t="s">
        <v>286</v>
      </c>
      <c r="C99" t="s">
        <v>81</v>
      </c>
    </row>
    <row r="100" spans="1:3" x14ac:dyDescent="0.25">
      <c r="A100" s="1">
        <v>42555</v>
      </c>
      <c r="B100" s="15" t="s">
        <v>264</v>
      </c>
      <c r="C100" t="s">
        <v>82</v>
      </c>
    </row>
    <row r="101" spans="1:3" x14ac:dyDescent="0.25">
      <c r="A101" s="1">
        <v>42551</v>
      </c>
      <c r="B101" s="15" t="s">
        <v>324</v>
      </c>
      <c r="C101" t="s">
        <v>83</v>
      </c>
    </row>
    <row r="102" spans="1:3" x14ac:dyDescent="0.25">
      <c r="A102" s="1">
        <v>42548</v>
      </c>
      <c r="B102" s="15" t="s">
        <v>274</v>
      </c>
      <c r="C102" t="s">
        <v>84</v>
      </c>
    </row>
    <row r="103" spans="1:3" x14ac:dyDescent="0.25">
      <c r="A103" s="1">
        <v>42544</v>
      </c>
      <c r="B103" s="15" t="s">
        <v>325</v>
      </c>
      <c r="C103" t="s">
        <v>85</v>
      </c>
    </row>
    <row r="104" spans="1:3" x14ac:dyDescent="0.25">
      <c r="A104" s="1">
        <v>42541</v>
      </c>
      <c r="B104" s="15" t="s">
        <v>326</v>
      </c>
      <c r="C104" t="s">
        <v>86</v>
      </c>
    </row>
    <row r="105" spans="1:3" x14ac:dyDescent="0.25">
      <c r="A105" s="1">
        <v>42537</v>
      </c>
      <c r="B105" s="15" t="s">
        <v>327</v>
      </c>
      <c r="C105" t="s">
        <v>87</v>
      </c>
    </row>
    <row r="106" spans="1:3" x14ac:dyDescent="0.25">
      <c r="A106" s="1">
        <v>42534</v>
      </c>
      <c r="B106" s="15" t="s">
        <v>328</v>
      </c>
      <c r="C106" t="s">
        <v>88</v>
      </c>
    </row>
    <row r="107" spans="1:3" x14ac:dyDescent="0.25">
      <c r="A107" s="1">
        <v>42530</v>
      </c>
      <c r="B107" s="15" t="s">
        <v>329</v>
      </c>
      <c r="C107" t="s">
        <v>89</v>
      </c>
    </row>
    <row r="108" spans="1:3" x14ac:dyDescent="0.25">
      <c r="A108" s="1">
        <v>42527</v>
      </c>
      <c r="B108" s="15" t="s">
        <v>271</v>
      </c>
      <c r="C108" t="s">
        <v>90</v>
      </c>
    </row>
    <row r="109" spans="1:3" x14ac:dyDescent="0.25">
      <c r="A109" s="1">
        <v>42523</v>
      </c>
      <c r="B109" s="15" t="s">
        <v>284</v>
      </c>
      <c r="C109" t="s">
        <v>91</v>
      </c>
    </row>
    <row r="110" spans="1:3" x14ac:dyDescent="0.25">
      <c r="A110" s="1">
        <v>42520</v>
      </c>
      <c r="B110" s="15" t="s">
        <v>321</v>
      </c>
      <c r="C110" t="s">
        <v>92</v>
      </c>
    </row>
    <row r="111" spans="1:3" x14ac:dyDescent="0.25">
      <c r="A111" s="1">
        <v>42516</v>
      </c>
      <c r="B111" s="15" t="s">
        <v>327</v>
      </c>
      <c r="C111" t="s">
        <v>93</v>
      </c>
    </row>
    <row r="112" spans="1:3" x14ac:dyDescent="0.25">
      <c r="A112" s="1">
        <v>42513</v>
      </c>
      <c r="B112" s="15" t="s">
        <v>274</v>
      </c>
      <c r="C112" t="s">
        <v>94</v>
      </c>
    </row>
    <row r="113" spans="1:3" x14ac:dyDescent="0.25">
      <c r="A113" s="1">
        <v>42509</v>
      </c>
      <c r="B113" s="15" t="s">
        <v>280</v>
      </c>
      <c r="C113" t="s">
        <v>95</v>
      </c>
    </row>
    <row r="114" spans="1:3" x14ac:dyDescent="0.25">
      <c r="A114" s="1">
        <v>42506</v>
      </c>
      <c r="B114" s="15" t="s">
        <v>295</v>
      </c>
      <c r="C114" t="s">
        <v>96</v>
      </c>
    </row>
    <row r="115" spans="1:3" x14ac:dyDescent="0.25">
      <c r="A115" s="1">
        <v>42502</v>
      </c>
      <c r="B115" s="15" t="s">
        <v>330</v>
      </c>
      <c r="C115" t="s">
        <v>97</v>
      </c>
    </row>
    <row r="116" spans="1:3" x14ac:dyDescent="0.25">
      <c r="A116" s="1">
        <v>42499</v>
      </c>
      <c r="B116" s="15" t="s">
        <v>284</v>
      </c>
      <c r="C116" t="s">
        <v>98</v>
      </c>
    </row>
    <row r="117" spans="1:3" x14ac:dyDescent="0.25">
      <c r="A117" s="1">
        <v>42495</v>
      </c>
      <c r="B117" s="15" t="s">
        <v>299</v>
      </c>
      <c r="C117" t="s">
        <v>99</v>
      </c>
    </row>
    <row r="118" spans="1:3" x14ac:dyDescent="0.25">
      <c r="A118" s="1">
        <v>42492</v>
      </c>
      <c r="B118" s="15" t="s">
        <v>331</v>
      </c>
      <c r="C118" t="s">
        <v>100</v>
      </c>
    </row>
    <row r="119" spans="1:3" x14ac:dyDescent="0.25">
      <c r="A119" s="1">
        <v>42488</v>
      </c>
      <c r="B119" s="15" t="s">
        <v>332</v>
      </c>
      <c r="C119" t="s">
        <v>101</v>
      </c>
    </row>
    <row r="120" spans="1:3" x14ac:dyDescent="0.25">
      <c r="A120" s="1">
        <v>42485</v>
      </c>
      <c r="B120" s="15" t="s">
        <v>333</v>
      </c>
      <c r="C120" t="s">
        <v>102</v>
      </c>
    </row>
    <row r="121" spans="1:3" x14ac:dyDescent="0.25">
      <c r="A121" s="1">
        <v>42481</v>
      </c>
      <c r="B121" s="15" t="s">
        <v>334</v>
      </c>
      <c r="C121" t="s">
        <v>103</v>
      </c>
    </row>
    <row r="122" spans="1:3" x14ac:dyDescent="0.25">
      <c r="A122" s="1">
        <v>42478</v>
      </c>
      <c r="B122" s="15" t="s">
        <v>335</v>
      </c>
      <c r="C122" t="s">
        <v>104</v>
      </c>
    </row>
    <row r="123" spans="1:3" x14ac:dyDescent="0.25">
      <c r="A123" s="1">
        <v>42474</v>
      </c>
      <c r="B123" s="15" t="s">
        <v>336</v>
      </c>
      <c r="C123" t="s">
        <v>105</v>
      </c>
    </row>
    <row r="124" spans="1:3" x14ac:dyDescent="0.25">
      <c r="A124" s="1">
        <v>42471</v>
      </c>
      <c r="B124" s="15" t="s">
        <v>337</v>
      </c>
      <c r="C124" t="s">
        <v>106</v>
      </c>
    </row>
    <row r="125" spans="1:3" x14ac:dyDescent="0.25">
      <c r="A125" s="1">
        <v>42467</v>
      </c>
      <c r="B125" s="15" t="s">
        <v>338</v>
      </c>
      <c r="C125" t="s">
        <v>107</v>
      </c>
    </row>
    <row r="126" spans="1:3" x14ac:dyDescent="0.25">
      <c r="A126" s="1">
        <v>42464</v>
      </c>
      <c r="B126" s="15" t="s">
        <v>339</v>
      </c>
      <c r="C126" t="s">
        <v>108</v>
      </c>
    </row>
    <row r="127" spans="1:3" x14ac:dyDescent="0.25">
      <c r="A127" s="1">
        <v>42460</v>
      </c>
      <c r="B127" s="15" t="s">
        <v>340</v>
      </c>
      <c r="C127" t="s">
        <v>109</v>
      </c>
    </row>
    <row r="128" spans="1:3" x14ac:dyDescent="0.25">
      <c r="A128" s="1">
        <v>42457</v>
      </c>
      <c r="B128" s="15" t="s">
        <v>341</v>
      </c>
      <c r="C128" t="s">
        <v>110</v>
      </c>
    </row>
    <row r="129" spans="1:3" x14ac:dyDescent="0.25">
      <c r="A129" s="1">
        <v>42453</v>
      </c>
      <c r="B129" s="15" t="s">
        <v>338</v>
      </c>
      <c r="C129" t="s">
        <v>111</v>
      </c>
    </row>
    <row r="130" spans="1:3" x14ac:dyDescent="0.25">
      <c r="A130" s="1">
        <v>42450</v>
      </c>
      <c r="B130" s="15" t="s">
        <v>314</v>
      </c>
      <c r="C130" t="s">
        <v>112</v>
      </c>
    </row>
    <row r="131" spans="1:3" x14ac:dyDescent="0.25">
      <c r="A131" s="1">
        <v>42446</v>
      </c>
      <c r="B131" s="15" t="s">
        <v>336</v>
      </c>
      <c r="C131" t="s">
        <v>113</v>
      </c>
    </row>
    <row r="132" spans="1:3" x14ac:dyDescent="0.25">
      <c r="A132" s="1">
        <v>42443</v>
      </c>
      <c r="B132" s="15" t="s">
        <v>336</v>
      </c>
      <c r="C132" t="s">
        <v>114</v>
      </c>
    </row>
    <row r="133" spans="1:3" x14ac:dyDescent="0.25">
      <c r="A133" s="1">
        <v>42439</v>
      </c>
      <c r="B133" s="15" t="s">
        <v>342</v>
      </c>
      <c r="C133" t="s">
        <v>115</v>
      </c>
    </row>
    <row r="134" spans="1:3" x14ac:dyDescent="0.25">
      <c r="A134" s="1">
        <v>42436</v>
      </c>
      <c r="B134" s="15" t="s">
        <v>289</v>
      </c>
      <c r="C134" t="s">
        <v>116</v>
      </c>
    </row>
    <row r="135" spans="1:3" x14ac:dyDescent="0.25">
      <c r="A135" s="1">
        <v>42432</v>
      </c>
      <c r="B135" s="15" t="s">
        <v>274</v>
      </c>
      <c r="C135" t="s">
        <v>117</v>
      </c>
    </row>
    <row r="136" spans="1:3" x14ac:dyDescent="0.25">
      <c r="A136" s="1">
        <v>42429</v>
      </c>
      <c r="B136" s="15" t="s">
        <v>343</v>
      </c>
      <c r="C136" t="s">
        <v>118</v>
      </c>
    </row>
    <row r="137" spans="1:3" x14ac:dyDescent="0.25">
      <c r="A137" s="1">
        <v>42425</v>
      </c>
      <c r="B137" s="15" t="s">
        <v>280</v>
      </c>
      <c r="C137" t="s">
        <v>119</v>
      </c>
    </row>
    <row r="138" spans="1:3" x14ac:dyDescent="0.25">
      <c r="A138" s="1">
        <v>42422</v>
      </c>
      <c r="B138" s="15" t="s">
        <v>306</v>
      </c>
      <c r="C138" t="s">
        <v>120</v>
      </c>
    </row>
    <row r="139" spans="1:3" x14ac:dyDescent="0.25">
      <c r="A139" s="1">
        <v>42419</v>
      </c>
      <c r="B139" s="15" t="s">
        <v>344</v>
      </c>
      <c r="C139" t="s">
        <v>121</v>
      </c>
    </row>
    <row r="140" spans="1:3" x14ac:dyDescent="0.25">
      <c r="A140" s="1">
        <v>42415</v>
      </c>
      <c r="B140" s="15" t="s">
        <v>345</v>
      </c>
      <c r="C140" t="s">
        <v>122</v>
      </c>
    </row>
    <row r="141" spans="1:3" x14ac:dyDescent="0.25">
      <c r="A141" s="1">
        <v>42411</v>
      </c>
      <c r="B141" s="15" t="s">
        <v>346</v>
      </c>
      <c r="C141" t="s">
        <v>123</v>
      </c>
    </row>
    <row r="142" spans="1:3" x14ac:dyDescent="0.25">
      <c r="A142" s="1">
        <v>42408</v>
      </c>
      <c r="B142" s="15" t="s">
        <v>269</v>
      </c>
      <c r="C142" t="s">
        <v>124</v>
      </c>
    </row>
    <row r="143" spans="1:3" x14ac:dyDescent="0.25">
      <c r="A143" s="1">
        <v>42404</v>
      </c>
      <c r="B143" s="15" t="s">
        <v>320</v>
      </c>
      <c r="C143" t="s">
        <v>125</v>
      </c>
    </row>
    <row r="144" spans="1:3" x14ac:dyDescent="0.25">
      <c r="A144" s="1">
        <v>42401</v>
      </c>
      <c r="B144" s="15" t="s">
        <v>271</v>
      </c>
      <c r="C144" t="s">
        <v>126</v>
      </c>
    </row>
    <row r="145" spans="1:3" x14ac:dyDescent="0.25">
      <c r="A145" s="1">
        <v>42397</v>
      </c>
      <c r="B145" s="15" t="s">
        <v>347</v>
      </c>
      <c r="C145" t="s">
        <v>127</v>
      </c>
    </row>
    <row r="146" spans="1:3" x14ac:dyDescent="0.25">
      <c r="A146" s="1">
        <v>42394</v>
      </c>
      <c r="B146" s="15" t="s">
        <v>334</v>
      </c>
      <c r="C146" t="s">
        <v>128</v>
      </c>
    </row>
    <row r="147" spans="1:3" x14ac:dyDescent="0.25">
      <c r="A147" s="1">
        <v>42390</v>
      </c>
      <c r="B147" s="15" t="s">
        <v>348</v>
      </c>
      <c r="C147" t="s">
        <v>129</v>
      </c>
    </row>
    <row r="148" spans="1:3" x14ac:dyDescent="0.25">
      <c r="A148" s="1">
        <v>42387</v>
      </c>
      <c r="B148" s="15" t="s">
        <v>349</v>
      </c>
      <c r="C148" t="s">
        <v>130</v>
      </c>
    </row>
    <row r="149" spans="1:3" x14ac:dyDescent="0.25">
      <c r="A149" s="1">
        <v>42383</v>
      </c>
      <c r="B149" s="15" t="s">
        <v>350</v>
      </c>
      <c r="C149" t="s">
        <v>131</v>
      </c>
    </row>
    <row r="150" spans="1:3" x14ac:dyDescent="0.25">
      <c r="A150" s="1">
        <v>42380</v>
      </c>
      <c r="B150" s="15" t="s">
        <v>351</v>
      </c>
      <c r="C150" t="s">
        <v>132</v>
      </c>
    </row>
    <row r="151" spans="1:3" x14ac:dyDescent="0.25">
      <c r="A151" s="1">
        <v>42376</v>
      </c>
      <c r="B151" s="15" t="s">
        <v>309</v>
      </c>
      <c r="C151" t="s">
        <v>133</v>
      </c>
    </row>
    <row r="152" spans="1:3" x14ac:dyDescent="0.25">
      <c r="A152" s="1">
        <v>42373</v>
      </c>
      <c r="B152" s="15" t="s">
        <v>263</v>
      </c>
      <c r="C152" t="s">
        <v>134</v>
      </c>
    </row>
    <row r="153" spans="1:3" x14ac:dyDescent="0.25">
      <c r="A153" s="1">
        <v>42369</v>
      </c>
      <c r="B153" s="15" t="s">
        <v>332</v>
      </c>
      <c r="C153" t="s">
        <v>135</v>
      </c>
    </row>
    <row r="154" spans="1:3" x14ac:dyDescent="0.25">
      <c r="A154" s="1">
        <v>42366</v>
      </c>
      <c r="B154" s="15" t="s">
        <v>352</v>
      </c>
      <c r="C154" t="s">
        <v>136</v>
      </c>
    </row>
    <row r="155" spans="1:3" x14ac:dyDescent="0.25">
      <c r="A155" s="1">
        <v>42362</v>
      </c>
      <c r="B155" s="15" t="s">
        <v>353</v>
      </c>
      <c r="C155" t="s">
        <v>137</v>
      </c>
    </row>
    <row r="156" spans="1:3" x14ac:dyDescent="0.25">
      <c r="A156" s="1">
        <v>42359</v>
      </c>
      <c r="B156" s="15" t="s">
        <v>354</v>
      </c>
      <c r="C156" t="s">
        <v>138</v>
      </c>
    </row>
    <row r="157" spans="1:3" x14ac:dyDescent="0.25">
      <c r="A157" s="1">
        <v>42355</v>
      </c>
      <c r="B157" s="15" t="s">
        <v>316</v>
      </c>
      <c r="C157" t="s">
        <v>139</v>
      </c>
    </row>
    <row r="158" spans="1:3" x14ac:dyDescent="0.25">
      <c r="A158" s="1">
        <v>42352</v>
      </c>
      <c r="B158" s="15" t="s">
        <v>355</v>
      </c>
      <c r="C158" t="s">
        <v>140</v>
      </c>
    </row>
    <row r="159" spans="1:3" x14ac:dyDescent="0.25">
      <c r="A159" s="1">
        <v>42348</v>
      </c>
      <c r="B159" s="15" t="s">
        <v>314</v>
      </c>
      <c r="C159" t="s">
        <v>141</v>
      </c>
    </row>
    <row r="160" spans="1:3" x14ac:dyDescent="0.25">
      <c r="A160" s="1">
        <v>42345</v>
      </c>
      <c r="B160" s="15" t="s">
        <v>284</v>
      </c>
      <c r="C160" t="s">
        <v>142</v>
      </c>
    </row>
    <row r="161" spans="1:3" x14ac:dyDescent="0.25">
      <c r="A161" s="1">
        <v>42341</v>
      </c>
      <c r="B161" s="15" t="s">
        <v>356</v>
      </c>
      <c r="C161" t="s">
        <v>143</v>
      </c>
    </row>
    <row r="162" spans="1:3" x14ac:dyDescent="0.25">
      <c r="A162" s="1">
        <v>42338</v>
      </c>
      <c r="B162" s="15" t="s">
        <v>357</v>
      </c>
      <c r="C162" t="s">
        <v>144</v>
      </c>
    </row>
    <row r="163" spans="1:3" x14ac:dyDescent="0.25">
      <c r="A163" s="1">
        <v>42334</v>
      </c>
      <c r="B163" s="15" t="s">
        <v>268</v>
      </c>
      <c r="C163" t="s">
        <v>145</v>
      </c>
    </row>
    <row r="164" spans="1:3" x14ac:dyDescent="0.25">
      <c r="A164" s="1">
        <v>42331</v>
      </c>
      <c r="B164" s="15" t="s">
        <v>358</v>
      </c>
      <c r="C164" t="s">
        <v>146</v>
      </c>
    </row>
    <row r="165" spans="1:3" x14ac:dyDescent="0.25">
      <c r="A165" s="1">
        <v>42327</v>
      </c>
      <c r="B165" s="15" t="s">
        <v>346</v>
      </c>
      <c r="C165" t="s">
        <v>147</v>
      </c>
    </row>
    <row r="166" spans="1:3" x14ac:dyDescent="0.25">
      <c r="A166" s="1">
        <v>42324</v>
      </c>
      <c r="B166" s="15" t="s">
        <v>359</v>
      </c>
      <c r="C166" t="s">
        <v>148</v>
      </c>
    </row>
    <row r="167" spans="1:3" x14ac:dyDescent="0.25">
      <c r="A167" s="1">
        <v>42320</v>
      </c>
      <c r="B167" s="15" t="s">
        <v>326</v>
      </c>
      <c r="C167" t="s">
        <v>149</v>
      </c>
    </row>
    <row r="168" spans="1:3" x14ac:dyDescent="0.25">
      <c r="A168" s="1">
        <v>42317</v>
      </c>
      <c r="B168" s="15" t="s">
        <v>360</v>
      </c>
      <c r="C168" t="s">
        <v>150</v>
      </c>
    </row>
    <row r="169" spans="1:3" x14ac:dyDescent="0.25">
      <c r="A169" s="1">
        <v>42313</v>
      </c>
      <c r="B169" s="15" t="s">
        <v>348</v>
      </c>
      <c r="C169" t="s">
        <v>151</v>
      </c>
    </row>
    <row r="170" spans="1:3" x14ac:dyDescent="0.25">
      <c r="A170" s="1">
        <v>42310</v>
      </c>
      <c r="B170" s="15" t="s">
        <v>280</v>
      </c>
      <c r="C170" t="s">
        <v>152</v>
      </c>
    </row>
    <row r="171" spans="1:3" x14ac:dyDescent="0.25">
      <c r="A171" s="1">
        <v>42306</v>
      </c>
      <c r="B171" s="15" t="s">
        <v>314</v>
      </c>
      <c r="C171" t="s">
        <v>153</v>
      </c>
    </row>
    <row r="172" spans="1:3" x14ac:dyDescent="0.25">
      <c r="A172" s="1">
        <v>42303</v>
      </c>
      <c r="B172" s="15" t="s">
        <v>277</v>
      </c>
      <c r="C172" t="s">
        <v>154</v>
      </c>
    </row>
    <row r="173" spans="1:3" x14ac:dyDescent="0.25">
      <c r="A173" s="1">
        <v>42299</v>
      </c>
      <c r="B173" s="15" t="s">
        <v>361</v>
      </c>
      <c r="C173" t="s">
        <v>155</v>
      </c>
    </row>
    <row r="174" spans="1:3" x14ac:dyDescent="0.25">
      <c r="A174" s="1">
        <v>42296</v>
      </c>
      <c r="B174" s="15" t="s">
        <v>306</v>
      </c>
      <c r="C174" t="s">
        <v>156</v>
      </c>
    </row>
    <row r="175" spans="1:3" x14ac:dyDescent="0.25">
      <c r="A175" s="1">
        <v>42292</v>
      </c>
      <c r="B175" s="15" t="s">
        <v>328</v>
      </c>
      <c r="C175" t="s">
        <v>157</v>
      </c>
    </row>
    <row r="176" spans="1:3" x14ac:dyDescent="0.25">
      <c r="A176" s="1">
        <v>42289</v>
      </c>
      <c r="B176" s="15" t="s">
        <v>362</v>
      </c>
      <c r="C176" t="s">
        <v>158</v>
      </c>
    </row>
    <row r="177" spans="1:3" x14ac:dyDescent="0.25">
      <c r="A177" s="1">
        <v>42285</v>
      </c>
      <c r="B177" s="15" t="s">
        <v>363</v>
      </c>
      <c r="C177" t="s">
        <v>159</v>
      </c>
    </row>
    <row r="178" spans="1:3" x14ac:dyDescent="0.25">
      <c r="A178" s="1">
        <v>42282</v>
      </c>
      <c r="B178" s="15" t="s">
        <v>364</v>
      </c>
      <c r="C178" t="s">
        <v>160</v>
      </c>
    </row>
    <row r="179" spans="1:3" x14ac:dyDescent="0.25">
      <c r="A179" s="1">
        <v>42278</v>
      </c>
      <c r="B179" s="15" t="s">
        <v>314</v>
      </c>
      <c r="C179" t="s">
        <v>161</v>
      </c>
    </row>
    <row r="180" spans="1:3" x14ac:dyDescent="0.25">
      <c r="A180" s="1">
        <v>42275</v>
      </c>
      <c r="B180" s="15" t="s">
        <v>365</v>
      </c>
      <c r="C180" t="s">
        <v>162</v>
      </c>
    </row>
    <row r="181" spans="1:3" x14ac:dyDescent="0.25">
      <c r="A181" s="1">
        <v>42271</v>
      </c>
      <c r="B181" s="15" t="s">
        <v>262</v>
      </c>
      <c r="C181" t="s">
        <v>163</v>
      </c>
    </row>
    <row r="182" spans="1:3" x14ac:dyDescent="0.25">
      <c r="A182" s="1">
        <v>42268</v>
      </c>
      <c r="B182" s="15" t="s">
        <v>271</v>
      </c>
      <c r="C182" t="s">
        <v>164</v>
      </c>
    </row>
    <row r="183" spans="1:3" x14ac:dyDescent="0.25">
      <c r="A183" s="1">
        <v>42264</v>
      </c>
      <c r="B183" s="15" t="s">
        <v>263</v>
      </c>
      <c r="C183" t="s">
        <v>165</v>
      </c>
    </row>
    <row r="184" spans="1:3" x14ac:dyDescent="0.25">
      <c r="A184" s="1">
        <v>42261</v>
      </c>
      <c r="B184" s="15" t="s">
        <v>366</v>
      </c>
      <c r="C184" t="s">
        <v>166</v>
      </c>
    </row>
    <row r="185" spans="1:3" x14ac:dyDescent="0.25">
      <c r="A185" s="1">
        <v>42257</v>
      </c>
      <c r="B185" s="15" t="s">
        <v>367</v>
      </c>
      <c r="C185" t="s">
        <v>167</v>
      </c>
    </row>
    <row r="186" spans="1:3" x14ac:dyDescent="0.25">
      <c r="A186" s="1">
        <v>42254</v>
      </c>
      <c r="B186" s="15" t="s">
        <v>313</v>
      </c>
      <c r="C186" t="s">
        <v>168</v>
      </c>
    </row>
    <row r="187" spans="1:3" x14ac:dyDescent="0.25">
      <c r="A187" s="1">
        <v>42250</v>
      </c>
      <c r="B187" s="15" t="s">
        <v>368</v>
      </c>
      <c r="C187" t="s">
        <v>169</v>
      </c>
    </row>
    <row r="188" spans="1:3" x14ac:dyDescent="0.25">
      <c r="A188" s="1">
        <v>42247</v>
      </c>
      <c r="B188" s="15" t="s">
        <v>273</v>
      </c>
      <c r="C188" t="s">
        <v>170</v>
      </c>
    </row>
    <row r="189" spans="1:3" x14ac:dyDescent="0.25">
      <c r="A189" s="1">
        <v>42243</v>
      </c>
      <c r="B189" s="15" t="s">
        <v>369</v>
      </c>
      <c r="C189" t="s">
        <v>171</v>
      </c>
    </row>
    <row r="190" spans="1:3" x14ac:dyDescent="0.25">
      <c r="A190" s="1">
        <v>42240</v>
      </c>
      <c r="B190" s="15" t="s">
        <v>309</v>
      </c>
      <c r="C190" t="s">
        <v>172</v>
      </c>
    </row>
    <row r="191" spans="1:3" x14ac:dyDescent="0.25">
      <c r="A191" s="1">
        <v>42236</v>
      </c>
      <c r="B191" s="15" t="s">
        <v>280</v>
      </c>
      <c r="C191" t="s">
        <v>173</v>
      </c>
    </row>
    <row r="192" spans="1:3" x14ac:dyDescent="0.25">
      <c r="A192" s="1">
        <v>42233</v>
      </c>
      <c r="B192" s="15" t="s">
        <v>370</v>
      </c>
      <c r="C192" t="s">
        <v>174</v>
      </c>
    </row>
    <row r="193" spans="1:3" x14ac:dyDescent="0.25">
      <c r="A193" s="1">
        <v>42229</v>
      </c>
      <c r="B193" s="15" t="s">
        <v>300</v>
      </c>
      <c r="C193" t="s">
        <v>175</v>
      </c>
    </row>
    <row r="194" spans="1:3" x14ac:dyDescent="0.25">
      <c r="A194" s="1">
        <v>42226</v>
      </c>
      <c r="B194" s="15" t="s">
        <v>371</v>
      </c>
      <c r="C194" t="s">
        <v>176</v>
      </c>
    </row>
    <row r="195" spans="1:3" x14ac:dyDescent="0.25">
      <c r="A195" s="1">
        <v>42222</v>
      </c>
      <c r="B195" s="15" t="s">
        <v>280</v>
      </c>
      <c r="C195" t="s">
        <v>177</v>
      </c>
    </row>
    <row r="196" spans="1:3" x14ac:dyDescent="0.25">
      <c r="A196" s="1">
        <v>42219</v>
      </c>
      <c r="B196" s="15" t="s">
        <v>372</v>
      </c>
      <c r="C196" t="s">
        <v>178</v>
      </c>
    </row>
    <row r="197" spans="1:3" x14ac:dyDescent="0.25">
      <c r="A197" s="1">
        <v>42215</v>
      </c>
      <c r="B197" s="15" t="s">
        <v>298</v>
      </c>
      <c r="C197" t="s">
        <v>179</v>
      </c>
    </row>
    <row r="198" spans="1:3" x14ac:dyDescent="0.25">
      <c r="A198" s="1">
        <v>42212</v>
      </c>
      <c r="B198" s="15" t="s">
        <v>373</v>
      </c>
      <c r="C198" t="s">
        <v>180</v>
      </c>
    </row>
    <row r="199" spans="1:3" x14ac:dyDescent="0.25">
      <c r="A199" s="1">
        <v>42208</v>
      </c>
      <c r="B199" s="15" t="s">
        <v>280</v>
      </c>
      <c r="C199" t="s">
        <v>181</v>
      </c>
    </row>
    <row r="200" spans="1:3" x14ac:dyDescent="0.25">
      <c r="A200" s="1">
        <v>42205</v>
      </c>
      <c r="B200" s="15" t="s">
        <v>348</v>
      </c>
      <c r="C200" t="s">
        <v>182</v>
      </c>
    </row>
    <row r="201" spans="1:3" x14ac:dyDescent="0.25">
      <c r="A201" s="1">
        <v>42201</v>
      </c>
      <c r="B201" s="15" t="s">
        <v>327</v>
      </c>
      <c r="C201" t="s">
        <v>183</v>
      </c>
    </row>
    <row r="202" spans="1:3" x14ac:dyDescent="0.25">
      <c r="A202" s="1">
        <v>42198</v>
      </c>
      <c r="B202" s="15" t="s">
        <v>374</v>
      </c>
      <c r="C202" t="s">
        <v>184</v>
      </c>
    </row>
    <row r="203" spans="1:3" x14ac:dyDescent="0.25">
      <c r="A203" s="1">
        <v>42194</v>
      </c>
      <c r="B203" s="15" t="s">
        <v>270</v>
      </c>
      <c r="C203" t="s">
        <v>185</v>
      </c>
    </row>
    <row r="204" spans="1:3" x14ac:dyDescent="0.25">
      <c r="A204" s="1">
        <v>42191</v>
      </c>
      <c r="B204" s="15" t="s">
        <v>368</v>
      </c>
      <c r="C204" t="s">
        <v>186</v>
      </c>
    </row>
    <row r="205" spans="1:3" x14ac:dyDescent="0.25">
      <c r="A205" s="1">
        <v>42187</v>
      </c>
      <c r="B205" s="15" t="s">
        <v>296</v>
      </c>
      <c r="C205" t="s">
        <v>187</v>
      </c>
    </row>
    <row r="206" spans="1:3" x14ac:dyDescent="0.25">
      <c r="A206" s="1">
        <v>42184</v>
      </c>
      <c r="B206" s="15" t="s">
        <v>271</v>
      </c>
      <c r="C206" t="s">
        <v>188</v>
      </c>
    </row>
    <row r="207" spans="1:3" x14ac:dyDescent="0.25">
      <c r="A207" s="1">
        <v>42180</v>
      </c>
      <c r="B207" s="15" t="s">
        <v>342</v>
      </c>
      <c r="C207" t="s">
        <v>189</v>
      </c>
    </row>
    <row r="208" spans="1:3" x14ac:dyDescent="0.25">
      <c r="A208" s="1">
        <v>42177</v>
      </c>
      <c r="B208" s="15" t="s">
        <v>314</v>
      </c>
      <c r="C208" t="s">
        <v>190</v>
      </c>
    </row>
    <row r="209" spans="1:3" x14ac:dyDescent="0.25">
      <c r="A209" s="1">
        <v>42173</v>
      </c>
      <c r="B209" s="15" t="s">
        <v>274</v>
      </c>
      <c r="C209" t="s">
        <v>191</v>
      </c>
    </row>
    <row r="210" spans="1:3" x14ac:dyDescent="0.25">
      <c r="A210" s="1">
        <v>42170</v>
      </c>
      <c r="B210" s="15" t="s">
        <v>375</v>
      </c>
      <c r="C210" t="s">
        <v>192</v>
      </c>
    </row>
    <row r="211" spans="1:3" x14ac:dyDescent="0.25">
      <c r="A211" s="1">
        <v>42166</v>
      </c>
      <c r="B211" s="15" t="s">
        <v>352</v>
      </c>
      <c r="C211" t="s">
        <v>193</v>
      </c>
    </row>
    <row r="212" spans="1:3" x14ac:dyDescent="0.25">
      <c r="A212" s="1">
        <v>42163</v>
      </c>
      <c r="B212" s="15" t="s">
        <v>376</v>
      </c>
      <c r="C212" t="s">
        <v>194</v>
      </c>
    </row>
    <row r="213" spans="1:3" x14ac:dyDescent="0.25">
      <c r="A213" s="1">
        <v>42159</v>
      </c>
      <c r="B213" s="15" t="s">
        <v>377</v>
      </c>
      <c r="C213" t="s">
        <v>195</v>
      </c>
    </row>
    <row r="214" spans="1:3" x14ac:dyDescent="0.25">
      <c r="A214" s="1">
        <v>42156</v>
      </c>
      <c r="B214" s="15" t="s">
        <v>336</v>
      </c>
      <c r="C214" t="s">
        <v>196</v>
      </c>
    </row>
    <row r="215" spans="1:3" x14ac:dyDescent="0.25">
      <c r="A215" s="1">
        <v>42152</v>
      </c>
      <c r="B215" s="15" t="s">
        <v>336</v>
      </c>
      <c r="C215" t="s">
        <v>197</v>
      </c>
    </row>
    <row r="216" spans="1:3" x14ac:dyDescent="0.25">
      <c r="A216" s="1">
        <v>42149</v>
      </c>
      <c r="B216" s="15" t="s">
        <v>378</v>
      </c>
      <c r="C216" t="s">
        <v>198</v>
      </c>
    </row>
    <row r="217" spans="1:3" x14ac:dyDescent="0.25">
      <c r="A217" s="1">
        <v>42145</v>
      </c>
      <c r="B217" s="15" t="s">
        <v>320</v>
      </c>
      <c r="C217" t="s">
        <v>199</v>
      </c>
    </row>
    <row r="218" spans="1:3" x14ac:dyDescent="0.25">
      <c r="A218" s="1">
        <v>42142</v>
      </c>
      <c r="B218" s="15" t="s">
        <v>306</v>
      </c>
      <c r="C218" t="s">
        <v>200</v>
      </c>
    </row>
    <row r="219" spans="1:3" x14ac:dyDescent="0.25">
      <c r="A219" s="1">
        <v>42138</v>
      </c>
      <c r="B219" s="15" t="s">
        <v>337</v>
      </c>
      <c r="C219" t="s">
        <v>201</v>
      </c>
    </row>
    <row r="220" spans="1:3" x14ac:dyDescent="0.25">
      <c r="A220" s="1">
        <v>42135</v>
      </c>
      <c r="B220" s="15" t="s">
        <v>379</v>
      </c>
      <c r="C220" t="s">
        <v>202</v>
      </c>
    </row>
    <row r="221" spans="1:3" x14ac:dyDescent="0.25">
      <c r="A221" s="1">
        <v>42131</v>
      </c>
      <c r="B221" s="15" t="s">
        <v>262</v>
      </c>
      <c r="C221" t="s">
        <v>203</v>
      </c>
    </row>
    <row r="222" spans="1:3" x14ac:dyDescent="0.25">
      <c r="A222" s="1">
        <v>42128</v>
      </c>
      <c r="B222" s="15" t="s">
        <v>262</v>
      </c>
      <c r="C222" t="s">
        <v>204</v>
      </c>
    </row>
    <row r="223" spans="1:3" x14ac:dyDescent="0.25">
      <c r="A223" s="1">
        <v>42121</v>
      </c>
      <c r="B223" s="15" t="s">
        <v>327</v>
      </c>
      <c r="C223" t="s">
        <v>205</v>
      </c>
    </row>
    <row r="224" spans="1:3" x14ac:dyDescent="0.25">
      <c r="A224" s="1">
        <v>42117</v>
      </c>
      <c r="B224" s="15" t="s">
        <v>433</v>
      </c>
      <c r="C224" t="s">
        <v>206</v>
      </c>
    </row>
    <row r="225" spans="1:3" x14ac:dyDescent="0.25">
      <c r="A225" s="1">
        <v>42114</v>
      </c>
      <c r="B225" s="15" t="s">
        <v>271</v>
      </c>
      <c r="C225" t="s">
        <v>207</v>
      </c>
    </row>
    <row r="226" spans="1:3" x14ac:dyDescent="0.25">
      <c r="A226" s="1">
        <v>42110</v>
      </c>
      <c r="B226" s="15" t="s">
        <v>380</v>
      </c>
      <c r="C226" t="s">
        <v>208</v>
      </c>
    </row>
    <row r="227" spans="1:3" x14ac:dyDescent="0.25">
      <c r="A227" s="1">
        <v>42107</v>
      </c>
      <c r="B227" s="15" t="s">
        <v>290</v>
      </c>
      <c r="C227" t="s">
        <v>209</v>
      </c>
    </row>
    <row r="228" spans="1:3" x14ac:dyDescent="0.25">
      <c r="A228" s="1">
        <v>42103</v>
      </c>
      <c r="B228" s="15" t="s">
        <v>381</v>
      </c>
      <c r="C228" t="s">
        <v>210</v>
      </c>
    </row>
    <row r="229" spans="1:3" x14ac:dyDescent="0.25">
      <c r="A229" s="1">
        <v>42100</v>
      </c>
      <c r="B229" s="15" t="s">
        <v>302</v>
      </c>
      <c r="C229" t="s">
        <v>211</v>
      </c>
    </row>
    <row r="230" spans="1:3" x14ac:dyDescent="0.25">
      <c r="A230" s="1">
        <v>42096</v>
      </c>
      <c r="B230" s="15" t="s">
        <v>382</v>
      </c>
      <c r="C230" t="s">
        <v>212</v>
      </c>
    </row>
    <row r="231" spans="1:3" x14ac:dyDescent="0.25">
      <c r="A231" s="1">
        <v>42093</v>
      </c>
      <c r="B231" s="15" t="s">
        <v>327</v>
      </c>
      <c r="C231" t="s">
        <v>213</v>
      </c>
    </row>
    <row r="232" spans="1:3" x14ac:dyDescent="0.25">
      <c r="A232" s="1">
        <v>42089</v>
      </c>
      <c r="B232" s="15" t="s">
        <v>266</v>
      </c>
      <c r="C232" t="s">
        <v>214</v>
      </c>
    </row>
    <row r="233" spans="1:3" x14ac:dyDescent="0.25">
      <c r="A233" s="1">
        <v>42086</v>
      </c>
      <c r="B233" s="15" t="s">
        <v>314</v>
      </c>
      <c r="C233" t="s">
        <v>215</v>
      </c>
    </row>
    <row r="234" spans="1:3" x14ac:dyDescent="0.25">
      <c r="A234" s="1">
        <v>42082</v>
      </c>
      <c r="B234" s="15" t="s">
        <v>284</v>
      </c>
      <c r="C234" t="s">
        <v>216</v>
      </c>
    </row>
    <row r="235" spans="1:3" x14ac:dyDescent="0.25">
      <c r="A235" s="1">
        <v>42079</v>
      </c>
      <c r="B235" s="15" t="s">
        <v>360</v>
      </c>
      <c r="C235" t="s">
        <v>217</v>
      </c>
    </row>
    <row r="236" spans="1:3" x14ac:dyDescent="0.25">
      <c r="A236" s="1">
        <v>42075</v>
      </c>
      <c r="B236" s="15" t="s">
        <v>324</v>
      </c>
      <c r="C236" t="s">
        <v>218</v>
      </c>
    </row>
    <row r="237" spans="1:3" x14ac:dyDescent="0.25">
      <c r="A237" s="1">
        <v>42072</v>
      </c>
      <c r="B237" s="15" t="s">
        <v>290</v>
      </c>
      <c r="C237" t="s">
        <v>219</v>
      </c>
    </row>
    <row r="238" spans="1:3" x14ac:dyDescent="0.25">
      <c r="A238" s="1">
        <v>42068</v>
      </c>
      <c r="B238" s="15" t="s">
        <v>293</v>
      </c>
      <c r="C238" t="s">
        <v>220</v>
      </c>
    </row>
    <row r="239" spans="1:3" x14ac:dyDescent="0.25">
      <c r="A239" s="1">
        <v>42065</v>
      </c>
      <c r="B239" s="15" t="s">
        <v>348</v>
      </c>
      <c r="C239" t="s">
        <v>221</v>
      </c>
    </row>
    <row r="240" spans="1:3" x14ac:dyDescent="0.25">
      <c r="A240" s="1">
        <v>42062</v>
      </c>
      <c r="B240" s="15" t="s">
        <v>362</v>
      </c>
      <c r="C240" t="s">
        <v>222</v>
      </c>
    </row>
    <row r="241" spans="1:3" x14ac:dyDescent="0.25">
      <c r="A241" s="1">
        <v>42058</v>
      </c>
      <c r="B241" s="15" t="s">
        <v>383</v>
      </c>
      <c r="C241" t="s">
        <v>223</v>
      </c>
    </row>
    <row r="242" spans="1:3" x14ac:dyDescent="0.25">
      <c r="A242" s="1">
        <v>42054</v>
      </c>
      <c r="B242" s="15" t="s">
        <v>274</v>
      </c>
      <c r="C242" t="s">
        <v>224</v>
      </c>
    </row>
    <row r="243" spans="1:3" x14ac:dyDescent="0.25">
      <c r="A243" s="1">
        <v>42051</v>
      </c>
      <c r="B243" s="15" t="s">
        <v>275</v>
      </c>
      <c r="C243" t="s">
        <v>225</v>
      </c>
    </row>
    <row r="244" spans="1:3" x14ac:dyDescent="0.25">
      <c r="A244" s="1">
        <v>42047</v>
      </c>
      <c r="B244" s="15" t="s">
        <v>306</v>
      </c>
      <c r="C244" t="s">
        <v>226</v>
      </c>
    </row>
    <row r="245" spans="1:3" x14ac:dyDescent="0.25">
      <c r="A245" s="1">
        <v>42044</v>
      </c>
      <c r="B245" s="15" t="s">
        <v>341</v>
      </c>
      <c r="C245" t="s">
        <v>227</v>
      </c>
    </row>
    <row r="246" spans="1:3" x14ac:dyDescent="0.25">
      <c r="A246" s="1">
        <v>42040</v>
      </c>
      <c r="B246" s="15" t="s">
        <v>314</v>
      </c>
      <c r="C246" t="s">
        <v>228</v>
      </c>
    </row>
    <row r="247" spans="1:3" x14ac:dyDescent="0.25">
      <c r="A247" s="1">
        <v>42037</v>
      </c>
      <c r="B247" s="15" t="s">
        <v>274</v>
      </c>
      <c r="C247" t="s">
        <v>229</v>
      </c>
    </row>
    <row r="248" spans="1:3" x14ac:dyDescent="0.25">
      <c r="A248" s="1">
        <v>42033</v>
      </c>
      <c r="B248" s="15" t="s">
        <v>310</v>
      </c>
      <c r="C248" t="s">
        <v>230</v>
      </c>
    </row>
    <row r="249" spans="1:3" x14ac:dyDescent="0.25">
      <c r="A249" s="1">
        <v>42030</v>
      </c>
      <c r="B249" s="15" t="s">
        <v>332</v>
      </c>
      <c r="C249" t="s">
        <v>231</v>
      </c>
    </row>
    <row r="250" spans="1:3" x14ac:dyDescent="0.25">
      <c r="A250" s="1">
        <v>42026</v>
      </c>
      <c r="B250" s="15" t="s">
        <v>284</v>
      </c>
      <c r="C250" t="s">
        <v>232</v>
      </c>
    </row>
    <row r="251" spans="1:3" x14ac:dyDescent="0.25">
      <c r="A251" s="1">
        <v>42023</v>
      </c>
      <c r="B251" s="15" t="s">
        <v>351</v>
      </c>
      <c r="C251" t="s">
        <v>233</v>
      </c>
    </row>
    <row r="252" spans="1:3" x14ac:dyDescent="0.25">
      <c r="A252" s="1">
        <v>42019</v>
      </c>
      <c r="B252" s="15" t="s">
        <v>380</v>
      </c>
      <c r="C252" t="s">
        <v>234</v>
      </c>
    </row>
    <row r="253" spans="1:3" x14ac:dyDescent="0.25">
      <c r="A253" s="1">
        <v>42016</v>
      </c>
      <c r="B253" s="15" t="s">
        <v>384</v>
      </c>
      <c r="C253" t="s">
        <v>235</v>
      </c>
    </row>
    <row r="254" spans="1:3" x14ac:dyDescent="0.25">
      <c r="A254" s="1">
        <v>42012</v>
      </c>
      <c r="B254" s="15" t="s">
        <v>385</v>
      </c>
      <c r="C254" t="s">
        <v>236</v>
      </c>
    </row>
    <row r="255" spans="1:3" x14ac:dyDescent="0.25">
      <c r="A255" s="1">
        <v>42009</v>
      </c>
      <c r="B255" s="15" t="s">
        <v>386</v>
      </c>
      <c r="C255" t="s">
        <v>237</v>
      </c>
    </row>
    <row r="256" spans="1:3" x14ac:dyDescent="0.25">
      <c r="A256" s="1">
        <v>42005</v>
      </c>
      <c r="B256" s="15" t="s">
        <v>314</v>
      </c>
      <c r="C256" t="s">
        <v>238</v>
      </c>
    </row>
    <row r="257" spans="1:3" x14ac:dyDescent="0.25">
      <c r="A257" s="1">
        <v>42002</v>
      </c>
      <c r="B257" s="15" t="s">
        <v>287</v>
      </c>
      <c r="C257" t="s">
        <v>239</v>
      </c>
    </row>
    <row r="258" spans="1:3" x14ac:dyDescent="0.25">
      <c r="A258" s="1">
        <v>41998</v>
      </c>
      <c r="B258" s="15" t="s">
        <v>387</v>
      </c>
      <c r="C258" t="s">
        <v>240</v>
      </c>
    </row>
    <row r="259" spans="1:3" x14ac:dyDescent="0.25">
      <c r="A259" s="1">
        <v>41995</v>
      </c>
      <c r="B259" s="15" t="s">
        <v>300</v>
      </c>
      <c r="C259" t="s">
        <v>241</v>
      </c>
    </row>
  </sheetData>
  <conditionalFormatting sqref="B1:B1048576">
    <cfRule type="cellIs" dxfId="6" priority="1" operator="equal">
      <formula>"3-2-1-1-0"</formula>
    </cfRule>
    <cfRule type="cellIs" dxfId="5" priority="3" operator="equal">
      <formula>"2-1-1-1-2"</formula>
    </cfRule>
    <cfRule type="cellIs" dxfId="4" priority="4" operator="equal">
      <formula>"1-2-1-2-1"</formula>
    </cfRule>
  </conditionalFormatting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FO263"/>
  <sheetViews>
    <sheetView zoomScaleNormal="100" workbookViewId="0">
      <selection activeCell="C11" sqref="C11"/>
    </sheetView>
  </sheetViews>
  <sheetFormatPr defaultRowHeight="15" outlineLevelCol="1" x14ac:dyDescent="0.25"/>
  <cols>
    <col min="1" max="1" width="11.85546875" style="1" bestFit="1" customWidth="1"/>
    <col min="2" max="2" width="8.85546875" bestFit="1" customWidth="1"/>
    <col min="3" max="3" width="21.42578125" bestFit="1" customWidth="1"/>
    <col min="4" max="4" width="1.85546875" customWidth="1"/>
    <col min="5" max="11" width="3.28515625" bestFit="1" customWidth="1"/>
    <col min="12" max="12" width="1.7109375" customWidth="1"/>
    <col min="13" max="17" width="3.28515625" bestFit="1" customWidth="1"/>
    <col min="18" max="18" width="1.7109375" customWidth="1"/>
    <col min="19" max="19" width="4.85546875" bestFit="1" customWidth="1"/>
    <col min="20" max="20" width="1.85546875" customWidth="1"/>
    <col min="21" max="21" width="3.7109375" bestFit="1" customWidth="1"/>
    <col min="22" max="22" width="5.85546875" bestFit="1" customWidth="1"/>
    <col min="23" max="23" width="1.28515625" customWidth="1"/>
    <col min="24" max="24" width="4.7109375" bestFit="1" customWidth="1"/>
    <col min="25" max="25" width="5.28515625" bestFit="1" customWidth="1"/>
    <col min="26" max="26" width="11.7109375" customWidth="1"/>
    <col min="27" max="75" width="3" hidden="1" customWidth="1" outlineLevel="1"/>
    <col min="76" max="76" width="3.140625" customWidth="1" collapsed="1"/>
    <col min="77" max="77" width="6.7109375" bestFit="1" customWidth="1"/>
    <col min="78" max="78" width="6.85546875" bestFit="1" customWidth="1"/>
  </cols>
  <sheetData>
    <row r="3" spans="1:171" x14ac:dyDescent="0.25">
      <c r="A3" s="4" t="s">
        <v>389</v>
      </c>
      <c r="B3">
        <v>259</v>
      </c>
      <c r="U3">
        <f>MODE(U5:U264)</f>
        <v>4</v>
      </c>
      <c r="V3">
        <f>MODE(V5:V264)</f>
        <v>3</v>
      </c>
      <c r="X3">
        <f>MODE(X5:X264)</f>
        <v>3</v>
      </c>
      <c r="Y3">
        <f>MODE(Y5:Y264)</f>
        <v>4</v>
      </c>
      <c r="Z3" t="s">
        <v>391</v>
      </c>
      <c r="AA3">
        <v>36</v>
      </c>
      <c r="AB3">
        <v>37</v>
      </c>
      <c r="AC3">
        <v>42</v>
      </c>
      <c r="AD3">
        <v>31</v>
      </c>
      <c r="AE3">
        <v>36</v>
      </c>
      <c r="AF3">
        <v>45</v>
      </c>
      <c r="AG3">
        <v>35</v>
      </c>
      <c r="AH3">
        <v>49</v>
      </c>
      <c r="AI3">
        <v>40</v>
      </c>
      <c r="AJ3">
        <v>30</v>
      </c>
      <c r="AK3">
        <v>35</v>
      </c>
      <c r="AL3">
        <v>36</v>
      </c>
      <c r="AM3">
        <v>32</v>
      </c>
      <c r="AN3">
        <v>38</v>
      </c>
      <c r="AO3">
        <v>36</v>
      </c>
      <c r="AP3">
        <v>27</v>
      </c>
      <c r="AQ3">
        <v>32</v>
      </c>
      <c r="AR3">
        <v>39</v>
      </c>
      <c r="AS3">
        <v>41</v>
      </c>
      <c r="AT3">
        <v>44</v>
      </c>
      <c r="AU3">
        <v>47</v>
      </c>
      <c r="AV3">
        <v>40</v>
      </c>
      <c r="AW3">
        <v>37</v>
      </c>
      <c r="AX3">
        <v>44</v>
      </c>
      <c r="AY3">
        <v>37</v>
      </c>
      <c r="AZ3">
        <v>34</v>
      </c>
      <c r="BA3">
        <v>35</v>
      </c>
      <c r="BB3">
        <v>39</v>
      </c>
      <c r="BC3">
        <v>34</v>
      </c>
      <c r="BD3">
        <v>30</v>
      </c>
      <c r="BE3">
        <v>48</v>
      </c>
      <c r="BF3">
        <v>36</v>
      </c>
      <c r="BG3">
        <v>37</v>
      </c>
      <c r="BH3">
        <v>28</v>
      </c>
      <c r="BI3">
        <v>39</v>
      </c>
      <c r="BJ3">
        <v>47</v>
      </c>
      <c r="BK3">
        <v>30</v>
      </c>
      <c r="BL3">
        <v>34</v>
      </c>
      <c r="BM3">
        <v>35</v>
      </c>
      <c r="BN3">
        <v>37</v>
      </c>
      <c r="BO3">
        <v>34</v>
      </c>
      <c r="BP3">
        <v>33</v>
      </c>
      <c r="BQ3">
        <v>30</v>
      </c>
      <c r="BR3">
        <v>35</v>
      </c>
      <c r="BS3">
        <v>24</v>
      </c>
      <c r="BT3">
        <v>48</v>
      </c>
      <c r="BU3">
        <v>34</v>
      </c>
      <c r="BV3">
        <v>44</v>
      </c>
      <c r="BW3">
        <v>42</v>
      </c>
    </row>
    <row r="4" spans="1:171" s="3" customFormat="1" x14ac:dyDescent="0.25">
      <c r="A4" s="2" t="s">
        <v>242</v>
      </c>
      <c r="B4" s="3" t="s">
        <v>243</v>
      </c>
      <c r="C4" s="3" t="s">
        <v>244</v>
      </c>
      <c r="E4" s="3" t="s">
        <v>245</v>
      </c>
      <c r="F4" s="3" t="s">
        <v>246</v>
      </c>
      <c r="G4" s="3" t="s">
        <v>247</v>
      </c>
      <c r="H4" s="3" t="s">
        <v>248</v>
      </c>
      <c r="I4" s="3" t="s">
        <v>249</v>
      </c>
      <c r="J4" s="3" t="s">
        <v>250</v>
      </c>
      <c r="K4" s="3" t="s">
        <v>251</v>
      </c>
      <c r="M4" s="3" t="s">
        <v>252</v>
      </c>
      <c r="N4" s="3" t="s">
        <v>253</v>
      </c>
      <c r="O4" s="3" t="s">
        <v>254</v>
      </c>
      <c r="P4" s="3" t="s">
        <v>255</v>
      </c>
      <c r="Q4" s="3" t="s">
        <v>256</v>
      </c>
      <c r="S4" s="3" t="s">
        <v>257</v>
      </c>
      <c r="U4" s="3" t="s">
        <v>258</v>
      </c>
      <c r="V4" s="3" t="s">
        <v>259</v>
      </c>
      <c r="X4" s="3" t="s">
        <v>260</v>
      </c>
      <c r="Y4" s="3" t="s">
        <v>261</v>
      </c>
      <c r="Z4" s="3" t="s">
        <v>390</v>
      </c>
      <c r="AA4" s="3">
        <v>1</v>
      </c>
      <c r="AB4" s="3">
        <v>2</v>
      </c>
      <c r="AC4" s="3">
        <v>3</v>
      </c>
      <c r="AD4" s="3">
        <v>4</v>
      </c>
      <c r="AE4" s="3">
        <v>5</v>
      </c>
      <c r="AF4" s="3">
        <v>6</v>
      </c>
      <c r="AG4" s="3">
        <v>7</v>
      </c>
      <c r="AH4" s="3">
        <v>8</v>
      </c>
      <c r="AI4" s="3">
        <v>9</v>
      </c>
      <c r="AJ4" s="3">
        <v>10</v>
      </c>
      <c r="AK4" s="3">
        <v>11</v>
      </c>
      <c r="AL4" s="3">
        <v>12</v>
      </c>
      <c r="AM4" s="3">
        <v>13</v>
      </c>
      <c r="AN4" s="3">
        <v>14</v>
      </c>
      <c r="AO4" s="3">
        <v>15</v>
      </c>
      <c r="AP4" s="3">
        <v>16</v>
      </c>
      <c r="AQ4" s="3">
        <v>17</v>
      </c>
      <c r="AR4" s="3">
        <v>18</v>
      </c>
      <c r="AS4" s="3">
        <v>19</v>
      </c>
      <c r="AT4" s="3">
        <v>20</v>
      </c>
      <c r="AU4" s="3">
        <v>21</v>
      </c>
      <c r="AV4" s="3">
        <v>22</v>
      </c>
      <c r="AW4" s="3">
        <v>23</v>
      </c>
      <c r="AX4" s="3">
        <v>24</v>
      </c>
      <c r="AY4" s="3">
        <v>25</v>
      </c>
      <c r="AZ4" s="3">
        <v>26</v>
      </c>
      <c r="BA4" s="3">
        <v>27</v>
      </c>
      <c r="BB4" s="3">
        <v>28</v>
      </c>
      <c r="BC4" s="3">
        <v>29</v>
      </c>
      <c r="BD4" s="3">
        <v>30</v>
      </c>
      <c r="BE4" s="3">
        <v>31</v>
      </c>
      <c r="BF4" s="3">
        <v>32</v>
      </c>
      <c r="BG4" s="3">
        <v>33</v>
      </c>
      <c r="BH4" s="3">
        <v>34</v>
      </c>
      <c r="BI4" s="3">
        <v>35</v>
      </c>
      <c r="BJ4" s="3">
        <v>36</v>
      </c>
      <c r="BK4" s="3">
        <v>37</v>
      </c>
      <c r="BL4" s="3">
        <v>38</v>
      </c>
      <c r="BM4" s="3">
        <v>39</v>
      </c>
      <c r="BN4" s="3">
        <v>40</v>
      </c>
      <c r="BO4" s="3">
        <v>41</v>
      </c>
      <c r="BP4" s="3">
        <v>42</v>
      </c>
      <c r="BQ4" s="3">
        <v>43</v>
      </c>
      <c r="BR4" s="3">
        <v>44</v>
      </c>
      <c r="BS4" s="3">
        <v>45</v>
      </c>
      <c r="BT4" s="3">
        <v>46</v>
      </c>
      <c r="BU4" s="3">
        <v>47</v>
      </c>
      <c r="BV4" s="3">
        <v>48</v>
      </c>
      <c r="BW4" s="3">
        <v>49</v>
      </c>
      <c r="BY4" s="3" t="s">
        <v>407</v>
      </c>
      <c r="BZ4" s="3" t="s">
        <v>408</v>
      </c>
    </row>
    <row r="5" spans="1:171" x14ac:dyDescent="0.25">
      <c r="A5" s="1">
        <v>42901</v>
      </c>
      <c r="B5" t="s">
        <v>340</v>
      </c>
      <c r="C5" t="s">
        <v>435</v>
      </c>
      <c r="E5">
        <v>20</v>
      </c>
      <c r="F5">
        <v>21</v>
      </c>
      <c r="G5">
        <v>23</v>
      </c>
      <c r="H5">
        <v>37</v>
      </c>
      <c r="I5">
        <v>39</v>
      </c>
      <c r="J5">
        <v>47</v>
      </c>
      <c r="K5">
        <v>31</v>
      </c>
      <c r="M5">
        <v>0</v>
      </c>
      <c r="N5">
        <v>0</v>
      </c>
      <c r="O5">
        <v>3</v>
      </c>
      <c r="P5">
        <v>3</v>
      </c>
      <c r="Q5">
        <v>1</v>
      </c>
      <c r="S5">
        <v>218</v>
      </c>
      <c r="U5">
        <v>4</v>
      </c>
      <c r="V5">
        <v>3</v>
      </c>
      <c r="X5">
        <v>6</v>
      </c>
      <c r="Y5">
        <v>1</v>
      </c>
      <c r="AT5">
        <v>1</v>
      </c>
      <c r="AU5">
        <v>1</v>
      </c>
      <c r="AW5">
        <v>1</v>
      </c>
      <c r="BE5">
        <v>1</v>
      </c>
      <c r="BK5">
        <v>1</v>
      </c>
      <c r="BM5">
        <v>1</v>
      </c>
      <c r="BU5">
        <v>1</v>
      </c>
      <c r="BY5">
        <v>247</v>
      </c>
      <c r="BZ5">
        <v>196</v>
      </c>
    </row>
    <row r="6" spans="1:171" x14ac:dyDescent="0.25">
      <c r="A6" s="1">
        <v>42898</v>
      </c>
      <c r="B6" t="s">
        <v>269</v>
      </c>
      <c r="C6" t="s">
        <v>436</v>
      </c>
      <c r="E6">
        <v>9</v>
      </c>
      <c r="F6">
        <v>10</v>
      </c>
      <c r="G6">
        <v>19</v>
      </c>
      <c r="H6">
        <v>21</v>
      </c>
      <c r="I6">
        <v>23</v>
      </c>
      <c r="J6">
        <v>43</v>
      </c>
      <c r="K6">
        <v>15</v>
      </c>
      <c r="M6">
        <v>1</v>
      </c>
      <c r="N6">
        <v>3</v>
      </c>
      <c r="O6">
        <v>2</v>
      </c>
      <c r="P6">
        <v>0</v>
      </c>
      <c r="Q6">
        <v>1</v>
      </c>
      <c r="S6">
        <v>140</v>
      </c>
      <c r="U6">
        <v>1</v>
      </c>
      <c r="V6">
        <v>6</v>
      </c>
      <c r="X6">
        <v>6</v>
      </c>
      <c r="Y6">
        <v>1</v>
      </c>
      <c r="AI6">
        <v>1</v>
      </c>
      <c r="AJ6">
        <v>1</v>
      </c>
      <c r="AO6">
        <v>1</v>
      </c>
      <c r="AS6">
        <v>1</v>
      </c>
      <c r="AU6">
        <v>1</v>
      </c>
      <c r="AW6">
        <v>1</v>
      </c>
      <c r="BQ6">
        <v>1</v>
      </c>
      <c r="BY6">
        <v>169</v>
      </c>
      <c r="BZ6">
        <v>115</v>
      </c>
    </row>
    <row r="7" spans="1:171" x14ac:dyDescent="0.25">
      <c r="A7" s="1">
        <v>42894</v>
      </c>
      <c r="B7" t="s">
        <v>309</v>
      </c>
      <c r="C7" t="s">
        <v>437</v>
      </c>
      <c r="E7">
        <v>5</v>
      </c>
      <c r="F7">
        <v>7</v>
      </c>
      <c r="G7">
        <v>22</v>
      </c>
      <c r="H7">
        <v>25</v>
      </c>
      <c r="I7">
        <v>34</v>
      </c>
      <c r="J7">
        <v>40</v>
      </c>
      <c r="K7">
        <v>1</v>
      </c>
      <c r="M7">
        <v>3</v>
      </c>
      <c r="N7">
        <v>0</v>
      </c>
      <c r="O7">
        <v>2</v>
      </c>
      <c r="P7">
        <v>1</v>
      </c>
      <c r="Q7">
        <v>1</v>
      </c>
      <c r="S7">
        <v>134</v>
      </c>
      <c r="U7">
        <v>3</v>
      </c>
      <c r="V7">
        <v>4</v>
      </c>
      <c r="X7">
        <v>4</v>
      </c>
      <c r="Y7">
        <v>3</v>
      </c>
      <c r="AA7">
        <v>1</v>
      </c>
      <c r="AE7">
        <v>1</v>
      </c>
      <c r="AG7">
        <v>1</v>
      </c>
      <c r="AV7">
        <v>1</v>
      </c>
      <c r="AY7">
        <v>1</v>
      </c>
      <c r="BH7">
        <v>1</v>
      </c>
      <c r="BN7">
        <v>1</v>
      </c>
      <c r="BY7">
        <v>169</v>
      </c>
      <c r="BZ7">
        <v>117</v>
      </c>
    </row>
    <row r="8" spans="1:171" x14ac:dyDescent="0.25">
      <c r="A8" s="1">
        <v>42891</v>
      </c>
      <c r="B8" t="s">
        <v>264</v>
      </c>
      <c r="C8" t="s">
        <v>438</v>
      </c>
      <c r="E8">
        <v>15</v>
      </c>
      <c r="F8">
        <v>21</v>
      </c>
      <c r="G8">
        <v>23</v>
      </c>
      <c r="H8">
        <v>24</v>
      </c>
      <c r="I8">
        <v>39</v>
      </c>
      <c r="J8">
        <v>40</v>
      </c>
      <c r="K8">
        <v>18</v>
      </c>
      <c r="M8">
        <v>0</v>
      </c>
      <c r="N8">
        <v>2</v>
      </c>
      <c r="O8">
        <v>3</v>
      </c>
      <c r="P8">
        <v>1</v>
      </c>
      <c r="Q8">
        <v>1</v>
      </c>
      <c r="S8">
        <v>180</v>
      </c>
      <c r="U8">
        <v>2</v>
      </c>
      <c r="V8">
        <v>5</v>
      </c>
      <c r="X8">
        <v>4</v>
      </c>
      <c r="Y8">
        <v>3</v>
      </c>
      <c r="AO8">
        <v>1</v>
      </c>
      <c r="AR8">
        <v>1</v>
      </c>
      <c r="AU8">
        <v>1</v>
      </c>
      <c r="AW8">
        <v>1</v>
      </c>
      <c r="AX8">
        <v>1</v>
      </c>
      <c r="BM8">
        <v>1</v>
      </c>
      <c r="BN8">
        <v>1</v>
      </c>
      <c r="BY8">
        <v>209</v>
      </c>
      <c r="BZ8">
        <v>154</v>
      </c>
    </row>
    <row r="9" spans="1:171" x14ac:dyDescent="0.25">
      <c r="A9" s="1">
        <v>42887</v>
      </c>
      <c r="B9" t="s">
        <v>439</v>
      </c>
      <c r="C9" t="s">
        <v>440</v>
      </c>
      <c r="E9">
        <v>9</v>
      </c>
      <c r="F9">
        <v>15</v>
      </c>
      <c r="G9">
        <v>17</v>
      </c>
      <c r="H9">
        <v>22</v>
      </c>
      <c r="I9">
        <v>44</v>
      </c>
      <c r="J9">
        <v>46</v>
      </c>
      <c r="K9">
        <v>2</v>
      </c>
      <c r="M9">
        <v>2</v>
      </c>
      <c r="N9">
        <v>2</v>
      </c>
      <c r="O9">
        <v>1</v>
      </c>
      <c r="P9">
        <v>0</v>
      </c>
      <c r="Q9">
        <v>2</v>
      </c>
      <c r="S9">
        <v>155</v>
      </c>
      <c r="U9">
        <v>2</v>
      </c>
      <c r="V9">
        <v>5</v>
      </c>
      <c r="X9">
        <v>3</v>
      </c>
      <c r="Y9">
        <v>4</v>
      </c>
      <c r="AB9">
        <v>1</v>
      </c>
      <c r="AI9">
        <v>1</v>
      </c>
      <c r="AO9">
        <v>1</v>
      </c>
      <c r="AQ9">
        <v>1</v>
      </c>
      <c r="AV9">
        <v>1</v>
      </c>
      <c r="BR9">
        <v>1</v>
      </c>
      <c r="BT9">
        <v>1</v>
      </c>
      <c r="BY9">
        <v>180</v>
      </c>
      <c r="BZ9">
        <v>125</v>
      </c>
    </row>
    <row r="10" spans="1:171" x14ac:dyDescent="0.25">
      <c r="A10" s="1">
        <v>42884</v>
      </c>
      <c r="B10" t="s">
        <v>354</v>
      </c>
      <c r="C10" t="s">
        <v>449</v>
      </c>
      <c r="E10">
        <v>13</v>
      </c>
      <c r="F10">
        <v>15</v>
      </c>
      <c r="G10">
        <v>16</v>
      </c>
      <c r="H10">
        <v>27</v>
      </c>
      <c r="I10">
        <v>36</v>
      </c>
      <c r="J10">
        <v>47</v>
      </c>
      <c r="K10">
        <v>24</v>
      </c>
      <c r="M10">
        <v>0</v>
      </c>
      <c r="N10">
        <v>3</v>
      </c>
      <c r="O10">
        <v>2</v>
      </c>
      <c r="P10">
        <v>1</v>
      </c>
      <c r="Q10">
        <v>1</v>
      </c>
      <c r="S10">
        <v>178</v>
      </c>
      <c r="U10">
        <v>3</v>
      </c>
      <c r="V10">
        <v>4</v>
      </c>
      <c r="X10">
        <v>4</v>
      </c>
      <c r="Y10">
        <v>3</v>
      </c>
      <c r="AM10">
        <v>1</v>
      </c>
      <c r="AO10">
        <v>1</v>
      </c>
      <c r="AP10">
        <v>1</v>
      </c>
      <c r="AX10">
        <v>1</v>
      </c>
      <c r="BA10">
        <v>1</v>
      </c>
      <c r="BJ10">
        <v>1</v>
      </c>
      <c r="BU10">
        <v>1</v>
      </c>
      <c r="BY10">
        <v>199</v>
      </c>
      <c r="BZ10">
        <v>144</v>
      </c>
      <c r="FO10">
        <v>1</v>
      </c>
    </row>
    <row r="11" spans="1:171" x14ac:dyDescent="0.25">
      <c r="A11" s="1">
        <v>42880</v>
      </c>
      <c r="B11" t="s">
        <v>346</v>
      </c>
      <c r="C11" t="s">
        <v>441</v>
      </c>
      <c r="E11">
        <v>3</v>
      </c>
      <c r="F11">
        <v>8</v>
      </c>
      <c r="G11">
        <v>11</v>
      </c>
      <c r="H11">
        <v>32</v>
      </c>
      <c r="I11">
        <v>44</v>
      </c>
      <c r="J11">
        <v>46</v>
      </c>
      <c r="K11">
        <v>12</v>
      </c>
      <c r="M11">
        <v>2</v>
      </c>
      <c r="N11">
        <v>2</v>
      </c>
      <c r="O11">
        <v>0</v>
      </c>
      <c r="P11">
        <v>1</v>
      </c>
      <c r="Q11">
        <v>2</v>
      </c>
      <c r="S11">
        <v>156</v>
      </c>
      <c r="U11">
        <v>3</v>
      </c>
      <c r="V11">
        <v>4</v>
      </c>
      <c r="X11">
        <v>2</v>
      </c>
      <c r="Y11">
        <v>5</v>
      </c>
      <c r="AC11">
        <v>1</v>
      </c>
      <c r="AH11">
        <v>1</v>
      </c>
      <c r="AK11">
        <v>1</v>
      </c>
      <c r="AL11">
        <v>1</v>
      </c>
      <c r="BF11">
        <v>1</v>
      </c>
      <c r="BR11">
        <v>1</v>
      </c>
      <c r="BT11">
        <v>1</v>
      </c>
      <c r="BY11">
        <v>190</v>
      </c>
      <c r="BZ11">
        <v>135</v>
      </c>
    </row>
    <row r="12" spans="1:171" x14ac:dyDescent="0.25">
      <c r="A12" s="1">
        <v>42877</v>
      </c>
      <c r="B12" t="s">
        <v>267</v>
      </c>
      <c r="C12" t="s">
        <v>442</v>
      </c>
      <c r="E12">
        <v>21</v>
      </c>
      <c r="F12">
        <v>24</v>
      </c>
      <c r="G12">
        <v>31</v>
      </c>
      <c r="H12">
        <v>34</v>
      </c>
      <c r="I12">
        <v>37</v>
      </c>
      <c r="J12">
        <v>44</v>
      </c>
      <c r="K12">
        <v>45</v>
      </c>
      <c r="M12">
        <v>0</v>
      </c>
      <c r="N12">
        <v>0</v>
      </c>
      <c r="O12">
        <v>2</v>
      </c>
      <c r="P12">
        <v>3</v>
      </c>
      <c r="Q12">
        <v>2</v>
      </c>
      <c r="S12">
        <v>236</v>
      </c>
      <c r="U12">
        <v>5</v>
      </c>
      <c r="V12">
        <v>2</v>
      </c>
      <c r="X12">
        <v>4</v>
      </c>
      <c r="Y12">
        <v>3</v>
      </c>
      <c r="AU12">
        <v>1</v>
      </c>
      <c r="AX12">
        <v>1</v>
      </c>
      <c r="BE12">
        <v>1</v>
      </c>
      <c r="BH12">
        <v>1</v>
      </c>
      <c r="BK12">
        <v>1</v>
      </c>
      <c r="BR12">
        <v>1</v>
      </c>
      <c r="BS12">
        <v>1</v>
      </c>
      <c r="BY12">
        <v>268</v>
      </c>
      <c r="BZ12">
        <v>215</v>
      </c>
    </row>
    <row r="13" spans="1:171" x14ac:dyDescent="0.25">
      <c r="A13" s="1">
        <v>42873</v>
      </c>
      <c r="B13" t="s">
        <v>443</v>
      </c>
      <c r="C13" t="s">
        <v>444</v>
      </c>
      <c r="E13">
        <v>4</v>
      </c>
      <c r="F13">
        <v>23</v>
      </c>
      <c r="G13">
        <v>43</v>
      </c>
      <c r="H13">
        <v>44</v>
      </c>
      <c r="I13">
        <v>46</v>
      </c>
      <c r="J13">
        <v>48</v>
      </c>
      <c r="K13">
        <v>16</v>
      </c>
      <c r="M13">
        <v>1</v>
      </c>
      <c r="N13">
        <v>1</v>
      </c>
      <c r="O13">
        <v>1</v>
      </c>
      <c r="P13">
        <v>0</v>
      </c>
      <c r="Q13">
        <v>4</v>
      </c>
      <c r="S13">
        <v>224</v>
      </c>
      <c r="U13">
        <v>4</v>
      </c>
      <c r="V13">
        <v>3</v>
      </c>
      <c r="X13">
        <v>2</v>
      </c>
      <c r="Y13">
        <v>5</v>
      </c>
      <c r="AD13">
        <v>1</v>
      </c>
      <c r="AP13">
        <v>1</v>
      </c>
      <c r="AW13">
        <v>1</v>
      </c>
      <c r="BQ13">
        <v>1</v>
      </c>
      <c r="BR13">
        <v>1</v>
      </c>
      <c r="BT13">
        <v>1</v>
      </c>
      <c r="BV13">
        <v>1</v>
      </c>
      <c r="BY13">
        <v>247</v>
      </c>
      <c r="BZ13">
        <v>197</v>
      </c>
    </row>
    <row r="14" spans="1:171" x14ac:dyDescent="0.25">
      <c r="A14" s="1">
        <v>42870</v>
      </c>
      <c r="B14" t="s">
        <v>383</v>
      </c>
      <c r="C14" t="s">
        <v>445</v>
      </c>
      <c r="E14">
        <v>8</v>
      </c>
      <c r="F14">
        <v>14</v>
      </c>
      <c r="G14">
        <v>16</v>
      </c>
      <c r="H14">
        <v>23</v>
      </c>
      <c r="I14">
        <v>24</v>
      </c>
      <c r="J14">
        <v>27</v>
      </c>
      <c r="K14">
        <v>5</v>
      </c>
      <c r="M14">
        <v>2</v>
      </c>
      <c r="N14">
        <v>2</v>
      </c>
      <c r="O14">
        <v>3</v>
      </c>
      <c r="P14">
        <v>0</v>
      </c>
      <c r="Q14">
        <v>0</v>
      </c>
      <c r="S14">
        <v>117</v>
      </c>
      <c r="U14">
        <v>1</v>
      </c>
      <c r="V14">
        <v>6</v>
      </c>
      <c r="X14">
        <v>3</v>
      </c>
      <c r="Y14">
        <v>4</v>
      </c>
      <c r="AE14">
        <v>1</v>
      </c>
      <c r="AH14">
        <v>1</v>
      </c>
      <c r="AN14">
        <v>1</v>
      </c>
      <c r="AP14">
        <v>1</v>
      </c>
      <c r="AW14">
        <v>1</v>
      </c>
      <c r="AX14">
        <v>1</v>
      </c>
      <c r="BA14">
        <v>1</v>
      </c>
      <c r="BY14">
        <v>138</v>
      </c>
      <c r="BZ14">
        <v>87</v>
      </c>
    </row>
    <row r="15" spans="1:171" x14ac:dyDescent="0.25">
      <c r="A15" s="1">
        <v>42866</v>
      </c>
      <c r="B15" t="s">
        <v>283</v>
      </c>
      <c r="C15" t="s">
        <v>446</v>
      </c>
      <c r="E15">
        <v>8</v>
      </c>
      <c r="F15">
        <v>9</v>
      </c>
      <c r="G15">
        <v>12</v>
      </c>
      <c r="H15">
        <v>18</v>
      </c>
      <c r="I15">
        <v>27</v>
      </c>
      <c r="J15">
        <v>45</v>
      </c>
      <c r="K15">
        <v>13</v>
      </c>
      <c r="M15">
        <v>2</v>
      </c>
      <c r="N15">
        <v>3</v>
      </c>
      <c r="O15">
        <v>1</v>
      </c>
      <c r="P15">
        <v>0</v>
      </c>
      <c r="Q15">
        <v>1</v>
      </c>
      <c r="S15">
        <v>132</v>
      </c>
      <c r="U15">
        <v>2</v>
      </c>
      <c r="V15">
        <v>5</v>
      </c>
      <c r="X15">
        <v>4</v>
      </c>
      <c r="Y15">
        <v>3</v>
      </c>
      <c r="AH15">
        <v>1</v>
      </c>
      <c r="AI15">
        <v>1</v>
      </c>
      <c r="AL15">
        <v>1</v>
      </c>
      <c r="AM15">
        <v>1</v>
      </c>
      <c r="AR15">
        <v>1</v>
      </c>
      <c r="BA15">
        <v>1</v>
      </c>
      <c r="BS15">
        <v>1</v>
      </c>
      <c r="BY15">
        <v>149</v>
      </c>
      <c r="BZ15">
        <v>96</v>
      </c>
    </row>
    <row r="16" spans="1:171" x14ac:dyDescent="0.25">
      <c r="A16" s="1">
        <v>42863</v>
      </c>
      <c r="B16" t="s">
        <v>320</v>
      </c>
      <c r="C16" t="s">
        <v>447</v>
      </c>
      <c r="E16">
        <v>5</v>
      </c>
      <c r="F16">
        <v>21</v>
      </c>
      <c r="G16">
        <v>29</v>
      </c>
      <c r="H16">
        <v>30</v>
      </c>
      <c r="I16">
        <v>38</v>
      </c>
      <c r="J16">
        <v>45</v>
      </c>
      <c r="K16">
        <v>1</v>
      </c>
      <c r="M16">
        <v>2</v>
      </c>
      <c r="N16">
        <v>0</v>
      </c>
      <c r="O16">
        <v>2</v>
      </c>
      <c r="P16">
        <v>2</v>
      </c>
      <c r="Q16">
        <v>1</v>
      </c>
      <c r="S16">
        <v>169</v>
      </c>
      <c r="U16">
        <v>4</v>
      </c>
      <c r="V16">
        <v>3</v>
      </c>
      <c r="X16">
        <v>5</v>
      </c>
      <c r="Y16">
        <v>2</v>
      </c>
      <c r="AA16">
        <v>1</v>
      </c>
      <c r="AE16">
        <v>1</v>
      </c>
      <c r="AU16">
        <v>1</v>
      </c>
      <c r="BC16">
        <v>1</v>
      </c>
      <c r="BD16">
        <v>1</v>
      </c>
      <c r="BL16">
        <v>1</v>
      </c>
      <c r="BS16">
        <v>1</v>
      </c>
      <c r="BY16">
        <v>200</v>
      </c>
      <c r="BZ16">
        <v>145</v>
      </c>
    </row>
    <row r="17" spans="1:78" x14ac:dyDescent="0.25">
      <c r="A17" s="1">
        <v>42859</v>
      </c>
      <c r="B17" t="s">
        <v>360</v>
      </c>
      <c r="C17" t="s">
        <v>448</v>
      </c>
      <c r="E17">
        <v>4</v>
      </c>
      <c r="F17">
        <v>13</v>
      </c>
      <c r="G17">
        <v>14</v>
      </c>
      <c r="H17">
        <v>36</v>
      </c>
      <c r="I17">
        <v>41</v>
      </c>
      <c r="J17">
        <v>43</v>
      </c>
      <c r="K17">
        <v>45</v>
      </c>
      <c r="M17">
        <v>1</v>
      </c>
      <c r="N17">
        <v>2</v>
      </c>
      <c r="O17">
        <v>0</v>
      </c>
      <c r="P17">
        <v>1</v>
      </c>
      <c r="Q17">
        <v>3</v>
      </c>
      <c r="S17">
        <v>196</v>
      </c>
      <c r="U17">
        <v>4</v>
      </c>
      <c r="V17">
        <v>3</v>
      </c>
      <c r="X17">
        <v>4</v>
      </c>
      <c r="Y17">
        <v>3</v>
      </c>
      <c r="AD17">
        <v>1</v>
      </c>
      <c r="AM17">
        <v>1</v>
      </c>
      <c r="AN17">
        <v>1</v>
      </c>
      <c r="BJ17">
        <v>1</v>
      </c>
      <c r="BO17">
        <v>1</v>
      </c>
      <c r="BQ17">
        <v>1</v>
      </c>
      <c r="BS17">
        <v>1</v>
      </c>
      <c r="BY17">
        <v>229</v>
      </c>
      <c r="BZ17">
        <v>175</v>
      </c>
    </row>
    <row r="18" spans="1:78" x14ac:dyDescent="0.25">
      <c r="A18" s="1">
        <v>42856</v>
      </c>
      <c r="B18" t="s">
        <v>262</v>
      </c>
      <c r="C18" t="s">
        <v>434</v>
      </c>
      <c r="E18">
        <v>8</v>
      </c>
      <c r="F18">
        <v>17</v>
      </c>
      <c r="G18">
        <v>24</v>
      </c>
      <c r="H18">
        <v>29</v>
      </c>
      <c r="I18">
        <v>32</v>
      </c>
      <c r="J18">
        <v>45</v>
      </c>
      <c r="K18">
        <v>14</v>
      </c>
      <c r="M18">
        <v>1</v>
      </c>
      <c r="N18">
        <v>2</v>
      </c>
      <c r="O18">
        <v>2</v>
      </c>
      <c r="P18">
        <v>1</v>
      </c>
      <c r="Q18">
        <v>1</v>
      </c>
      <c r="S18">
        <v>169</v>
      </c>
      <c r="U18">
        <v>3</v>
      </c>
      <c r="V18">
        <v>4</v>
      </c>
      <c r="X18">
        <v>3</v>
      </c>
      <c r="Y18">
        <v>4</v>
      </c>
      <c r="AH18">
        <v>1</v>
      </c>
      <c r="AN18">
        <v>1</v>
      </c>
      <c r="AQ18">
        <v>1</v>
      </c>
      <c r="AX18">
        <v>1</v>
      </c>
      <c r="BC18">
        <v>1</v>
      </c>
      <c r="BF18">
        <v>1</v>
      </c>
      <c r="BS18">
        <v>1</v>
      </c>
      <c r="BY18">
        <v>191</v>
      </c>
      <c r="BZ18">
        <v>133</v>
      </c>
    </row>
    <row r="19" spans="1:78" x14ac:dyDescent="0.25">
      <c r="A19" s="1">
        <v>42852</v>
      </c>
      <c r="B19" t="s">
        <v>429</v>
      </c>
      <c r="C19" t="s">
        <v>430</v>
      </c>
      <c r="E19">
        <v>4</v>
      </c>
      <c r="F19">
        <v>7</v>
      </c>
      <c r="G19">
        <v>15</v>
      </c>
      <c r="H19">
        <v>31</v>
      </c>
      <c r="I19">
        <v>32</v>
      </c>
      <c r="J19">
        <v>43</v>
      </c>
      <c r="K19">
        <v>37</v>
      </c>
      <c r="M19">
        <v>2</v>
      </c>
      <c r="N19">
        <v>1</v>
      </c>
      <c r="O19">
        <v>0</v>
      </c>
      <c r="P19">
        <v>3</v>
      </c>
      <c r="Q19">
        <v>1</v>
      </c>
      <c r="S19">
        <v>169</v>
      </c>
      <c r="U19">
        <v>4</v>
      </c>
      <c r="V19">
        <v>3</v>
      </c>
      <c r="X19">
        <v>5</v>
      </c>
      <c r="Y19">
        <v>2</v>
      </c>
      <c r="AD19">
        <v>1</v>
      </c>
      <c r="AG19">
        <v>1</v>
      </c>
      <c r="AO19">
        <v>1</v>
      </c>
      <c r="BE19">
        <v>1</v>
      </c>
      <c r="BF19">
        <v>1</v>
      </c>
      <c r="BK19">
        <v>1</v>
      </c>
      <c r="BQ19">
        <v>1</v>
      </c>
      <c r="BY19">
        <v>199</v>
      </c>
      <c r="BZ19">
        <v>146</v>
      </c>
    </row>
    <row r="20" spans="1:78" x14ac:dyDescent="0.25">
      <c r="A20" s="1">
        <v>42849</v>
      </c>
      <c r="B20" t="s">
        <v>431</v>
      </c>
      <c r="C20" t="s">
        <v>432</v>
      </c>
      <c r="E20">
        <v>2</v>
      </c>
      <c r="F20">
        <v>8</v>
      </c>
      <c r="G20">
        <v>22</v>
      </c>
      <c r="H20">
        <v>31</v>
      </c>
      <c r="I20">
        <v>32</v>
      </c>
      <c r="J20">
        <v>35</v>
      </c>
      <c r="K20">
        <v>36</v>
      </c>
      <c r="M20">
        <v>2</v>
      </c>
      <c r="N20">
        <v>0</v>
      </c>
      <c r="O20">
        <v>1</v>
      </c>
      <c r="P20">
        <v>4</v>
      </c>
      <c r="Q20">
        <v>0</v>
      </c>
      <c r="S20">
        <v>166</v>
      </c>
      <c r="U20">
        <v>4</v>
      </c>
      <c r="V20">
        <v>3</v>
      </c>
      <c r="X20">
        <v>2</v>
      </c>
      <c r="Y20">
        <v>5</v>
      </c>
      <c r="AB20">
        <v>1</v>
      </c>
      <c r="AH20">
        <v>1</v>
      </c>
      <c r="AV20">
        <v>1</v>
      </c>
      <c r="BE20">
        <v>1</v>
      </c>
      <c r="BF20">
        <v>1</v>
      </c>
      <c r="BI20">
        <v>1</v>
      </c>
      <c r="BJ20">
        <v>1</v>
      </c>
      <c r="BY20">
        <v>196</v>
      </c>
      <c r="BZ20">
        <v>149</v>
      </c>
    </row>
    <row r="21" spans="1:78" x14ac:dyDescent="0.25">
      <c r="A21" s="1">
        <v>42845</v>
      </c>
      <c r="B21" t="s">
        <v>328</v>
      </c>
      <c r="C21" t="s">
        <v>388</v>
      </c>
      <c r="E21">
        <v>2</v>
      </c>
      <c r="F21">
        <v>12</v>
      </c>
      <c r="G21">
        <v>25</v>
      </c>
      <c r="H21">
        <v>28</v>
      </c>
      <c r="I21">
        <v>37</v>
      </c>
      <c r="J21">
        <v>38</v>
      </c>
      <c r="K21">
        <v>22</v>
      </c>
      <c r="M21">
        <v>1</v>
      </c>
      <c r="N21">
        <v>1</v>
      </c>
      <c r="O21">
        <v>3</v>
      </c>
      <c r="P21">
        <v>2</v>
      </c>
      <c r="Q21">
        <v>0</v>
      </c>
      <c r="S21">
        <v>164</v>
      </c>
      <c r="U21">
        <v>4</v>
      </c>
      <c r="V21">
        <v>3</v>
      </c>
      <c r="X21">
        <v>2</v>
      </c>
      <c r="Y21">
        <v>5</v>
      </c>
      <c r="AB21">
        <v>1</v>
      </c>
      <c r="AL21">
        <v>1</v>
      </c>
      <c r="AV21">
        <v>1</v>
      </c>
      <c r="AY21">
        <v>1</v>
      </c>
      <c r="BB21">
        <v>1</v>
      </c>
      <c r="BK21">
        <v>1</v>
      </c>
      <c r="BL21">
        <v>1</v>
      </c>
      <c r="BY21">
        <v>189</v>
      </c>
      <c r="BZ21">
        <v>135</v>
      </c>
    </row>
    <row r="22" spans="1:78" x14ac:dyDescent="0.25">
      <c r="A22" s="1">
        <v>42842</v>
      </c>
      <c r="B22" t="s">
        <v>262</v>
      </c>
      <c r="C22" t="s">
        <v>0</v>
      </c>
      <c r="E22">
        <v>12</v>
      </c>
      <c r="F22">
        <v>17</v>
      </c>
      <c r="G22">
        <v>25</v>
      </c>
      <c r="H22">
        <v>28</v>
      </c>
      <c r="I22">
        <v>36</v>
      </c>
      <c r="J22">
        <v>44</v>
      </c>
      <c r="K22">
        <v>3</v>
      </c>
      <c r="M22">
        <v>1</v>
      </c>
      <c r="N22">
        <v>2</v>
      </c>
      <c r="O22">
        <v>2</v>
      </c>
      <c r="P22">
        <v>1</v>
      </c>
      <c r="Q22">
        <v>1</v>
      </c>
      <c r="S22">
        <v>165</v>
      </c>
      <c r="U22">
        <v>4</v>
      </c>
      <c r="V22">
        <v>3</v>
      </c>
      <c r="X22">
        <v>3</v>
      </c>
      <c r="Y22">
        <v>4</v>
      </c>
      <c r="AC22">
        <v>1</v>
      </c>
      <c r="AL22">
        <v>1</v>
      </c>
      <c r="AQ22">
        <v>1</v>
      </c>
      <c r="AY22">
        <v>1</v>
      </c>
      <c r="BB22">
        <v>1</v>
      </c>
      <c r="BJ22">
        <v>1</v>
      </c>
      <c r="BR22">
        <v>1</v>
      </c>
      <c r="BY22">
        <v>191</v>
      </c>
      <c r="BZ22">
        <v>133</v>
      </c>
    </row>
    <row r="23" spans="1:78" x14ac:dyDescent="0.25">
      <c r="A23" s="1">
        <v>42838</v>
      </c>
      <c r="B23" t="s">
        <v>263</v>
      </c>
      <c r="C23" t="s">
        <v>1</v>
      </c>
      <c r="E23">
        <v>7</v>
      </c>
      <c r="F23">
        <v>9</v>
      </c>
      <c r="G23">
        <v>16</v>
      </c>
      <c r="H23">
        <v>27</v>
      </c>
      <c r="I23">
        <v>32</v>
      </c>
      <c r="J23">
        <v>47</v>
      </c>
      <c r="K23">
        <v>36</v>
      </c>
      <c r="M23">
        <v>2</v>
      </c>
      <c r="N23">
        <v>1</v>
      </c>
      <c r="O23">
        <v>1</v>
      </c>
      <c r="P23">
        <v>2</v>
      </c>
      <c r="Q23">
        <v>1</v>
      </c>
      <c r="S23">
        <v>174</v>
      </c>
      <c r="U23">
        <v>4</v>
      </c>
      <c r="V23">
        <v>3</v>
      </c>
      <c r="X23">
        <v>4</v>
      </c>
      <c r="Y23">
        <v>3</v>
      </c>
      <c r="AG23">
        <v>1</v>
      </c>
      <c r="AI23">
        <v>1</v>
      </c>
      <c r="AP23">
        <v>1</v>
      </c>
      <c r="BA23">
        <v>1</v>
      </c>
      <c r="BF23">
        <v>1</v>
      </c>
      <c r="BJ23">
        <v>1</v>
      </c>
      <c r="BU23">
        <v>1</v>
      </c>
      <c r="BY23">
        <v>191</v>
      </c>
      <c r="BZ23">
        <v>134</v>
      </c>
    </row>
    <row r="24" spans="1:78" x14ac:dyDescent="0.25">
      <c r="A24" s="1">
        <v>42835</v>
      </c>
      <c r="B24" t="s">
        <v>264</v>
      </c>
      <c r="C24" t="s">
        <v>2</v>
      </c>
      <c r="E24">
        <v>13</v>
      </c>
      <c r="F24">
        <v>19</v>
      </c>
      <c r="G24">
        <v>20</v>
      </c>
      <c r="H24">
        <v>23</v>
      </c>
      <c r="I24">
        <v>29</v>
      </c>
      <c r="J24">
        <v>31</v>
      </c>
      <c r="K24">
        <v>48</v>
      </c>
      <c r="M24">
        <v>0</v>
      </c>
      <c r="N24">
        <v>2</v>
      </c>
      <c r="O24">
        <v>3</v>
      </c>
      <c r="P24">
        <v>1</v>
      </c>
      <c r="Q24">
        <v>1</v>
      </c>
      <c r="S24">
        <v>183</v>
      </c>
      <c r="U24">
        <v>3</v>
      </c>
      <c r="V24">
        <v>4</v>
      </c>
      <c r="X24">
        <v>5</v>
      </c>
      <c r="Y24">
        <v>2</v>
      </c>
      <c r="AM24">
        <v>1</v>
      </c>
      <c r="AS24">
        <v>1</v>
      </c>
      <c r="AT24">
        <v>1</v>
      </c>
      <c r="AW24">
        <v>1</v>
      </c>
      <c r="BC24">
        <v>1</v>
      </c>
      <c r="BE24">
        <v>1</v>
      </c>
      <c r="BV24">
        <v>1</v>
      </c>
      <c r="BY24">
        <v>209</v>
      </c>
      <c r="BZ24">
        <v>154</v>
      </c>
    </row>
    <row r="25" spans="1:78" x14ac:dyDescent="0.25">
      <c r="A25" s="1">
        <v>42831</v>
      </c>
      <c r="B25" t="s">
        <v>265</v>
      </c>
      <c r="C25" t="s">
        <v>3</v>
      </c>
      <c r="E25">
        <v>10</v>
      </c>
      <c r="F25">
        <v>12</v>
      </c>
      <c r="G25">
        <v>20</v>
      </c>
      <c r="H25">
        <v>27</v>
      </c>
      <c r="I25">
        <v>43</v>
      </c>
      <c r="J25">
        <v>46</v>
      </c>
      <c r="K25">
        <v>26</v>
      </c>
      <c r="M25">
        <v>0</v>
      </c>
      <c r="N25">
        <v>2</v>
      </c>
      <c r="O25">
        <v>3</v>
      </c>
      <c r="P25">
        <v>0</v>
      </c>
      <c r="Q25">
        <v>2</v>
      </c>
      <c r="S25">
        <v>184</v>
      </c>
      <c r="U25">
        <v>4</v>
      </c>
      <c r="V25">
        <v>3</v>
      </c>
      <c r="X25">
        <v>2</v>
      </c>
      <c r="Y25">
        <v>5</v>
      </c>
      <c r="AJ25">
        <v>1</v>
      </c>
      <c r="AL25">
        <v>1</v>
      </c>
      <c r="AT25">
        <v>1</v>
      </c>
      <c r="AZ25">
        <v>1</v>
      </c>
      <c r="BA25">
        <v>1</v>
      </c>
      <c r="BQ25">
        <v>1</v>
      </c>
      <c r="BT25">
        <v>1</v>
      </c>
      <c r="BY25">
        <v>218</v>
      </c>
      <c r="BZ25">
        <v>165</v>
      </c>
    </row>
    <row r="26" spans="1:78" x14ac:dyDescent="0.25">
      <c r="A26" s="1">
        <v>42828</v>
      </c>
      <c r="B26" t="s">
        <v>266</v>
      </c>
      <c r="C26" t="s">
        <v>4</v>
      </c>
      <c r="E26">
        <v>1</v>
      </c>
      <c r="F26">
        <v>28</v>
      </c>
      <c r="G26">
        <v>30</v>
      </c>
      <c r="H26">
        <v>32</v>
      </c>
      <c r="I26">
        <v>40</v>
      </c>
      <c r="J26">
        <v>48</v>
      </c>
      <c r="K26">
        <v>31</v>
      </c>
      <c r="M26">
        <v>1</v>
      </c>
      <c r="N26">
        <v>0</v>
      </c>
      <c r="O26">
        <v>1</v>
      </c>
      <c r="P26">
        <v>3</v>
      </c>
      <c r="Q26">
        <v>2</v>
      </c>
      <c r="S26">
        <v>210</v>
      </c>
      <c r="U26">
        <v>6</v>
      </c>
      <c r="V26">
        <v>1</v>
      </c>
      <c r="X26">
        <v>2</v>
      </c>
      <c r="Y26">
        <v>5</v>
      </c>
      <c r="AA26">
        <v>1</v>
      </c>
      <c r="BB26">
        <v>1</v>
      </c>
      <c r="BD26">
        <v>1</v>
      </c>
      <c r="BE26">
        <v>1</v>
      </c>
      <c r="BF26">
        <v>1</v>
      </c>
      <c r="BN26">
        <v>1</v>
      </c>
      <c r="BV26">
        <v>1</v>
      </c>
      <c r="BY26">
        <v>249</v>
      </c>
      <c r="BZ26">
        <v>195</v>
      </c>
    </row>
    <row r="27" spans="1:78" x14ac:dyDescent="0.25">
      <c r="A27" s="1">
        <v>42824</v>
      </c>
      <c r="B27" t="s">
        <v>267</v>
      </c>
      <c r="C27" t="s">
        <v>5</v>
      </c>
      <c r="E27">
        <v>28</v>
      </c>
      <c r="F27">
        <v>34</v>
      </c>
      <c r="G27">
        <v>38</v>
      </c>
      <c r="H27">
        <v>39</v>
      </c>
      <c r="I27">
        <v>42</v>
      </c>
      <c r="J27">
        <v>46</v>
      </c>
      <c r="K27">
        <v>24</v>
      </c>
      <c r="M27">
        <v>0</v>
      </c>
      <c r="N27">
        <v>0</v>
      </c>
      <c r="O27">
        <v>2</v>
      </c>
      <c r="P27">
        <v>3</v>
      </c>
      <c r="Q27">
        <v>2</v>
      </c>
      <c r="S27">
        <v>251</v>
      </c>
      <c r="U27">
        <v>6</v>
      </c>
      <c r="V27">
        <v>1</v>
      </c>
      <c r="X27">
        <v>1</v>
      </c>
      <c r="Y27">
        <v>6</v>
      </c>
      <c r="AX27">
        <v>1</v>
      </c>
      <c r="BB27">
        <v>1</v>
      </c>
      <c r="BH27">
        <v>1</v>
      </c>
      <c r="BL27">
        <v>1</v>
      </c>
      <c r="BM27">
        <v>1</v>
      </c>
      <c r="BP27">
        <v>1</v>
      </c>
      <c r="BT27">
        <v>1</v>
      </c>
      <c r="BY27">
        <v>268</v>
      </c>
      <c r="BZ27">
        <v>215</v>
      </c>
    </row>
    <row r="28" spans="1:78" x14ac:dyDescent="0.25">
      <c r="A28" s="1">
        <v>42821</v>
      </c>
      <c r="B28" t="s">
        <v>268</v>
      </c>
      <c r="C28" t="s">
        <v>6</v>
      </c>
      <c r="E28">
        <v>1</v>
      </c>
      <c r="F28">
        <v>27</v>
      </c>
      <c r="G28">
        <v>28</v>
      </c>
      <c r="H28">
        <v>40</v>
      </c>
      <c r="I28">
        <v>41</v>
      </c>
      <c r="J28">
        <v>44</v>
      </c>
      <c r="K28">
        <v>36</v>
      </c>
      <c r="M28">
        <v>1</v>
      </c>
      <c r="N28">
        <v>0</v>
      </c>
      <c r="O28">
        <v>2</v>
      </c>
      <c r="P28">
        <v>1</v>
      </c>
      <c r="Q28">
        <v>3</v>
      </c>
      <c r="S28">
        <v>217</v>
      </c>
      <c r="U28">
        <v>6</v>
      </c>
      <c r="V28">
        <v>1</v>
      </c>
      <c r="X28">
        <v>3</v>
      </c>
      <c r="Y28">
        <v>4</v>
      </c>
      <c r="AA28">
        <v>1</v>
      </c>
      <c r="BA28">
        <v>1</v>
      </c>
      <c r="BB28">
        <v>1</v>
      </c>
      <c r="BJ28">
        <v>1</v>
      </c>
      <c r="BN28">
        <v>1</v>
      </c>
      <c r="BO28">
        <v>1</v>
      </c>
      <c r="BR28">
        <v>1</v>
      </c>
      <c r="BY28">
        <v>249</v>
      </c>
      <c r="BZ28">
        <v>195</v>
      </c>
    </row>
    <row r="29" spans="1:78" x14ac:dyDescent="0.25">
      <c r="A29" s="1">
        <v>42817</v>
      </c>
      <c r="B29" t="s">
        <v>269</v>
      </c>
      <c r="C29" t="s">
        <v>7</v>
      </c>
      <c r="E29">
        <v>5</v>
      </c>
      <c r="F29">
        <v>13</v>
      </c>
      <c r="G29">
        <v>18</v>
      </c>
      <c r="H29">
        <v>25</v>
      </c>
      <c r="I29">
        <v>28</v>
      </c>
      <c r="J29">
        <v>44</v>
      </c>
      <c r="K29">
        <v>16</v>
      </c>
      <c r="M29">
        <v>1</v>
      </c>
      <c r="N29">
        <v>3</v>
      </c>
      <c r="O29">
        <v>2</v>
      </c>
      <c r="P29">
        <v>0</v>
      </c>
      <c r="Q29">
        <v>1</v>
      </c>
      <c r="S29">
        <v>149</v>
      </c>
      <c r="U29">
        <v>3</v>
      </c>
      <c r="V29">
        <v>4</v>
      </c>
      <c r="X29">
        <v>3</v>
      </c>
      <c r="Y29">
        <v>4</v>
      </c>
      <c r="AE29">
        <v>1</v>
      </c>
      <c r="AM29">
        <v>1</v>
      </c>
      <c r="AP29">
        <v>1</v>
      </c>
      <c r="AR29">
        <v>1</v>
      </c>
      <c r="AY29">
        <v>1</v>
      </c>
      <c r="BB29">
        <v>1</v>
      </c>
      <c r="BR29">
        <v>1</v>
      </c>
      <c r="BY29">
        <v>169</v>
      </c>
      <c r="BZ29">
        <v>115</v>
      </c>
    </row>
    <row r="30" spans="1:78" x14ac:dyDescent="0.25">
      <c r="A30" s="1">
        <v>42814</v>
      </c>
      <c r="B30" t="s">
        <v>270</v>
      </c>
      <c r="C30" t="s">
        <v>8</v>
      </c>
      <c r="E30">
        <v>6</v>
      </c>
      <c r="F30">
        <v>20</v>
      </c>
      <c r="G30">
        <v>30</v>
      </c>
      <c r="H30">
        <v>41</v>
      </c>
      <c r="I30">
        <v>42</v>
      </c>
      <c r="J30">
        <v>45</v>
      </c>
      <c r="K30">
        <v>35</v>
      </c>
      <c r="M30">
        <v>1</v>
      </c>
      <c r="N30">
        <v>0</v>
      </c>
      <c r="O30">
        <v>1</v>
      </c>
      <c r="P30">
        <v>2</v>
      </c>
      <c r="Q30">
        <v>3</v>
      </c>
      <c r="S30">
        <v>219</v>
      </c>
      <c r="U30">
        <v>5</v>
      </c>
      <c r="V30">
        <v>2</v>
      </c>
      <c r="X30">
        <v>3</v>
      </c>
      <c r="Y30">
        <v>4</v>
      </c>
      <c r="AF30">
        <v>1</v>
      </c>
      <c r="AT30">
        <v>1</v>
      </c>
      <c r="BD30">
        <v>1</v>
      </c>
      <c r="BI30">
        <v>1</v>
      </c>
      <c r="BO30">
        <v>1</v>
      </c>
      <c r="BP30">
        <v>1</v>
      </c>
      <c r="BS30">
        <v>1</v>
      </c>
      <c r="BY30">
        <v>259</v>
      </c>
      <c r="BZ30">
        <v>205</v>
      </c>
    </row>
    <row r="31" spans="1:78" x14ac:dyDescent="0.25">
      <c r="A31" s="1">
        <v>42810</v>
      </c>
      <c r="B31" t="s">
        <v>271</v>
      </c>
      <c r="C31" t="s">
        <v>9</v>
      </c>
      <c r="E31">
        <v>2</v>
      </c>
      <c r="F31">
        <v>9</v>
      </c>
      <c r="G31">
        <v>15</v>
      </c>
      <c r="H31">
        <v>19</v>
      </c>
      <c r="I31">
        <v>20</v>
      </c>
      <c r="J31">
        <v>37</v>
      </c>
      <c r="K31">
        <v>29</v>
      </c>
      <c r="M31">
        <v>2</v>
      </c>
      <c r="N31">
        <v>2</v>
      </c>
      <c r="O31">
        <v>2</v>
      </c>
      <c r="P31">
        <v>1</v>
      </c>
      <c r="Q31">
        <v>0</v>
      </c>
      <c r="S31">
        <v>131</v>
      </c>
      <c r="U31">
        <v>2</v>
      </c>
      <c r="V31">
        <v>5</v>
      </c>
      <c r="X31">
        <v>5</v>
      </c>
      <c r="Y31">
        <v>2</v>
      </c>
      <c r="AB31">
        <v>1</v>
      </c>
      <c r="AI31">
        <v>1</v>
      </c>
      <c r="AO31">
        <v>1</v>
      </c>
      <c r="AS31">
        <v>1</v>
      </c>
      <c r="AT31">
        <v>1</v>
      </c>
      <c r="BC31">
        <v>1</v>
      </c>
      <c r="BK31">
        <v>1</v>
      </c>
      <c r="BY31">
        <v>150</v>
      </c>
      <c r="BZ31">
        <v>95</v>
      </c>
    </row>
    <row r="32" spans="1:78" x14ac:dyDescent="0.25">
      <c r="A32" s="1">
        <v>42807</v>
      </c>
      <c r="B32" t="s">
        <v>272</v>
      </c>
      <c r="C32" t="s">
        <v>10</v>
      </c>
      <c r="E32">
        <v>6</v>
      </c>
      <c r="F32">
        <v>28</v>
      </c>
      <c r="G32">
        <v>30</v>
      </c>
      <c r="H32">
        <v>35</v>
      </c>
      <c r="I32">
        <v>39</v>
      </c>
      <c r="J32">
        <v>42</v>
      </c>
      <c r="K32">
        <v>33</v>
      </c>
      <c r="M32">
        <v>1</v>
      </c>
      <c r="N32">
        <v>0</v>
      </c>
      <c r="O32">
        <v>1</v>
      </c>
      <c r="P32">
        <v>4</v>
      </c>
      <c r="Q32">
        <v>1</v>
      </c>
      <c r="S32">
        <v>213</v>
      </c>
      <c r="U32">
        <v>6</v>
      </c>
      <c r="V32">
        <v>1</v>
      </c>
      <c r="X32">
        <v>3</v>
      </c>
      <c r="Y32">
        <v>4</v>
      </c>
      <c r="AF32">
        <v>1</v>
      </c>
      <c r="BB32">
        <v>1</v>
      </c>
      <c r="BD32">
        <v>1</v>
      </c>
      <c r="BG32">
        <v>1</v>
      </c>
      <c r="BI32">
        <v>1</v>
      </c>
      <c r="BM32">
        <v>1</v>
      </c>
      <c r="BP32">
        <v>1</v>
      </c>
      <c r="BY32">
        <v>237</v>
      </c>
      <c r="BZ32">
        <v>187</v>
      </c>
    </row>
    <row r="33" spans="1:78" x14ac:dyDescent="0.25">
      <c r="A33" s="1">
        <v>42803</v>
      </c>
      <c r="B33" t="s">
        <v>273</v>
      </c>
      <c r="C33" t="s">
        <v>11</v>
      </c>
      <c r="E33">
        <v>2</v>
      </c>
      <c r="F33">
        <v>6</v>
      </c>
      <c r="G33">
        <v>9</v>
      </c>
      <c r="H33">
        <v>17</v>
      </c>
      <c r="I33">
        <v>26</v>
      </c>
      <c r="J33">
        <v>46</v>
      </c>
      <c r="K33">
        <v>13</v>
      </c>
      <c r="M33">
        <v>3</v>
      </c>
      <c r="N33">
        <v>2</v>
      </c>
      <c r="O33">
        <v>1</v>
      </c>
      <c r="P33">
        <v>0</v>
      </c>
      <c r="Q33">
        <v>1</v>
      </c>
      <c r="S33">
        <v>119</v>
      </c>
      <c r="U33">
        <v>2</v>
      </c>
      <c r="V33">
        <v>5</v>
      </c>
      <c r="X33">
        <v>3</v>
      </c>
      <c r="Y33">
        <v>4</v>
      </c>
      <c r="AB33">
        <v>1</v>
      </c>
      <c r="AF33">
        <v>1</v>
      </c>
      <c r="AI33">
        <v>1</v>
      </c>
      <c r="AM33">
        <v>1</v>
      </c>
      <c r="AQ33">
        <v>1</v>
      </c>
      <c r="AZ33">
        <v>1</v>
      </c>
      <c r="BT33">
        <v>1</v>
      </c>
      <c r="BY33">
        <v>139</v>
      </c>
      <c r="BZ33">
        <v>87</v>
      </c>
    </row>
    <row r="34" spans="1:78" x14ac:dyDescent="0.25">
      <c r="A34" s="1">
        <v>42800</v>
      </c>
      <c r="B34" t="s">
        <v>274</v>
      </c>
      <c r="C34" t="s">
        <v>12</v>
      </c>
      <c r="E34">
        <v>16</v>
      </c>
      <c r="F34">
        <v>22</v>
      </c>
      <c r="G34">
        <v>28</v>
      </c>
      <c r="H34">
        <v>36</v>
      </c>
      <c r="I34">
        <v>39</v>
      </c>
      <c r="J34">
        <v>47</v>
      </c>
      <c r="K34">
        <v>3</v>
      </c>
      <c r="M34">
        <v>1</v>
      </c>
      <c r="N34">
        <v>1</v>
      </c>
      <c r="O34">
        <v>2</v>
      </c>
      <c r="P34">
        <v>2</v>
      </c>
      <c r="Q34">
        <v>1</v>
      </c>
      <c r="S34">
        <v>191</v>
      </c>
      <c r="U34">
        <v>4</v>
      </c>
      <c r="V34">
        <v>3</v>
      </c>
      <c r="X34">
        <v>3</v>
      </c>
      <c r="Y34">
        <v>4</v>
      </c>
      <c r="AC34">
        <v>1</v>
      </c>
      <c r="AP34">
        <v>1</v>
      </c>
      <c r="AV34">
        <v>1</v>
      </c>
      <c r="BB34">
        <v>1</v>
      </c>
      <c r="BJ34">
        <v>1</v>
      </c>
      <c r="BM34">
        <v>1</v>
      </c>
      <c r="BU34">
        <v>1</v>
      </c>
      <c r="BY34">
        <v>211</v>
      </c>
      <c r="BZ34">
        <v>153</v>
      </c>
    </row>
    <row r="35" spans="1:78" x14ac:dyDescent="0.25">
      <c r="A35" s="1">
        <v>42796</v>
      </c>
      <c r="B35" t="s">
        <v>275</v>
      </c>
      <c r="C35" t="s">
        <v>13</v>
      </c>
      <c r="E35">
        <v>8</v>
      </c>
      <c r="F35">
        <v>14</v>
      </c>
      <c r="G35">
        <v>20</v>
      </c>
      <c r="H35">
        <v>35</v>
      </c>
      <c r="I35">
        <v>36</v>
      </c>
      <c r="J35">
        <v>41</v>
      </c>
      <c r="K35">
        <v>38</v>
      </c>
      <c r="M35">
        <v>1</v>
      </c>
      <c r="N35">
        <v>1</v>
      </c>
      <c r="O35">
        <v>1</v>
      </c>
      <c r="P35">
        <v>3</v>
      </c>
      <c r="Q35">
        <v>1</v>
      </c>
      <c r="S35">
        <v>192</v>
      </c>
      <c r="U35">
        <v>4</v>
      </c>
      <c r="V35">
        <v>3</v>
      </c>
      <c r="X35">
        <v>2</v>
      </c>
      <c r="Y35">
        <v>5</v>
      </c>
      <c r="AH35">
        <v>1</v>
      </c>
      <c r="AN35">
        <v>1</v>
      </c>
      <c r="AT35">
        <v>1</v>
      </c>
      <c r="BI35">
        <v>1</v>
      </c>
      <c r="BJ35">
        <v>1</v>
      </c>
      <c r="BL35">
        <v>1</v>
      </c>
      <c r="BO35">
        <v>1</v>
      </c>
      <c r="BY35">
        <v>220</v>
      </c>
      <c r="BZ35">
        <v>164</v>
      </c>
    </row>
    <row r="36" spans="1:78" x14ac:dyDescent="0.25">
      <c r="A36" s="1">
        <v>42793</v>
      </c>
      <c r="B36" t="s">
        <v>276</v>
      </c>
      <c r="C36" t="s">
        <v>14</v>
      </c>
      <c r="E36">
        <v>22</v>
      </c>
      <c r="F36">
        <v>25</v>
      </c>
      <c r="G36">
        <v>27</v>
      </c>
      <c r="H36">
        <v>29</v>
      </c>
      <c r="I36">
        <v>35</v>
      </c>
      <c r="J36">
        <v>49</v>
      </c>
      <c r="K36">
        <v>31</v>
      </c>
      <c r="M36">
        <v>0</v>
      </c>
      <c r="N36">
        <v>0</v>
      </c>
      <c r="O36">
        <v>4</v>
      </c>
      <c r="P36">
        <v>2</v>
      </c>
      <c r="Q36">
        <v>1</v>
      </c>
      <c r="S36">
        <v>218</v>
      </c>
      <c r="U36">
        <v>6</v>
      </c>
      <c r="V36">
        <v>1</v>
      </c>
      <c r="X36">
        <v>6</v>
      </c>
      <c r="Y36">
        <v>1</v>
      </c>
      <c r="AV36">
        <v>1</v>
      </c>
      <c r="AY36">
        <v>1</v>
      </c>
      <c r="BA36">
        <v>1</v>
      </c>
      <c r="BC36">
        <v>1</v>
      </c>
      <c r="BE36">
        <v>1</v>
      </c>
      <c r="BI36">
        <v>1</v>
      </c>
      <c r="BW36">
        <v>1</v>
      </c>
      <c r="BY36">
        <v>236</v>
      </c>
      <c r="BZ36">
        <v>187</v>
      </c>
    </row>
    <row r="37" spans="1:78" x14ac:dyDescent="0.25">
      <c r="A37" s="1">
        <v>42789</v>
      </c>
      <c r="B37" t="s">
        <v>277</v>
      </c>
      <c r="C37" t="s">
        <v>15</v>
      </c>
      <c r="E37">
        <v>7</v>
      </c>
      <c r="F37">
        <v>8</v>
      </c>
      <c r="G37">
        <v>9</v>
      </c>
      <c r="H37">
        <v>28</v>
      </c>
      <c r="I37">
        <v>41</v>
      </c>
      <c r="J37">
        <v>42</v>
      </c>
      <c r="K37">
        <v>29</v>
      </c>
      <c r="M37">
        <v>3</v>
      </c>
      <c r="N37">
        <v>0</v>
      </c>
      <c r="O37">
        <v>2</v>
      </c>
      <c r="P37">
        <v>0</v>
      </c>
      <c r="Q37">
        <v>2</v>
      </c>
      <c r="S37">
        <v>164</v>
      </c>
      <c r="U37">
        <v>4</v>
      </c>
      <c r="V37">
        <v>3</v>
      </c>
      <c r="X37">
        <v>4</v>
      </c>
      <c r="Y37">
        <v>3</v>
      </c>
      <c r="AG37">
        <v>1</v>
      </c>
      <c r="AH37">
        <v>1</v>
      </c>
      <c r="AI37">
        <v>1</v>
      </c>
      <c r="BB37">
        <v>1</v>
      </c>
      <c r="BC37">
        <v>1</v>
      </c>
      <c r="BO37">
        <v>1</v>
      </c>
      <c r="BP37">
        <v>1</v>
      </c>
      <c r="BY37">
        <v>178</v>
      </c>
      <c r="BZ37">
        <v>128</v>
      </c>
    </row>
    <row r="38" spans="1:78" x14ac:dyDescent="0.25">
      <c r="A38" s="1">
        <v>42786</v>
      </c>
      <c r="B38" t="s">
        <v>273</v>
      </c>
      <c r="C38" t="s">
        <v>16</v>
      </c>
      <c r="E38">
        <v>2</v>
      </c>
      <c r="F38">
        <v>6</v>
      </c>
      <c r="G38">
        <v>13</v>
      </c>
      <c r="H38">
        <v>17</v>
      </c>
      <c r="I38">
        <v>23</v>
      </c>
      <c r="J38">
        <v>46</v>
      </c>
      <c r="K38">
        <v>3</v>
      </c>
      <c r="M38">
        <v>3</v>
      </c>
      <c r="N38">
        <v>2</v>
      </c>
      <c r="O38">
        <v>1</v>
      </c>
      <c r="P38">
        <v>0</v>
      </c>
      <c r="Q38">
        <v>1</v>
      </c>
      <c r="S38">
        <v>110</v>
      </c>
      <c r="U38">
        <v>1</v>
      </c>
      <c r="V38">
        <v>6</v>
      </c>
      <c r="X38">
        <v>4</v>
      </c>
      <c r="Y38">
        <v>3</v>
      </c>
      <c r="AB38">
        <v>1</v>
      </c>
      <c r="AC38">
        <v>1</v>
      </c>
      <c r="AF38">
        <v>1</v>
      </c>
      <c r="AM38">
        <v>1</v>
      </c>
      <c r="AQ38">
        <v>1</v>
      </c>
      <c r="AW38">
        <v>1</v>
      </c>
      <c r="BT38">
        <v>1</v>
      </c>
      <c r="BY38">
        <v>139</v>
      </c>
      <c r="BZ38">
        <v>87</v>
      </c>
    </row>
    <row r="39" spans="1:78" x14ac:dyDescent="0.25">
      <c r="A39" s="1">
        <v>42782</v>
      </c>
      <c r="B39" t="s">
        <v>278</v>
      </c>
      <c r="C39" t="s">
        <v>17</v>
      </c>
      <c r="E39">
        <v>8</v>
      </c>
      <c r="F39">
        <v>17</v>
      </c>
      <c r="G39">
        <v>31</v>
      </c>
      <c r="H39">
        <v>43</v>
      </c>
      <c r="I39">
        <v>44</v>
      </c>
      <c r="J39">
        <v>48</v>
      </c>
      <c r="K39">
        <v>46</v>
      </c>
      <c r="M39">
        <v>1</v>
      </c>
      <c r="N39">
        <v>1</v>
      </c>
      <c r="O39">
        <v>0</v>
      </c>
      <c r="P39">
        <v>1</v>
      </c>
      <c r="Q39">
        <v>4</v>
      </c>
      <c r="S39">
        <v>237</v>
      </c>
      <c r="U39">
        <v>5</v>
      </c>
      <c r="V39">
        <v>2</v>
      </c>
      <c r="X39">
        <v>3</v>
      </c>
      <c r="Y39">
        <v>4</v>
      </c>
      <c r="AH39">
        <v>1</v>
      </c>
      <c r="AQ39">
        <v>1</v>
      </c>
      <c r="BE39">
        <v>1</v>
      </c>
      <c r="BQ39">
        <v>1</v>
      </c>
      <c r="BR39">
        <v>1</v>
      </c>
      <c r="BT39">
        <v>1</v>
      </c>
      <c r="BV39">
        <v>1</v>
      </c>
      <c r="BY39">
        <v>257</v>
      </c>
      <c r="BZ39">
        <v>207</v>
      </c>
    </row>
    <row r="40" spans="1:78" x14ac:dyDescent="0.25">
      <c r="A40" s="1">
        <v>42779</v>
      </c>
      <c r="B40" t="s">
        <v>271</v>
      </c>
      <c r="C40" t="s">
        <v>18</v>
      </c>
      <c r="E40">
        <v>7</v>
      </c>
      <c r="F40">
        <v>10</v>
      </c>
      <c r="G40">
        <v>19</v>
      </c>
      <c r="H40">
        <v>23</v>
      </c>
      <c r="I40">
        <v>24</v>
      </c>
      <c r="J40">
        <v>33</v>
      </c>
      <c r="K40">
        <v>3</v>
      </c>
      <c r="M40">
        <v>2</v>
      </c>
      <c r="N40">
        <v>2</v>
      </c>
      <c r="O40">
        <v>2</v>
      </c>
      <c r="P40">
        <v>1</v>
      </c>
      <c r="Q40">
        <v>0</v>
      </c>
      <c r="S40">
        <v>119</v>
      </c>
      <c r="U40">
        <v>1</v>
      </c>
      <c r="V40">
        <v>6</v>
      </c>
      <c r="X40">
        <v>5</v>
      </c>
      <c r="Y40">
        <v>2</v>
      </c>
      <c r="AC40">
        <v>1</v>
      </c>
      <c r="AG40">
        <v>1</v>
      </c>
      <c r="AJ40">
        <v>1</v>
      </c>
      <c r="AS40">
        <v>1</v>
      </c>
      <c r="AW40">
        <v>1</v>
      </c>
      <c r="AX40">
        <v>1</v>
      </c>
      <c r="BG40">
        <v>1</v>
      </c>
      <c r="BY40">
        <v>150</v>
      </c>
      <c r="BZ40">
        <v>95</v>
      </c>
    </row>
    <row r="41" spans="1:78" x14ac:dyDescent="0.25">
      <c r="A41" s="1">
        <v>42776</v>
      </c>
      <c r="B41" t="s">
        <v>279</v>
      </c>
      <c r="C41" t="s">
        <v>19</v>
      </c>
      <c r="E41">
        <v>2</v>
      </c>
      <c r="F41">
        <v>7</v>
      </c>
      <c r="G41">
        <v>24</v>
      </c>
      <c r="H41">
        <v>27</v>
      </c>
      <c r="I41">
        <v>29</v>
      </c>
      <c r="J41">
        <v>34</v>
      </c>
      <c r="K41">
        <v>21</v>
      </c>
      <c r="M41">
        <v>2</v>
      </c>
      <c r="N41">
        <v>0</v>
      </c>
      <c r="O41">
        <v>4</v>
      </c>
      <c r="P41">
        <v>1</v>
      </c>
      <c r="Q41">
        <v>0</v>
      </c>
      <c r="S41">
        <v>144</v>
      </c>
      <c r="U41">
        <v>3</v>
      </c>
      <c r="V41">
        <v>4</v>
      </c>
      <c r="X41">
        <v>4</v>
      </c>
      <c r="Y41">
        <v>3</v>
      </c>
      <c r="AB41">
        <v>1</v>
      </c>
      <c r="AG41">
        <v>1</v>
      </c>
      <c r="AU41">
        <v>1</v>
      </c>
      <c r="AX41">
        <v>1</v>
      </c>
      <c r="BA41">
        <v>1</v>
      </c>
      <c r="BC41">
        <v>1</v>
      </c>
      <c r="BH41">
        <v>1</v>
      </c>
      <c r="BY41">
        <v>166</v>
      </c>
      <c r="BZ41">
        <v>119</v>
      </c>
    </row>
    <row r="42" spans="1:78" x14ac:dyDescent="0.25">
      <c r="A42" s="1">
        <v>42772</v>
      </c>
      <c r="B42" t="s">
        <v>280</v>
      </c>
      <c r="C42" t="s">
        <v>20</v>
      </c>
      <c r="E42">
        <v>9</v>
      </c>
      <c r="F42">
        <v>14</v>
      </c>
      <c r="G42">
        <v>17</v>
      </c>
      <c r="H42">
        <v>25</v>
      </c>
      <c r="I42">
        <v>30</v>
      </c>
      <c r="J42">
        <v>36</v>
      </c>
      <c r="K42">
        <v>44</v>
      </c>
      <c r="M42">
        <v>1</v>
      </c>
      <c r="N42">
        <v>2</v>
      </c>
      <c r="O42">
        <v>1</v>
      </c>
      <c r="P42">
        <v>2</v>
      </c>
      <c r="Q42">
        <v>1</v>
      </c>
      <c r="S42">
        <v>175</v>
      </c>
      <c r="U42">
        <v>4</v>
      </c>
      <c r="V42">
        <v>3</v>
      </c>
      <c r="X42">
        <v>3</v>
      </c>
      <c r="Y42">
        <v>4</v>
      </c>
      <c r="AI42">
        <v>1</v>
      </c>
      <c r="AN42">
        <v>1</v>
      </c>
      <c r="AQ42">
        <v>1</v>
      </c>
      <c r="AY42">
        <v>1</v>
      </c>
      <c r="BD42">
        <v>1</v>
      </c>
      <c r="BJ42">
        <v>1</v>
      </c>
      <c r="BR42">
        <v>1</v>
      </c>
      <c r="BY42">
        <v>201</v>
      </c>
      <c r="BZ42">
        <v>143</v>
      </c>
    </row>
    <row r="43" spans="1:78" x14ac:dyDescent="0.25">
      <c r="A43" s="1">
        <v>42768</v>
      </c>
      <c r="B43" t="s">
        <v>281</v>
      </c>
      <c r="C43" t="s">
        <v>21</v>
      </c>
      <c r="E43">
        <v>11</v>
      </c>
      <c r="F43">
        <v>20</v>
      </c>
      <c r="G43">
        <v>21</v>
      </c>
      <c r="H43">
        <v>29</v>
      </c>
      <c r="I43">
        <v>37</v>
      </c>
      <c r="J43">
        <v>48</v>
      </c>
      <c r="K43">
        <v>23</v>
      </c>
      <c r="M43">
        <v>0</v>
      </c>
      <c r="N43">
        <v>1</v>
      </c>
      <c r="O43">
        <v>4</v>
      </c>
      <c r="P43">
        <v>1</v>
      </c>
      <c r="Q43">
        <v>1</v>
      </c>
      <c r="S43">
        <v>189</v>
      </c>
      <c r="U43">
        <v>3</v>
      </c>
      <c r="V43">
        <v>4</v>
      </c>
      <c r="X43">
        <v>5</v>
      </c>
      <c r="Y43">
        <v>2</v>
      </c>
      <c r="AK43">
        <v>1</v>
      </c>
      <c r="AT43">
        <v>1</v>
      </c>
      <c r="AU43">
        <v>1</v>
      </c>
      <c r="AW43">
        <v>1</v>
      </c>
      <c r="BC43">
        <v>1</v>
      </c>
      <c r="BK43">
        <v>1</v>
      </c>
      <c r="BV43">
        <v>1</v>
      </c>
      <c r="BY43">
        <v>217</v>
      </c>
      <c r="BZ43">
        <v>166</v>
      </c>
    </row>
    <row r="44" spans="1:78" x14ac:dyDescent="0.25">
      <c r="A44" s="1">
        <v>42765</v>
      </c>
      <c r="B44" t="s">
        <v>282</v>
      </c>
      <c r="C44" t="s">
        <v>22</v>
      </c>
      <c r="E44">
        <v>21</v>
      </c>
      <c r="F44">
        <v>22</v>
      </c>
      <c r="G44">
        <v>25</v>
      </c>
      <c r="H44">
        <v>27</v>
      </c>
      <c r="I44">
        <v>32</v>
      </c>
      <c r="J44">
        <v>39</v>
      </c>
      <c r="K44">
        <v>6</v>
      </c>
      <c r="M44">
        <v>1</v>
      </c>
      <c r="N44">
        <v>0</v>
      </c>
      <c r="O44">
        <v>4</v>
      </c>
      <c r="P44">
        <v>2</v>
      </c>
      <c r="Q44">
        <v>0</v>
      </c>
      <c r="S44">
        <v>172</v>
      </c>
      <c r="U44">
        <v>4</v>
      </c>
      <c r="V44">
        <v>3</v>
      </c>
      <c r="X44">
        <v>4</v>
      </c>
      <c r="Y44">
        <v>3</v>
      </c>
      <c r="AF44">
        <v>1</v>
      </c>
      <c r="AU44">
        <v>1</v>
      </c>
      <c r="AV44">
        <v>1</v>
      </c>
      <c r="AY44">
        <v>1</v>
      </c>
      <c r="BA44">
        <v>1</v>
      </c>
      <c r="BF44">
        <v>1</v>
      </c>
      <c r="BM44">
        <v>1</v>
      </c>
      <c r="BY44">
        <v>196</v>
      </c>
      <c r="BZ44">
        <v>148</v>
      </c>
    </row>
    <row r="45" spans="1:78" x14ac:dyDescent="0.25">
      <c r="A45" s="1">
        <v>42761</v>
      </c>
      <c r="B45" t="s">
        <v>283</v>
      </c>
      <c r="C45" t="s">
        <v>23</v>
      </c>
      <c r="E45">
        <v>8</v>
      </c>
      <c r="F45">
        <v>12</v>
      </c>
      <c r="G45">
        <v>16</v>
      </c>
      <c r="H45">
        <v>19</v>
      </c>
      <c r="I45">
        <v>22</v>
      </c>
      <c r="J45">
        <v>46</v>
      </c>
      <c r="K45">
        <v>6</v>
      </c>
      <c r="M45">
        <v>2</v>
      </c>
      <c r="N45">
        <v>3</v>
      </c>
      <c r="O45">
        <v>1</v>
      </c>
      <c r="P45">
        <v>0</v>
      </c>
      <c r="Q45">
        <v>1</v>
      </c>
      <c r="S45">
        <v>129</v>
      </c>
      <c r="U45">
        <v>1</v>
      </c>
      <c r="V45">
        <v>6</v>
      </c>
      <c r="X45">
        <v>1</v>
      </c>
      <c r="Y45">
        <v>6</v>
      </c>
      <c r="AF45">
        <v>1</v>
      </c>
      <c r="AH45">
        <v>1</v>
      </c>
      <c r="AL45">
        <v>1</v>
      </c>
      <c r="AP45">
        <v>1</v>
      </c>
      <c r="AS45">
        <v>1</v>
      </c>
      <c r="AV45">
        <v>1</v>
      </c>
      <c r="BT45">
        <v>1</v>
      </c>
      <c r="BY45">
        <v>149</v>
      </c>
      <c r="BZ45">
        <v>96</v>
      </c>
    </row>
    <row r="46" spans="1:78" x14ac:dyDescent="0.25">
      <c r="A46" s="1">
        <v>42758</v>
      </c>
      <c r="B46" t="s">
        <v>284</v>
      </c>
      <c r="C46" t="s">
        <v>24</v>
      </c>
      <c r="E46">
        <v>5</v>
      </c>
      <c r="F46">
        <v>14</v>
      </c>
      <c r="G46">
        <v>23</v>
      </c>
      <c r="H46">
        <v>28</v>
      </c>
      <c r="I46">
        <v>45</v>
      </c>
      <c r="J46">
        <v>49</v>
      </c>
      <c r="K46">
        <v>39</v>
      </c>
      <c r="M46">
        <v>1</v>
      </c>
      <c r="N46">
        <v>1</v>
      </c>
      <c r="O46">
        <v>2</v>
      </c>
      <c r="P46">
        <v>1</v>
      </c>
      <c r="Q46">
        <v>2</v>
      </c>
      <c r="S46">
        <v>203</v>
      </c>
      <c r="U46">
        <v>4</v>
      </c>
      <c r="V46">
        <v>3</v>
      </c>
      <c r="X46">
        <v>5</v>
      </c>
      <c r="Y46">
        <v>2</v>
      </c>
      <c r="AE46">
        <v>1</v>
      </c>
      <c r="AN46">
        <v>1</v>
      </c>
      <c r="AW46">
        <v>1</v>
      </c>
      <c r="BB46">
        <v>1</v>
      </c>
      <c r="BM46">
        <v>1</v>
      </c>
      <c r="BS46">
        <v>1</v>
      </c>
      <c r="BW46">
        <v>1</v>
      </c>
      <c r="BY46">
        <v>221</v>
      </c>
      <c r="BZ46">
        <v>163</v>
      </c>
    </row>
    <row r="47" spans="1:78" x14ac:dyDescent="0.25">
      <c r="A47" s="1">
        <v>42754</v>
      </c>
      <c r="B47" t="s">
        <v>285</v>
      </c>
      <c r="C47" t="s">
        <v>25</v>
      </c>
      <c r="E47">
        <v>5</v>
      </c>
      <c r="F47">
        <v>8</v>
      </c>
      <c r="G47">
        <v>16</v>
      </c>
      <c r="H47">
        <v>44</v>
      </c>
      <c r="I47">
        <v>48</v>
      </c>
      <c r="J47">
        <v>49</v>
      </c>
      <c r="K47">
        <v>32</v>
      </c>
      <c r="M47">
        <v>2</v>
      </c>
      <c r="N47">
        <v>1</v>
      </c>
      <c r="O47">
        <v>0</v>
      </c>
      <c r="P47">
        <v>1</v>
      </c>
      <c r="Q47">
        <v>3</v>
      </c>
      <c r="S47">
        <v>202</v>
      </c>
      <c r="U47">
        <v>4</v>
      </c>
      <c r="V47">
        <v>3</v>
      </c>
      <c r="X47">
        <v>2</v>
      </c>
      <c r="Y47">
        <v>5</v>
      </c>
      <c r="AE47">
        <v>1</v>
      </c>
      <c r="AH47">
        <v>1</v>
      </c>
      <c r="AP47">
        <v>1</v>
      </c>
      <c r="BF47">
        <v>1</v>
      </c>
      <c r="BR47">
        <v>1</v>
      </c>
      <c r="BV47">
        <v>1</v>
      </c>
      <c r="BW47">
        <v>1</v>
      </c>
      <c r="BY47">
        <v>219</v>
      </c>
      <c r="BZ47">
        <v>166</v>
      </c>
    </row>
    <row r="48" spans="1:78" x14ac:dyDescent="0.25">
      <c r="A48" s="1">
        <v>42751</v>
      </c>
      <c r="B48" t="s">
        <v>286</v>
      </c>
      <c r="C48" t="s">
        <v>26</v>
      </c>
      <c r="E48">
        <v>2</v>
      </c>
      <c r="F48">
        <v>7</v>
      </c>
      <c r="G48">
        <v>17</v>
      </c>
      <c r="H48">
        <v>21</v>
      </c>
      <c r="I48">
        <v>35</v>
      </c>
      <c r="J48">
        <v>42</v>
      </c>
      <c r="K48">
        <v>16</v>
      </c>
      <c r="M48">
        <v>2</v>
      </c>
      <c r="N48">
        <v>2</v>
      </c>
      <c r="O48">
        <v>1</v>
      </c>
      <c r="P48">
        <v>1</v>
      </c>
      <c r="Q48">
        <v>1</v>
      </c>
      <c r="S48">
        <v>140</v>
      </c>
      <c r="U48">
        <v>2</v>
      </c>
      <c r="V48">
        <v>5</v>
      </c>
      <c r="X48">
        <v>4</v>
      </c>
      <c r="Y48">
        <v>3</v>
      </c>
      <c r="AB48">
        <v>1</v>
      </c>
      <c r="AG48">
        <v>1</v>
      </c>
      <c r="AP48">
        <v>1</v>
      </c>
      <c r="AQ48">
        <v>1</v>
      </c>
      <c r="AU48">
        <v>1</v>
      </c>
      <c r="BI48">
        <v>1</v>
      </c>
      <c r="BP48">
        <v>1</v>
      </c>
      <c r="BY48">
        <v>171</v>
      </c>
      <c r="BZ48">
        <v>114</v>
      </c>
    </row>
    <row r="49" spans="1:78" x14ac:dyDescent="0.25">
      <c r="A49" s="1">
        <v>42747</v>
      </c>
      <c r="B49" t="s">
        <v>287</v>
      </c>
      <c r="C49" t="s">
        <v>27</v>
      </c>
      <c r="E49">
        <v>3</v>
      </c>
      <c r="F49">
        <v>6</v>
      </c>
      <c r="G49">
        <v>12</v>
      </c>
      <c r="H49">
        <v>25</v>
      </c>
      <c r="I49">
        <v>40</v>
      </c>
      <c r="J49">
        <v>43</v>
      </c>
      <c r="K49">
        <v>42</v>
      </c>
      <c r="M49">
        <v>2</v>
      </c>
      <c r="N49">
        <v>1</v>
      </c>
      <c r="O49">
        <v>1</v>
      </c>
      <c r="P49">
        <v>0</v>
      </c>
      <c r="Q49">
        <v>3</v>
      </c>
      <c r="S49">
        <v>171</v>
      </c>
      <c r="U49">
        <v>4</v>
      </c>
      <c r="V49">
        <v>3</v>
      </c>
      <c r="X49">
        <v>3</v>
      </c>
      <c r="Y49">
        <v>4</v>
      </c>
      <c r="AC49">
        <v>1</v>
      </c>
      <c r="AF49">
        <v>1</v>
      </c>
      <c r="AL49">
        <v>1</v>
      </c>
      <c r="AY49">
        <v>1</v>
      </c>
      <c r="BN49">
        <v>1</v>
      </c>
      <c r="BP49">
        <v>1</v>
      </c>
      <c r="BQ49">
        <v>1</v>
      </c>
      <c r="BY49">
        <v>209</v>
      </c>
      <c r="BZ49">
        <v>156</v>
      </c>
    </row>
    <row r="50" spans="1:78" x14ac:dyDescent="0.25">
      <c r="A50" s="1">
        <v>42744</v>
      </c>
      <c r="B50" t="s">
        <v>288</v>
      </c>
      <c r="C50" t="s">
        <v>28</v>
      </c>
      <c r="E50">
        <v>8</v>
      </c>
      <c r="F50">
        <v>29</v>
      </c>
      <c r="G50">
        <v>33</v>
      </c>
      <c r="H50">
        <v>34</v>
      </c>
      <c r="I50">
        <v>42</v>
      </c>
      <c r="J50">
        <v>49</v>
      </c>
      <c r="K50">
        <v>21</v>
      </c>
      <c r="M50">
        <v>1</v>
      </c>
      <c r="N50">
        <v>0</v>
      </c>
      <c r="O50">
        <v>2</v>
      </c>
      <c r="P50">
        <v>2</v>
      </c>
      <c r="Q50">
        <v>2</v>
      </c>
      <c r="S50">
        <v>216</v>
      </c>
      <c r="U50">
        <v>5</v>
      </c>
      <c r="V50">
        <v>2</v>
      </c>
      <c r="X50">
        <v>4</v>
      </c>
      <c r="Y50">
        <v>3</v>
      </c>
      <c r="AH50">
        <v>1</v>
      </c>
      <c r="AU50">
        <v>1</v>
      </c>
      <c r="BC50">
        <v>1</v>
      </c>
      <c r="BG50">
        <v>1</v>
      </c>
      <c r="BH50">
        <v>1</v>
      </c>
      <c r="BP50">
        <v>1</v>
      </c>
      <c r="BW50">
        <v>1</v>
      </c>
      <c r="BY50">
        <v>240</v>
      </c>
      <c r="BZ50">
        <v>184</v>
      </c>
    </row>
    <row r="51" spans="1:78" x14ac:dyDescent="0.25">
      <c r="A51" s="1">
        <v>42739</v>
      </c>
      <c r="B51" t="s">
        <v>289</v>
      </c>
      <c r="C51" t="s">
        <v>29</v>
      </c>
      <c r="E51">
        <v>7</v>
      </c>
      <c r="F51">
        <v>15</v>
      </c>
      <c r="G51">
        <v>20</v>
      </c>
      <c r="H51">
        <v>33</v>
      </c>
      <c r="I51">
        <v>39</v>
      </c>
      <c r="J51">
        <v>44</v>
      </c>
      <c r="K51">
        <v>43</v>
      </c>
      <c r="M51">
        <v>1</v>
      </c>
      <c r="N51">
        <v>1</v>
      </c>
      <c r="O51">
        <v>1</v>
      </c>
      <c r="P51">
        <v>2</v>
      </c>
      <c r="Q51">
        <v>2</v>
      </c>
      <c r="S51">
        <v>201</v>
      </c>
      <c r="U51">
        <v>4</v>
      </c>
      <c r="V51">
        <v>3</v>
      </c>
      <c r="X51">
        <v>5</v>
      </c>
      <c r="Y51">
        <v>2</v>
      </c>
      <c r="AG51">
        <v>1</v>
      </c>
      <c r="AO51">
        <v>1</v>
      </c>
      <c r="AT51">
        <v>1</v>
      </c>
      <c r="BG51">
        <v>1</v>
      </c>
      <c r="BM51">
        <v>1</v>
      </c>
      <c r="BQ51">
        <v>1</v>
      </c>
      <c r="BR51">
        <v>1</v>
      </c>
      <c r="BY51">
        <v>231</v>
      </c>
      <c r="BZ51">
        <v>173</v>
      </c>
    </row>
    <row r="52" spans="1:78" x14ac:dyDescent="0.25">
      <c r="A52" s="1">
        <v>42737</v>
      </c>
      <c r="B52" t="s">
        <v>275</v>
      </c>
      <c r="C52" t="s">
        <v>30</v>
      </c>
      <c r="E52">
        <v>1</v>
      </c>
      <c r="F52">
        <v>18</v>
      </c>
      <c r="G52">
        <v>22</v>
      </c>
      <c r="H52">
        <v>35</v>
      </c>
      <c r="I52">
        <v>38</v>
      </c>
      <c r="J52">
        <v>49</v>
      </c>
      <c r="K52">
        <v>30</v>
      </c>
      <c r="M52">
        <v>1</v>
      </c>
      <c r="N52">
        <v>1</v>
      </c>
      <c r="O52">
        <v>1</v>
      </c>
      <c r="P52">
        <v>3</v>
      </c>
      <c r="Q52">
        <v>1</v>
      </c>
      <c r="S52">
        <v>193</v>
      </c>
      <c r="U52">
        <v>4</v>
      </c>
      <c r="V52">
        <v>3</v>
      </c>
      <c r="X52">
        <v>3</v>
      </c>
      <c r="Y52">
        <v>4</v>
      </c>
      <c r="AA52">
        <v>1</v>
      </c>
      <c r="AR52">
        <v>1</v>
      </c>
      <c r="AV52">
        <v>1</v>
      </c>
      <c r="BD52">
        <v>1</v>
      </c>
      <c r="BI52">
        <v>1</v>
      </c>
      <c r="BL52">
        <v>1</v>
      </c>
      <c r="BW52">
        <v>1</v>
      </c>
      <c r="BY52">
        <v>220</v>
      </c>
      <c r="BZ52">
        <v>164</v>
      </c>
    </row>
    <row r="53" spans="1:78" x14ac:dyDescent="0.25">
      <c r="A53" s="1">
        <v>42733</v>
      </c>
      <c r="B53" t="s">
        <v>290</v>
      </c>
      <c r="C53" t="s">
        <v>31</v>
      </c>
      <c r="E53">
        <v>2</v>
      </c>
      <c r="F53">
        <v>4</v>
      </c>
      <c r="G53">
        <v>34</v>
      </c>
      <c r="H53">
        <v>36</v>
      </c>
      <c r="I53">
        <v>42</v>
      </c>
      <c r="J53">
        <v>46</v>
      </c>
      <c r="K53">
        <v>15</v>
      </c>
      <c r="M53">
        <v>2</v>
      </c>
      <c r="N53">
        <v>1</v>
      </c>
      <c r="O53">
        <v>0</v>
      </c>
      <c r="P53">
        <v>2</v>
      </c>
      <c r="Q53">
        <v>2</v>
      </c>
      <c r="S53">
        <v>179</v>
      </c>
      <c r="U53">
        <v>4</v>
      </c>
      <c r="V53">
        <v>3</v>
      </c>
      <c r="X53">
        <v>1</v>
      </c>
      <c r="Y53">
        <v>6</v>
      </c>
      <c r="AB53">
        <v>1</v>
      </c>
      <c r="AD53">
        <v>1</v>
      </c>
      <c r="AO53">
        <v>1</v>
      </c>
      <c r="BH53">
        <v>1</v>
      </c>
      <c r="BJ53">
        <v>1</v>
      </c>
      <c r="BP53">
        <v>1</v>
      </c>
      <c r="BT53">
        <v>1</v>
      </c>
      <c r="BY53">
        <v>210</v>
      </c>
      <c r="BZ53">
        <v>155</v>
      </c>
    </row>
    <row r="54" spans="1:78" x14ac:dyDescent="0.25">
      <c r="A54" s="1">
        <v>42730</v>
      </c>
      <c r="B54" t="s">
        <v>291</v>
      </c>
      <c r="C54" t="s">
        <v>32</v>
      </c>
      <c r="E54">
        <v>8</v>
      </c>
      <c r="F54">
        <v>10</v>
      </c>
      <c r="G54">
        <v>18</v>
      </c>
      <c r="H54">
        <v>25</v>
      </c>
      <c r="I54">
        <v>28</v>
      </c>
      <c r="J54">
        <v>46</v>
      </c>
      <c r="K54">
        <v>23</v>
      </c>
      <c r="M54">
        <v>1</v>
      </c>
      <c r="N54">
        <v>2</v>
      </c>
      <c r="O54">
        <v>3</v>
      </c>
      <c r="P54">
        <v>0</v>
      </c>
      <c r="Q54">
        <v>1</v>
      </c>
      <c r="S54">
        <v>158</v>
      </c>
      <c r="U54">
        <v>3</v>
      </c>
      <c r="V54">
        <v>4</v>
      </c>
      <c r="X54">
        <v>2</v>
      </c>
      <c r="Y54">
        <v>5</v>
      </c>
      <c r="AH54">
        <v>1</v>
      </c>
      <c r="AJ54">
        <v>1</v>
      </c>
      <c r="AR54">
        <v>1</v>
      </c>
      <c r="AW54">
        <v>1</v>
      </c>
      <c r="AY54">
        <v>1</v>
      </c>
      <c r="BB54">
        <v>1</v>
      </c>
      <c r="BT54">
        <v>1</v>
      </c>
      <c r="BY54">
        <v>179</v>
      </c>
      <c r="BZ54">
        <v>125</v>
      </c>
    </row>
    <row r="55" spans="1:78" x14ac:dyDescent="0.25">
      <c r="A55" s="1">
        <v>42726</v>
      </c>
      <c r="B55" t="s">
        <v>270</v>
      </c>
      <c r="C55" t="s">
        <v>33</v>
      </c>
      <c r="E55">
        <v>3</v>
      </c>
      <c r="F55">
        <v>28</v>
      </c>
      <c r="G55">
        <v>37</v>
      </c>
      <c r="H55">
        <v>38</v>
      </c>
      <c r="I55">
        <v>44</v>
      </c>
      <c r="J55">
        <v>47</v>
      </c>
      <c r="K55">
        <v>46</v>
      </c>
      <c r="M55">
        <v>1</v>
      </c>
      <c r="N55">
        <v>0</v>
      </c>
      <c r="O55">
        <v>1</v>
      </c>
      <c r="P55">
        <v>2</v>
      </c>
      <c r="Q55">
        <v>3</v>
      </c>
      <c r="S55">
        <v>243</v>
      </c>
      <c r="U55">
        <v>6</v>
      </c>
      <c r="V55">
        <v>1</v>
      </c>
      <c r="X55">
        <v>3</v>
      </c>
      <c r="Y55">
        <v>4</v>
      </c>
      <c r="AC55">
        <v>1</v>
      </c>
      <c r="BB55">
        <v>1</v>
      </c>
      <c r="BK55">
        <v>1</v>
      </c>
      <c r="BL55">
        <v>1</v>
      </c>
      <c r="BR55">
        <v>1</v>
      </c>
      <c r="BT55">
        <v>1</v>
      </c>
      <c r="BU55">
        <v>1</v>
      </c>
      <c r="BY55">
        <v>259</v>
      </c>
      <c r="BZ55">
        <v>205</v>
      </c>
    </row>
    <row r="56" spans="1:78" x14ac:dyDescent="0.25">
      <c r="A56" s="1">
        <v>42723</v>
      </c>
      <c r="B56" t="s">
        <v>292</v>
      </c>
      <c r="C56" t="s">
        <v>34</v>
      </c>
      <c r="E56">
        <v>10</v>
      </c>
      <c r="F56">
        <v>11</v>
      </c>
      <c r="G56">
        <v>24</v>
      </c>
      <c r="H56">
        <v>27</v>
      </c>
      <c r="I56">
        <v>36</v>
      </c>
      <c r="J56">
        <v>49</v>
      </c>
      <c r="K56">
        <v>43</v>
      </c>
      <c r="M56">
        <v>0</v>
      </c>
      <c r="N56">
        <v>2</v>
      </c>
      <c r="O56">
        <v>2</v>
      </c>
      <c r="P56">
        <v>1</v>
      </c>
      <c r="Q56">
        <v>2</v>
      </c>
      <c r="S56">
        <v>200</v>
      </c>
      <c r="U56">
        <v>4</v>
      </c>
      <c r="V56">
        <v>3</v>
      </c>
      <c r="X56">
        <v>4</v>
      </c>
      <c r="Y56">
        <v>3</v>
      </c>
      <c r="AJ56">
        <v>1</v>
      </c>
      <c r="AK56">
        <v>1</v>
      </c>
      <c r="AX56">
        <v>1</v>
      </c>
      <c r="BA56">
        <v>1</v>
      </c>
      <c r="BJ56">
        <v>1</v>
      </c>
      <c r="BQ56">
        <v>1</v>
      </c>
      <c r="BW56">
        <v>1</v>
      </c>
      <c r="BY56">
        <v>230</v>
      </c>
      <c r="BZ56">
        <v>173</v>
      </c>
    </row>
    <row r="57" spans="1:78" x14ac:dyDescent="0.25">
      <c r="A57" s="1">
        <v>42719</v>
      </c>
      <c r="B57" t="s">
        <v>293</v>
      </c>
      <c r="C57" t="s">
        <v>35</v>
      </c>
      <c r="E57">
        <v>4</v>
      </c>
      <c r="F57">
        <v>18</v>
      </c>
      <c r="G57">
        <v>24</v>
      </c>
      <c r="H57">
        <v>39</v>
      </c>
      <c r="I57">
        <v>46</v>
      </c>
      <c r="J57">
        <v>47</v>
      </c>
      <c r="K57">
        <v>10</v>
      </c>
      <c r="M57">
        <v>1</v>
      </c>
      <c r="N57">
        <v>2</v>
      </c>
      <c r="O57">
        <v>1</v>
      </c>
      <c r="P57">
        <v>1</v>
      </c>
      <c r="Q57">
        <v>2</v>
      </c>
      <c r="S57">
        <v>188</v>
      </c>
      <c r="U57">
        <v>3</v>
      </c>
      <c r="V57">
        <v>4</v>
      </c>
      <c r="X57">
        <v>2</v>
      </c>
      <c r="Y57">
        <v>5</v>
      </c>
      <c r="AD57">
        <v>1</v>
      </c>
      <c r="AJ57">
        <v>1</v>
      </c>
      <c r="AR57">
        <v>1</v>
      </c>
      <c r="AX57">
        <v>1</v>
      </c>
      <c r="BM57">
        <v>1</v>
      </c>
      <c r="BT57">
        <v>1</v>
      </c>
      <c r="BU57">
        <v>1</v>
      </c>
      <c r="BY57">
        <v>211</v>
      </c>
      <c r="BZ57">
        <v>153</v>
      </c>
    </row>
    <row r="58" spans="1:78" x14ac:dyDescent="0.25">
      <c r="A58" s="1">
        <v>42716</v>
      </c>
      <c r="B58" t="s">
        <v>294</v>
      </c>
      <c r="C58" t="s">
        <v>36</v>
      </c>
      <c r="E58">
        <v>2</v>
      </c>
      <c r="F58">
        <v>14</v>
      </c>
      <c r="G58">
        <v>31</v>
      </c>
      <c r="H58">
        <v>36</v>
      </c>
      <c r="I58">
        <v>43</v>
      </c>
      <c r="J58">
        <v>46</v>
      </c>
      <c r="K58">
        <v>39</v>
      </c>
      <c r="M58">
        <v>1</v>
      </c>
      <c r="N58">
        <v>1</v>
      </c>
      <c r="O58">
        <v>0</v>
      </c>
      <c r="P58">
        <v>3</v>
      </c>
      <c r="Q58">
        <v>2</v>
      </c>
      <c r="S58">
        <v>211</v>
      </c>
      <c r="U58">
        <v>5</v>
      </c>
      <c r="V58">
        <v>2</v>
      </c>
      <c r="X58">
        <v>3</v>
      </c>
      <c r="Y58">
        <v>4</v>
      </c>
      <c r="AB58">
        <v>1</v>
      </c>
      <c r="AN58">
        <v>1</v>
      </c>
      <c r="BE58">
        <v>1</v>
      </c>
      <c r="BJ58">
        <v>1</v>
      </c>
      <c r="BM58">
        <v>1</v>
      </c>
      <c r="BQ58">
        <v>1</v>
      </c>
      <c r="BT58">
        <v>1</v>
      </c>
      <c r="BY58">
        <v>239</v>
      </c>
      <c r="BZ58">
        <v>185</v>
      </c>
    </row>
    <row r="59" spans="1:78" x14ac:dyDescent="0.25">
      <c r="A59" s="1">
        <v>42712</v>
      </c>
      <c r="B59" t="s">
        <v>295</v>
      </c>
      <c r="C59" t="s">
        <v>37</v>
      </c>
      <c r="E59">
        <v>6</v>
      </c>
      <c r="F59">
        <v>8</v>
      </c>
      <c r="G59">
        <v>11</v>
      </c>
      <c r="H59">
        <v>24</v>
      </c>
      <c r="I59">
        <v>37</v>
      </c>
      <c r="J59">
        <v>46</v>
      </c>
      <c r="K59">
        <v>23</v>
      </c>
      <c r="M59">
        <v>2</v>
      </c>
      <c r="N59">
        <v>1</v>
      </c>
      <c r="O59">
        <v>2</v>
      </c>
      <c r="P59">
        <v>1</v>
      </c>
      <c r="Q59">
        <v>1</v>
      </c>
      <c r="S59">
        <v>155</v>
      </c>
      <c r="U59">
        <v>2</v>
      </c>
      <c r="V59">
        <v>5</v>
      </c>
      <c r="X59">
        <v>3</v>
      </c>
      <c r="Y59">
        <v>4</v>
      </c>
      <c r="AF59">
        <v>1</v>
      </c>
      <c r="AH59">
        <v>1</v>
      </c>
      <c r="AK59">
        <v>1</v>
      </c>
      <c r="AW59">
        <v>1</v>
      </c>
      <c r="AX59">
        <v>1</v>
      </c>
      <c r="BK59">
        <v>1</v>
      </c>
      <c r="BT59">
        <v>1</v>
      </c>
      <c r="BY59">
        <v>181</v>
      </c>
      <c r="BZ59">
        <v>124</v>
      </c>
    </row>
    <row r="60" spans="1:78" x14ac:dyDescent="0.25">
      <c r="A60" s="1">
        <v>42709</v>
      </c>
      <c r="B60" t="s">
        <v>296</v>
      </c>
      <c r="C60" t="s">
        <v>38</v>
      </c>
      <c r="E60">
        <v>5</v>
      </c>
      <c r="F60">
        <v>9</v>
      </c>
      <c r="G60">
        <v>11</v>
      </c>
      <c r="H60">
        <v>19</v>
      </c>
      <c r="I60">
        <v>24</v>
      </c>
      <c r="J60">
        <v>37</v>
      </c>
      <c r="K60">
        <v>36</v>
      </c>
      <c r="M60">
        <v>2</v>
      </c>
      <c r="N60">
        <v>2</v>
      </c>
      <c r="O60">
        <v>1</v>
      </c>
      <c r="P60">
        <v>2</v>
      </c>
      <c r="Q60">
        <v>0</v>
      </c>
      <c r="S60">
        <v>141</v>
      </c>
      <c r="U60">
        <v>2</v>
      </c>
      <c r="V60">
        <v>5</v>
      </c>
      <c r="X60">
        <v>5</v>
      </c>
      <c r="Y60">
        <v>2</v>
      </c>
      <c r="AE60">
        <v>1</v>
      </c>
      <c r="AI60">
        <v>1</v>
      </c>
      <c r="AK60">
        <v>1</v>
      </c>
      <c r="AS60">
        <v>1</v>
      </c>
      <c r="AX60">
        <v>1</v>
      </c>
      <c r="BJ60">
        <v>1</v>
      </c>
      <c r="BK60">
        <v>1</v>
      </c>
      <c r="BY60">
        <v>160</v>
      </c>
      <c r="BZ60">
        <v>105</v>
      </c>
    </row>
    <row r="61" spans="1:78" x14ac:dyDescent="0.25">
      <c r="A61" s="1">
        <v>42705</v>
      </c>
      <c r="B61" t="s">
        <v>273</v>
      </c>
      <c r="C61" t="s">
        <v>39</v>
      </c>
      <c r="E61">
        <v>3</v>
      </c>
      <c r="F61">
        <v>4</v>
      </c>
      <c r="G61">
        <v>8</v>
      </c>
      <c r="H61">
        <v>19</v>
      </c>
      <c r="I61">
        <v>24</v>
      </c>
      <c r="J61">
        <v>46</v>
      </c>
      <c r="K61">
        <v>12</v>
      </c>
      <c r="M61">
        <v>3</v>
      </c>
      <c r="N61">
        <v>2</v>
      </c>
      <c r="O61">
        <v>1</v>
      </c>
      <c r="P61">
        <v>0</v>
      </c>
      <c r="Q61">
        <v>1</v>
      </c>
      <c r="S61">
        <v>116</v>
      </c>
      <c r="U61">
        <v>1</v>
      </c>
      <c r="V61">
        <v>6</v>
      </c>
      <c r="X61">
        <v>2</v>
      </c>
      <c r="Y61">
        <v>5</v>
      </c>
      <c r="AC61">
        <v>1</v>
      </c>
      <c r="AD61">
        <v>1</v>
      </c>
      <c r="AH61">
        <v>1</v>
      </c>
      <c r="AL61">
        <v>1</v>
      </c>
      <c r="AS61">
        <v>1</v>
      </c>
      <c r="AX61">
        <v>1</v>
      </c>
      <c r="BT61">
        <v>1</v>
      </c>
      <c r="BY61">
        <v>139</v>
      </c>
      <c r="BZ61">
        <v>87</v>
      </c>
    </row>
    <row r="62" spans="1:78" x14ac:dyDescent="0.25">
      <c r="A62" s="1">
        <v>42702</v>
      </c>
      <c r="B62" t="s">
        <v>297</v>
      </c>
      <c r="C62" t="s">
        <v>40</v>
      </c>
      <c r="E62">
        <v>2</v>
      </c>
      <c r="F62">
        <v>4</v>
      </c>
      <c r="G62">
        <v>15</v>
      </c>
      <c r="H62">
        <v>24</v>
      </c>
      <c r="I62">
        <v>37</v>
      </c>
      <c r="J62">
        <v>48</v>
      </c>
      <c r="K62">
        <v>6</v>
      </c>
      <c r="M62">
        <v>3</v>
      </c>
      <c r="N62">
        <v>1</v>
      </c>
      <c r="O62">
        <v>1</v>
      </c>
      <c r="P62">
        <v>1</v>
      </c>
      <c r="Q62">
        <v>1</v>
      </c>
      <c r="S62">
        <v>136</v>
      </c>
      <c r="U62">
        <v>2</v>
      </c>
      <c r="V62">
        <v>5</v>
      </c>
      <c r="X62">
        <v>2</v>
      </c>
      <c r="Y62">
        <v>5</v>
      </c>
      <c r="AB62">
        <v>1</v>
      </c>
      <c r="AD62">
        <v>1</v>
      </c>
      <c r="AF62">
        <v>1</v>
      </c>
      <c r="AO62">
        <v>1</v>
      </c>
      <c r="AX62">
        <v>1</v>
      </c>
      <c r="BK62">
        <v>1</v>
      </c>
      <c r="BV62">
        <v>1</v>
      </c>
      <c r="BY62">
        <v>160</v>
      </c>
      <c r="BZ62">
        <v>106</v>
      </c>
    </row>
    <row r="63" spans="1:78" x14ac:dyDescent="0.25">
      <c r="A63" s="1">
        <v>42698</v>
      </c>
      <c r="B63" t="s">
        <v>298</v>
      </c>
      <c r="C63" t="s">
        <v>41</v>
      </c>
      <c r="E63">
        <v>2</v>
      </c>
      <c r="F63">
        <v>3</v>
      </c>
      <c r="G63">
        <v>17</v>
      </c>
      <c r="H63">
        <v>19</v>
      </c>
      <c r="I63">
        <v>22</v>
      </c>
      <c r="J63">
        <v>40</v>
      </c>
      <c r="K63">
        <v>20</v>
      </c>
      <c r="M63">
        <v>2</v>
      </c>
      <c r="N63">
        <v>2</v>
      </c>
      <c r="O63">
        <v>2</v>
      </c>
      <c r="P63">
        <v>0</v>
      </c>
      <c r="Q63">
        <v>1</v>
      </c>
      <c r="S63">
        <v>123</v>
      </c>
      <c r="U63">
        <v>1</v>
      </c>
      <c r="V63">
        <v>6</v>
      </c>
      <c r="X63">
        <v>3</v>
      </c>
      <c r="Y63">
        <v>4</v>
      </c>
      <c r="AB63">
        <v>1</v>
      </c>
      <c r="AC63">
        <v>1</v>
      </c>
      <c r="AQ63">
        <v>1</v>
      </c>
      <c r="AS63">
        <v>1</v>
      </c>
      <c r="AT63">
        <v>1</v>
      </c>
      <c r="AV63">
        <v>1</v>
      </c>
      <c r="BN63">
        <v>1</v>
      </c>
      <c r="BY63">
        <v>160</v>
      </c>
      <c r="BZ63">
        <v>105</v>
      </c>
    </row>
    <row r="64" spans="1:78" x14ac:dyDescent="0.25">
      <c r="A64" s="1">
        <v>42695</v>
      </c>
      <c r="B64" t="s">
        <v>299</v>
      </c>
      <c r="C64" t="s">
        <v>42</v>
      </c>
      <c r="E64">
        <v>4</v>
      </c>
      <c r="F64">
        <v>21</v>
      </c>
      <c r="G64">
        <v>25</v>
      </c>
      <c r="H64">
        <v>40</v>
      </c>
      <c r="I64">
        <v>47</v>
      </c>
      <c r="J64">
        <v>48</v>
      </c>
      <c r="K64">
        <v>49</v>
      </c>
      <c r="M64">
        <v>1</v>
      </c>
      <c r="N64">
        <v>0</v>
      </c>
      <c r="O64">
        <v>2</v>
      </c>
      <c r="P64">
        <v>0</v>
      </c>
      <c r="Q64">
        <v>4</v>
      </c>
      <c r="S64">
        <v>234</v>
      </c>
      <c r="U64">
        <v>5</v>
      </c>
      <c r="V64">
        <v>2</v>
      </c>
      <c r="X64">
        <v>4</v>
      </c>
      <c r="Y64">
        <v>3</v>
      </c>
      <c r="AD64">
        <v>1</v>
      </c>
      <c r="AU64">
        <v>1</v>
      </c>
      <c r="AY64">
        <v>1</v>
      </c>
      <c r="BN64">
        <v>1</v>
      </c>
      <c r="BU64">
        <v>1</v>
      </c>
      <c r="BV64">
        <v>1</v>
      </c>
      <c r="BW64">
        <v>1</v>
      </c>
      <c r="BY64">
        <v>256</v>
      </c>
      <c r="BZ64">
        <v>208</v>
      </c>
    </row>
    <row r="65" spans="1:78" x14ac:dyDescent="0.25">
      <c r="A65" s="1">
        <v>42691</v>
      </c>
      <c r="B65" t="s">
        <v>272</v>
      </c>
      <c r="C65" t="s">
        <v>43</v>
      </c>
      <c r="E65">
        <v>1</v>
      </c>
      <c r="F65">
        <v>21</v>
      </c>
      <c r="G65">
        <v>31</v>
      </c>
      <c r="H65">
        <v>36</v>
      </c>
      <c r="I65">
        <v>39</v>
      </c>
      <c r="J65">
        <v>43</v>
      </c>
      <c r="K65">
        <v>38</v>
      </c>
      <c r="M65">
        <v>1</v>
      </c>
      <c r="N65">
        <v>0</v>
      </c>
      <c r="O65">
        <v>1</v>
      </c>
      <c r="P65">
        <v>4</v>
      </c>
      <c r="Q65">
        <v>1</v>
      </c>
      <c r="S65">
        <v>209</v>
      </c>
      <c r="U65">
        <v>5</v>
      </c>
      <c r="V65">
        <v>2</v>
      </c>
      <c r="X65">
        <v>5</v>
      </c>
      <c r="Y65">
        <v>2</v>
      </c>
      <c r="AA65">
        <v>1</v>
      </c>
      <c r="AU65">
        <v>1</v>
      </c>
      <c r="BE65">
        <v>1</v>
      </c>
      <c r="BJ65">
        <v>1</v>
      </c>
      <c r="BL65">
        <v>1</v>
      </c>
      <c r="BM65">
        <v>1</v>
      </c>
      <c r="BQ65">
        <v>1</v>
      </c>
      <c r="BY65">
        <v>237</v>
      </c>
      <c r="BZ65">
        <v>187</v>
      </c>
    </row>
    <row r="66" spans="1:78" x14ac:dyDescent="0.25">
      <c r="A66" s="1">
        <v>42688</v>
      </c>
      <c r="B66" t="s">
        <v>300</v>
      </c>
      <c r="C66" t="s">
        <v>44</v>
      </c>
      <c r="E66">
        <v>8</v>
      </c>
      <c r="F66">
        <v>10</v>
      </c>
      <c r="G66">
        <v>15</v>
      </c>
      <c r="H66">
        <v>31</v>
      </c>
      <c r="I66">
        <v>38</v>
      </c>
      <c r="J66">
        <v>40</v>
      </c>
      <c r="K66">
        <v>19</v>
      </c>
      <c r="M66">
        <v>1</v>
      </c>
      <c r="N66">
        <v>3</v>
      </c>
      <c r="O66">
        <v>0</v>
      </c>
      <c r="P66">
        <v>2</v>
      </c>
      <c r="Q66">
        <v>1</v>
      </c>
      <c r="S66">
        <v>161</v>
      </c>
      <c r="U66">
        <v>3</v>
      </c>
      <c r="V66">
        <v>4</v>
      </c>
      <c r="X66">
        <v>3</v>
      </c>
      <c r="Y66">
        <v>4</v>
      </c>
      <c r="AH66">
        <v>1</v>
      </c>
      <c r="AJ66">
        <v>1</v>
      </c>
      <c r="AO66">
        <v>1</v>
      </c>
      <c r="AS66">
        <v>1</v>
      </c>
      <c r="BE66">
        <v>1</v>
      </c>
      <c r="BL66">
        <v>1</v>
      </c>
      <c r="BN66">
        <v>1</v>
      </c>
      <c r="BY66">
        <v>189</v>
      </c>
      <c r="BZ66">
        <v>135</v>
      </c>
    </row>
    <row r="67" spans="1:78" x14ac:dyDescent="0.25">
      <c r="A67" s="1">
        <v>42684</v>
      </c>
      <c r="B67" t="s">
        <v>301</v>
      </c>
      <c r="C67" t="s">
        <v>45</v>
      </c>
      <c r="E67">
        <v>17</v>
      </c>
      <c r="F67">
        <v>22</v>
      </c>
      <c r="G67">
        <v>26</v>
      </c>
      <c r="H67">
        <v>34</v>
      </c>
      <c r="I67">
        <v>41</v>
      </c>
      <c r="J67">
        <v>47</v>
      </c>
      <c r="K67">
        <v>42</v>
      </c>
      <c r="M67">
        <v>0</v>
      </c>
      <c r="N67">
        <v>1</v>
      </c>
      <c r="O67">
        <v>2</v>
      </c>
      <c r="P67">
        <v>1</v>
      </c>
      <c r="Q67">
        <v>3</v>
      </c>
      <c r="S67">
        <v>229</v>
      </c>
      <c r="U67">
        <v>5</v>
      </c>
      <c r="V67">
        <v>2</v>
      </c>
      <c r="X67">
        <v>3</v>
      </c>
      <c r="Y67">
        <v>4</v>
      </c>
      <c r="AQ67">
        <v>1</v>
      </c>
      <c r="AV67">
        <v>1</v>
      </c>
      <c r="AZ67">
        <v>1</v>
      </c>
      <c r="BH67">
        <v>1</v>
      </c>
      <c r="BO67">
        <v>1</v>
      </c>
      <c r="BP67">
        <v>1</v>
      </c>
      <c r="BU67">
        <v>1</v>
      </c>
      <c r="BY67">
        <v>259</v>
      </c>
      <c r="BZ67">
        <v>204</v>
      </c>
    </row>
    <row r="68" spans="1:78" x14ac:dyDescent="0.25">
      <c r="A68" s="1">
        <v>42681</v>
      </c>
      <c r="B68" t="s">
        <v>302</v>
      </c>
      <c r="C68" t="s">
        <v>46</v>
      </c>
      <c r="E68">
        <v>1</v>
      </c>
      <c r="F68">
        <v>13</v>
      </c>
      <c r="G68">
        <v>21</v>
      </c>
      <c r="H68">
        <v>41</v>
      </c>
      <c r="I68">
        <v>48</v>
      </c>
      <c r="J68">
        <v>49</v>
      </c>
      <c r="K68">
        <v>22</v>
      </c>
      <c r="M68">
        <v>1</v>
      </c>
      <c r="N68">
        <v>1</v>
      </c>
      <c r="O68">
        <v>2</v>
      </c>
      <c r="P68">
        <v>0</v>
      </c>
      <c r="Q68">
        <v>3</v>
      </c>
      <c r="S68">
        <v>195</v>
      </c>
      <c r="U68">
        <v>3</v>
      </c>
      <c r="V68">
        <v>4</v>
      </c>
      <c r="X68">
        <v>5</v>
      </c>
      <c r="Y68">
        <v>2</v>
      </c>
      <c r="AA68">
        <v>1</v>
      </c>
      <c r="AM68">
        <v>1</v>
      </c>
      <c r="AU68">
        <v>1</v>
      </c>
      <c r="AV68">
        <v>1</v>
      </c>
      <c r="BO68">
        <v>1</v>
      </c>
      <c r="BV68">
        <v>1</v>
      </c>
      <c r="BW68">
        <v>1</v>
      </c>
      <c r="BY68">
        <v>229</v>
      </c>
      <c r="BZ68">
        <v>175</v>
      </c>
    </row>
    <row r="69" spans="1:78" x14ac:dyDescent="0.25">
      <c r="A69" s="1">
        <v>42677</v>
      </c>
      <c r="B69" t="s">
        <v>303</v>
      </c>
      <c r="C69" t="s">
        <v>47</v>
      </c>
      <c r="E69">
        <v>1</v>
      </c>
      <c r="F69">
        <v>11</v>
      </c>
      <c r="G69">
        <v>19</v>
      </c>
      <c r="H69">
        <v>26</v>
      </c>
      <c r="I69">
        <v>35</v>
      </c>
      <c r="J69">
        <v>39</v>
      </c>
      <c r="K69">
        <v>14</v>
      </c>
      <c r="M69">
        <v>1</v>
      </c>
      <c r="N69">
        <v>3</v>
      </c>
      <c r="O69">
        <v>1</v>
      </c>
      <c r="P69">
        <v>2</v>
      </c>
      <c r="Q69">
        <v>0</v>
      </c>
      <c r="S69">
        <v>145</v>
      </c>
      <c r="U69">
        <v>3</v>
      </c>
      <c r="V69">
        <v>4</v>
      </c>
      <c r="X69">
        <v>5</v>
      </c>
      <c r="Y69">
        <v>2</v>
      </c>
      <c r="AA69">
        <v>1</v>
      </c>
      <c r="AK69">
        <v>1</v>
      </c>
      <c r="AN69">
        <v>1</v>
      </c>
      <c r="AS69">
        <v>1</v>
      </c>
      <c r="AZ69">
        <v>1</v>
      </c>
      <c r="BI69">
        <v>1</v>
      </c>
      <c r="BM69">
        <v>1</v>
      </c>
      <c r="BY69">
        <v>169</v>
      </c>
      <c r="BZ69">
        <v>115</v>
      </c>
    </row>
    <row r="70" spans="1:78" x14ac:dyDescent="0.25">
      <c r="A70" s="1">
        <v>42674</v>
      </c>
      <c r="B70" t="s">
        <v>304</v>
      </c>
      <c r="C70" t="s">
        <v>48</v>
      </c>
      <c r="E70">
        <v>14</v>
      </c>
      <c r="F70">
        <v>19</v>
      </c>
      <c r="G70">
        <v>24</v>
      </c>
      <c r="H70">
        <v>32</v>
      </c>
      <c r="I70">
        <v>36</v>
      </c>
      <c r="J70">
        <v>42</v>
      </c>
      <c r="K70">
        <v>35</v>
      </c>
      <c r="M70">
        <v>0</v>
      </c>
      <c r="N70">
        <v>2</v>
      </c>
      <c r="O70">
        <v>1</v>
      </c>
      <c r="P70">
        <v>3</v>
      </c>
      <c r="Q70">
        <v>1</v>
      </c>
      <c r="S70">
        <v>202</v>
      </c>
      <c r="U70">
        <v>4</v>
      </c>
      <c r="V70">
        <v>3</v>
      </c>
      <c r="X70">
        <v>2</v>
      </c>
      <c r="Y70">
        <v>5</v>
      </c>
      <c r="AN70">
        <v>1</v>
      </c>
      <c r="AS70">
        <v>1</v>
      </c>
      <c r="AX70">
        <v>1</v>
      </c>
      <c r="BF70">
        <v>1</v>
      </c>
      <c r="BI70">
        <v>1</v>
      </c>
      <c r="BJ70">
        <v>1</v>
      </c>
      <c r="BP70">
        <v>1</v>
      </c>
      <c r="BY70">
        <v>229</v>
      </c>
      <c r="BZ70">
        <v>174</v>
      </c>
    </row>
    <row r="71" spans="1:78" x14ac:dyDescent="0.25">
      <c r="A71" s="1">
        <v>42670</v>
      </c>
      <c r="B71" t="s">
        <v>305</v>
      </c>
      <c r="C71" t="s">
        <v>49</v>
      </c>
      <c r="E71">
        <v>3</v>
      </c>
      <c r="F71">
        <v>5</v>
      </c>
      <c r="G71">
        <v>8</v>
      </c>
      <c r="H71">
        <v>21</v>
      </c>
      <c r="I71">
        <v>40</v>
      </c>
      <c r="J71">
        <v>46</v>
      </c>
      <c r="K71">
        <v>30</v>
      </c>
      <c r="M71">
        <v>3</v>
      </c>
      <c r="N71">
        <v>0</v>
      </c>
      <c r="O71">
        <v>1</v>
      </c>
      <c r="P71">
        <v>1</v>
      </c>
      <c r="Q71">
        <v>2</v>
      </c>
      <c r="S71">
        <v>153</v>
      </c>
      <c r="U71">
        <v>3</v>
      </c>
      <c r="V71">
        <v>4</v>
      </c>
      <c r="X71">
        <v>3</v>
      </c>
      <c r="Y71">
        <v>4</v>
      </c>
      <c r="AC71">
        <v>1</v>
      </c>
      <c r="AE71">
        <v>1</v>
      </c>
      <c r="AH71">
        <v>1</v>
      </c>
      <c r="AU71">
        <v>1</v>
      </c>
      <c r="BD71">
        <v>1</v>
      </c>
      <c r="BN71">
        <v>1</v>
      </c>
      <c r="BT71">
        <v>1</v>
      </c>
      <c r="BY71">
        <v>189</v>
      </c>
      <c r="BZ71">
        <v>137</v>
      </c>
    </row>
    <row r="72" spans="1:78" x14ac:dyDescent="0.25">
      <c r="A72" s="1">
        <v>42667</v>
      </c>
      <c r="B72" t="s">
        <v>280</v>
      </c>
      <c r="C72" t="s">
        <v>50</v>
      </c>
      <c r="E72">
        <v>2</v>
      </c>
      <c r="F72">
        <v>15</v>
      </c>
      <c r="G72">
        <v>18</v>
      </c>
      <c r="H72">
        <v>24</v>
      </c>
      <c r="I72">
        <v>34</v>
      </c>
      <c r="J72">
        <v>35</v>
      </c>
      <c r="K72">
        <v>48</v>
      </c>
      <c r="M72">
        <v>1</v>
      </c>
      <c r="N72">
        <v>2</v>
      </c>
      <c r="O72">
        <v>1</v>
      </c>
      <c r="P72">
        <v>2</v>
      </c>
      <c r="Q72">
        <v>1</v>
      </c>
      <c r="S72">
        <v>176</v>
      </c>
      <c r="U72">
        <v>3</v>
      </c>
      <c r="V72">
        <v>4</v>
      </c>
      <c r="X72">
        <v>2</v>
      </c>
      <c r="Y72">
        <v>5</v>
      </c>
      <c r="AB72">
        <v>1</v>
      </c>
      <c r="AO72">
        <v>1</v>
      </c>
      <c r="AR72">
        <v>1</v>
      </c>
      <c r="AX72">
        <v>1</v>
      </c>
      <c r="BH72">
        <v>1</v>
      </c>
      <c r="BI72">
        <v>1</v>
      </c>
      <c r="BV72">
        <v>1</v>
      </c>
      <c r="BY72">
        <v>201</v>
      </c>
      <c r="BZ72">
        <v>143</v>
      </c>
    </row>
    <row r="73" spans="1:78" x14ac:dyDescent="0.25">
      <c r="A73" s="1">
        <v>42663</v>
      </c>
      <c r="B73" t="s">
        <v>274</v>
      </c>
      <c r="C73" t="s">
        <v>51</v>
      </c>
      <c r="E73">
        <v>5</v>
      </c>
      <c r="F73">
        <v>14</v>
      </c>
      <c r="G73">
        <v>20</v>
      </c>
      <c r="H73">
        <v>23</v>
      </c>
      <c r="I73">
        <v>36</v>
      </c>
      <c r="J73">
        <v>49</v>
      </c>
      <c r="K73">
        <v>30</v>
      </c>
      <c r="M73">
        <v>1</v>
      </c>
      <c r="N73">
        <v>1</v>
      </c>
      <c r="O73">
        <v>2</v>
      </c>
      <c r="P73">
        <v>2</v>
      </c>
      <c r="Q73">
        <v>1</v>
      </c>
      <c r="S73">
        <v>177</v>
      </c>
      <c r="U73">
        <v>3</v>
      </c>
      <c r="V73">
        <v>4</v>
      </c>
      <c r="X73">
        <v>3</v>
      </c>
      <c r="Y73">
        <v>4</v>
      </c>
      <c r="AE73">
        <v>1</v>
      </c>
      <c r="AN73">
        <v>1</v>
      </c>
      <c r="AT73">
        <v>1</v>
      </c>
      <c r="AW73">
        <v>1</v>
      </c>
      <c r="BD73">
        <v>1</v>
      </c>
      <c r="BJ73">
        <v>1</v>
      </c>
      <c r="BW73">
        <v>1</v>
      </c>
      <c r="BY73">
        <v>211</v>
      </c>
      <c r="BZ73">
        <v>153</v>
      </c>
    </row>
    <row r="74" spans="1:78" x14ac:dyDescent="0.25">
      <c r="A74" s="1">
        <v>42660</v>
      </c>
      <c r="B74" t="s">
        <v>305</v>
      </c>
      <c r="C74" t="s">
        <v>52</v>
      </c>
      <c r="E74">
        <v>3</v>
      </c>
      <c r="F74">
        <v>7</v>
      </c>
      <c r="G74">
        <v>9</v>
      </c>
      <c r="H74">
        <v>27</v>
      </c>
      <c r="I74">
        <v>39</v>
      </c>
      <c r="J74">
        <v>44</v>
      </c>
      <c r="K74">
        <v>48</v>
      </c>
      <c r="M74">
        <v>3</v>
      </c>
      <c r="N74">
        <v>0</v>
      </c>
      <c r="O74">
        <v>1</v>
      </c>
      <c r="P74">
        <v>1</v>
      </c>
      <c r="Q74">
        <v>2</v>
      </c>
      <c r="S74">
        <v>177</v>
      </c>
      <c r="U74">
        <v>4</v>
      </c>
      <c r="V74">
        <v>3</v>
      </c>
      <c r="X74">
        <v>5</v>
      </c>
      <c r="Y74">
        <v>2</v>
      </c>
      <c r="AC74">
        <v>1</v>
      </c>
      <c r="AG74">
        <v>1</v>
      </c>
      <c r="AI74">
        <v>1</v>
      </c>
      <c r="BA74">
        <v>1</v>
      </c>
      <c r="BM74">
        <v>1</v>
      </c>
      <c r="BR74">
        <v>1</v>
      </c>
      <c r="BV74">
        <v>1</v>
      </c>
      <c r="BY74">
        <v>189</v>
      </c>
      <c r="BZ74">
        <v>137</v>
      </c>
    </row>
    <row r="75" spans="1:78" x14ac:dyDescent="0.25">
      <c r="A75" s="1">
        <v>42656</v>
      </c>
      <c r="B75" t="s">
        <v>306</v>
      </c>
      <c r="C75" t="s">
        <v>53</v>
      </c>
      <c r="E75">
        <v>16</v>
      </c>
      <c r="F75">
        <v>20</v>
      </c>
      <c r="G75">
        <v>31</v>
      </c>
      <c r="H75">
        <v>32</v>
      </c>
      <c r="I75">
        <v>40</v>
      </c>
      <c r="J75">
        <v>41</v>
      </c>
      <c r="K75">
        <v>13</v>
      </c>
      <c r="M75">
        <v>0</v>
      </c>
      <c r="N75">
        <v>2</v>
      </c>
      <c r="O75">
        <v>1</v>
      </c>
      <c r="P75">
        <v>2</v>
      </c>
      <c r="Q75">
        <v>2</v>
      </c>
      <c r="S75">
        <v>193</v>
      </c>
      <c r="U75">
        <v>4</v>
      </c>
      <c r="V75">
        <v>3</v>
      </c>
      <c r="X75">
        <v>3</v>
      </c>
      <c r="Y75">
        <v>4</v>
      </c>
      <c r="AM75">
        <v>1</v>
      </c>
      <c r="AP75">
        <v>1</v>
      </c>
      <c r="AT75">
        <v>1</v>
      </c>
      <c r="BE75">
        <v>1</v>
      </c>
      <c r="BF75">
        <v>1</v>
      </c>
      <c r="BN75">
        <v>1</v>
      </c>
      <c r="BO75">
        <v>1</v>
      </c>
      <c r="BY75">
        <v>240</v>
      </c>
      <c r="BZ75">
        <v>183</v>
      </c>
    </row>
    <row r="76" spans="1:78" x14ac:dyDescent="0.25">
      <c r="A76" s="1">
        <v>42653</v>
      </c>
      <c r="B76" t="s">
        <v>289</v>
      </c>
      <c r="C76" t="s">
        <v>54</v>
      </c>
      <c r="E76">
        <v>3</v>
      </c>
      <c r="F76">
        <v>18</v>
      </c>
      <c r="G76">
        <v>24</v>
      </c>
      <c r="H76">
        <v>30</v>
      </c>
      <c r="I76">
        <v>35</v>
      </c>
      <c r="J76">
        <v>49</v>
      </c>
      <c r="K76">
        <v>44</v>
      </c>
      <c r="M76">
        <v>1</v>
      </c>
      <c r="N76">
        <v>1</v>
      </c>
      <c r="O76">
        <v>1</v>
      </c>
      <c r="P76">
        <v>2</v>
      </c>
      <c r="Q76">
        <v>2</v>
      </c>
      <c r="S76">
        <v>203</v>
      </c>
      <c r="U76">
        <v>4</v>
      </c>
      <c r="V76">
        <v>3</v>
      </c>
      <c r="X76">
        <v>3</v>
      </c>
      <c r="Y76">
        <v>4</v>
      </c>
      <c r="AC76">
        <v>1</v>
      </c>
      <c r="AR76">
        <v>1</v>
      </c>
      <c r="AX76">
        <v>1</v>
      </c>
      <c r="BD76">
        <v>1</v>
      </c>
      <c r="BI76">
        <v>1</v>
      </c>
      <c r="BR76">
        <v>1</v>
      </c>
      <c r="BW76">
        <v>1</v>
      </c>
      <c r="BY76">
        <v>231</v>
      </c>
      <c r="BZ76">
        <v>173</v>
      </c>
    </row>
    <row r="77" spans="1:78" x14ac:dyDescent="0.25">
      <c r="A77" s="1">
        <v>42649</v>
      </c>
      <c r="B77" t="s">
        <v>307</v>
      </c>
      <c r="C77" t="s">
        <v>55</v>
      </c>
      <c r="E77">
        <v>6</v>
      </c>
      <c r="F77">
        <v>13</v>
      </c>
      <c r="G77">
        <v>19</v>
      </c>
      <c r="H77">
        <v>25</v>
      </c>
      <c r="I77">
        <v>26</v>
      </c>
      <c r="J77">
        <v>39</v>
      </c>
      <c r="K77">
        <v>35</v>
      </c>
      <c r="M77">
        <v>1</v>
      </c>
      <c r="N77">
        <v>2</v>
      </c>
      <c r="O77">
        <v>2</v>
      </c>
      <c r="P77">
        <v>2</v>
      </c>
      <c r="Q77">
        <v>0</v>
      </c>
      <c r="S77">
        <v>163</v>
      </c>
      <c r="U77">
        <v>4</v>
      </c>
      <c r="V77">
        <v>3</v>
      </c>
      <c r="X77">
        <v>5</v>
      </c>
      <c r="Y77">
        <v>2</v>
      </c>
      <c r="AF77">
        <v>1</v>
      </c>
      <c r="AM77">
        <v>1</v>
      </c>
      <c r="AS77">
        <v>1</v>
      </c>
      <c r="AY77">
        <v>1</v>
      </c>
      <c r="AZ77">
        <v>1</v>
      </c>
      <c r="BI77">
        <v>1</v>
      </c>
      <c r="BM77">
        <v>1</v>
      </c>
      <c r="BY77">
        <v>180</v>
      </c>
      <c r="BZ77">
        <v>124</v>
      </c>
    </row>
    <row r="78" spans="1:78" x14ac:dyDescent="0.25">
      <c r="A78" s="1">
        <v>42646</v>
      </c>
      <c r="B78" t="s">
        <v>308</v>
      </c>
      <c r="C78" t="s">
        <v>56</v>
      </c>
      <c r="E78">
        <v>6</v>
      </c>
      <c r="F78">
        <v>9</v>
      </c>
      <c r="G78">
        <v>14</v>
      </c>
      <c r="H78">
        <v>27</v>
      </c>
      <c r="I78">
        <v>28</v>
      </c>
      <c r="J78">
        <v>46</v>
      </c>
      <c r="K78">
        <v>2</v>
      </c>
      <c r="M78">
        <v>3</v>
      </c>
      <c r="N78">
        <v>1</v>
      </c>
      <c r="O78">
        <v>2</v>
      </c>
      <c r="P78">
        <v>0</v>
      </c>
      <c r="Q78">
        <v>1</v>
      </c>
      <c r="S78">
        <v>132</v>
      </c>
      <c r="U78">
        <v>3</v>
      </c>
      <c r="V78">
        <v>4</v>
      </c>
      <c r="X78">
        <v>2</v>
      </c>
      <c r="Y78">
        <v>5</v>
      </c>
      <c r="AB78">
        <v>1</v>
      </c>
      <c r="AF78">
        <v>1</v>
      </c>
      <c r="AI78">
        <v>1</v>
      </c>
      <c r="AN78">
        <v>1</v>
      </c>
      <c r="BA78">
        <v>1</v>
      </c>
      <c r="BB78">
        <v>1</v>
      </c>
      <c r="BT78">
        <v>1</v>
      </c>
      <c r="BY78">
        <v>149</v>
      </c>
      <c r="BZ78">
        <v>97</v>
      </c>
    </row>
    <row r="79" spans="1:78" x14ac:dyDescent="0.25">
      <c r="A79" s="1">
        <v>42642</v>
      </c>
      <c r="B79" t="s">
        <v>309</v>
      </c>
      <c r="C79" t="s">
        <v>57</v>
      </c>
      <c r="E79">
        <v>1</v>
      </c>
      <c r="F79">
        <v>3</v>
      </c>
      <c r="G79">
        <v>4</v>
      </c>
      <c r="H79">
        <v>24</v>
      </c>
      <c r="I79">
        <v>34</v>
      </c>
      <c r="J79">
        <v>48</v>
      </c>
      <c r="K79">
        <v>29</v>
      </c>
      <c r="M79">
        <v>3</v>
      </c>
      <c r="N79">
        <v>0</v>
      </c>
      <c r="O79">
        <v>2</v>
      </c>
      <c r="P79">
        <v>1</v>
      </c>
      <c r="Q79">
        <v>1</v>
      </c>
      <c r="S79">
        <v>143</v>
      </c>
      <c r="U79">
        <v>3</v>
      </c>
      <c r="V79">
        <v>4</v>
      </c>
      <c r="X79">
        <v>3</v>
      </c>
      <c r="Y79">
        <v>4</v>
      </c>
      <c r="AA79">
        <v>1</v>
      </c>
      <c r="AC79">
        <v>1</v>
      </c>
      <c r="AD79">
        <v>1</v>
      </c>
      <c r="AX79">
        <v>1</v>
      </c>
      <c r="BC79">
        <v>1</v>
      </c>
      <c r="BH79">
        <v>1</v>
      </c>
      <c r="BV79">
        <v>1</v>
      </c>
      <c r="BY79">
        <v>169</v>
      </c>
      <c r="BZ79">
        <v>117</v>
      </c>
    </row>
    <row r="80" spans="1:78" x14ac:dyDescent="0.25">
      <c r="A80" s="1">
        <v>42639</v>
      </c>
      <c r="B80" t="s">
        <v>295</v>
      </c>
      <c r="C80" t="s">
        <v>58</v>
      </c>
      <c r="E80">
        <v>6</v>
      </c>
      <c r="F80">
        <v>9</v>
      </c>
      <c r="G80">
        <v>15</v>
      </c>
      <c r="H80">
        <v>27</v>
      </c>
      <c r="I80">
        <v>37</v>
      </c>
      <c r="J80">
        <v>48</v>
      </c>
      <c r="K80">
        <v>24</v>
      </c>
      <c r="M80">
        <v>2</v>
      </c>
      <c r="N80">
        <v>1</v>
      </c>
      <c r="O80">
        <v>2</v>
      </c>
      <c r="P80">
        <v>1</v>
      </c>
      <c r="Q80">
        <v>1</v>
      </c>
      <c r="S80">
        <v>166</v>
      </c>
      <c r="U80">
        <v>3</v>
      </c>
      <c r="V80">
        <v>4</v>
      </c>
      <c r="X80">
        <v>4</v>
      </c>
      <c r="Y80">
        <v>3</v>
      </c>
      <c r="AF80">
        <v>1</v>
      </c>
      <c r="AI80">
        <v>1</v>
      </c>
      <c r="AO80">
        <v>1</v>
      </c>
      <c r="AX80">
        <v>1</v>
      </c>
      <c r="BA80">
        <v>1</v>
      </c>
      <c r="BK80">
        <v>1</v>
      </c>
      <c r="BV80">
        <v>1</v>
      </c>
      <c r="BY80">
        <v>181</v>
      </c>
      <c r="BZ80">
        <v>124</v>
      </c>
    </row>
    <row r="81" spans="1:78" x14ac:dyDescent="0.25">
      <c r="A81" s="1">
        <v>42635</v>
      </c>
      <c r="B81" t="s">
        <v>310</v>
      </c>
      <c r="C81" t="s">
        <v>59</v>
      </c>
      <c r="E81">
        <v>8</v>
      </c>
      <c r="F81">
        <v>11</v>
      </c>
      <c r="G81">
        <v>28</v>
      </c>
      <c r="H81">
        <v>34</v>
      </c>
      <c r="I81">
        <v>40</v>
      </c>
      <c r="J81">
        <v>46</v>
      </c>
      <c r="K81">
        <v>48</v>
      </c>
      <c r="M81">
        <v>1</v>
      </c>
      <c r="N81">
        <v>1</v>
      </c>
      <c r="O81">
        <v>1</v>
      </c>
      <c r="P81">
        <v>1</v>
      </c>
      <c r="Q81">
        <v>3</v>
      </c>
      <c r="S81">
        <v>215</v>
      </c>
      <c r="U81">
        <v>5</v>
      </c>
      <c r="V81">
        <v>2</v>
      </c>
      <c r="X81">
        <v>1</v>
      </c>
      <c r="Y81">
        <v>6</v>
      </c>
      <c r="AH81">
        <v>1</v>
      </c>
      <c r="AK81">
        <v>1</v>
      </c>
      <c r="BB81">
        <v>1</v>
      </c>
      <c r="BH81">
        <v>1</v>
      </c>
      <c r="BN81">
        <v>1</v>
      </c>
      <c r="BT81">
        <v>1</v>
      </c>
      <c r="BV81">
        <v>1</v>
      </c>
      <c r="BY81">
        <v>240</v>
      </c>
      <c r="BZ81">
        <v>184</v>
      </c>
    </row>
    <row r="82" spans="1:78" x14ac:dyDescent="0.25">
      <c r="A82" s="1">
        <v>42632</v>
      </c>
      <c r="B82" t="s">
        <v>306</v>
      </c>
      <c r="C82" t="s">
        <v>60</v>
      </c>
      <c r="E82">
        <v>14</v>
      </c>
      <c r="F82">
        <v>17</v>
      </c>
      <c r="G82">
        <v>26</v>
      </c>
      <c r="H82">
        <v>31</v>
      </c>
      <c r="I82">
        <v>41</v>
      </c>
      <c r="J82">
        <v>45</v>
      </c>
      <c r="K82">
        <v>30</v>
      </c>
      <c r="M82">
        <v>0</v>
      </c>
      <c r="N82">
        <v>2</v>
      </c>
      <c r="O82">
        <v>1</v>
      </c>
      <c r="P82">
        <v>2</v>
      </c>
      <c r="Q82">
        <v>2</v>
      </c>
      <c r="S82">
        <v>204</v>
      </c>
      <c r="U82">
        <v>5</v>
      </c>
      <c r="V82">
        <v>2</v>
      </c>
      <c r="X82">
        <v>4</v>
      </c>
      <c r="Y82">
        <v>3</v>
      </c>
      <c r="AN82">
        <v>1</v>
      </c>
      <c r="AQ82">
        <v>1</v>
      </c>
      <c r="AZ82">
        <v>1</v>
      </c>
      <c r="BD82">
        <v>1</v>
      </c>
      <c r="BE82">
        <v>1</v>
      </c>
      <c r="BO82">
        <v>1</v>
      </c>
      <c r="BS82">
        <v>1</v>
      </c>
      <c r="BY82">
        <v>240</v>
      </c>
      <c r="BZ82">
        <v>183</v>
      </c>
    </row>
    <row r="83" spans="1:78" x14ac:dyDescent="0.25">
      <c r="A83" s="1">
        <v>42628</v>
      </c>
      <c r="B83" t="s">
        <v>311</v>
      </c>
      <c r="C83" t="s">
        <v>61</v>
      </c>
      <c r="E83">
        <v>2</v>
      </c>
      <c r="F83">
        <v>20</v>
      </c>
      <c r="G83">
        <v>21</v>
      </c>
      <c r="H83">
        <v>25</v>
      </c>
      <c r="I83">
        <v>27</v>
      </c>
      <c r="J83">
        <v>38</v>
      </c>
      <c r="K83">
        <v>28</v>
      </c>
      <c r="M83">
        <v>1</v>
      </c>
      <c r="N83">
        <v>0</v>
      </c>
      <c r="O83">
        <v>5</v>
      </c>
      <c r="P83">
        <v>1</v>
      </c>
      <c r="Q83">
        <v>0</v>
      </c>
      <c r="S83">
        <v>161</v>
      </c>
      <c r="U83">
        <v>4</v>
      </c>
      <c r="V83">
        <v>3</v>
      </c>
      <c r="X83">
        <v>3</v>
      </c>
      <c r="Y83">
        <v>4</v>
      </c>
      <c r="AB83">
        <v>1</v>
      </c>
      <c r="AT83">
        <v>1</v>
      </c>
      <c r="AU83">
        <v>1</v>
      </c>
      <c r="AY83">
        <v>1</v>
      </c>
      <c r="BA83">
        <v>1</v>
      </c>
      <c r="BB83">
        <v>1</v>
      </c>
      <c r="BL83">
        <v>1</v>
      </c>
      <c r="BY83">
        <v>183</v>
      </c>
      <c r="BZ83">
        <v>141</v>
      </c>
    </row>
    <row r="84" spans="1:78" x14ac:dyDescent="0.25">
      <c r="A84" s="1">
        <v>42625</v>
      </c>
      <c r="B84" t="s">
        <v>312</v>
      </c>
      <c r="C84" t="s">
        <v>62</v>
      </c>
      <c r="E84">
        <v>3</v>
      </c>
      <c r="F84">
        <v>10</v>
      </c>
      <c r="G84">
        <v>18</v>
      </c>
      <c r="H84">
        <v>22</v>
      </c>
      <c r="I84">
        <v>48</v>
      </c>
      <c r="J84">
        <v>49</v>
      </c>
      <c r="K84">
        <v>41</v>
      </c>
      <c r="M84">
        <v>1</v>
      </c>
      <c r="N84">
        <v>2</v>
      </c>
      <c r="O84">
        <v>1</v>
      </c>
      <c r="P84">
        <v>0</v>
      </c>
      <c r="Q84">
        <v>3</v>
      </c>
      <c r="S84">
        <v>191</v>
      </c>
      <c r="U84">
        <v>3</v>
      </c>
      <c r="V84">
        <v>4</v>
      </c>
      <c r="X84">
        <v>3</v>
      </c>
      <c r="Y84">
        <v>4</v>
      </c>
      <c r="AC84">
        <v>1</v>
      </c>
      <c r="AJ84">
        <v>1</v>
      </c>
      <c r="AR84">
        <v>1</v>
      </c>
      <c r="AV84">
        <v>1</v>
      </c>
      <c r="BO84">
        <v>1</v>
      </c>
      <c r="BV84">
        <v>1</v>
      </c>
      <c r="BW84">
        <v>1</v>
      </c>
      <c r="BY84">
        <v>219</v>
      </c>
      <c r="BZ84">
        <v>165</v>
      </c>
    </row>
    <row r="85" spans="1:78" x14ac:dyDescent="0.25">
      <c r="A85" s="1">
        <v>42621</v>
      </c>
      <c r="B85" t="s">
        <v>313</v>
      </c>
      <c r="C85" t="s">
        <v>63</v>
      </c>
      <c r="E85">
        <v>4</v>
      </c>
      <c r="F85">
        <v>6</v>
      </c>
      <c r="G85">
        <v>11</v>
      </c>
      <c r="H85">
        <v>13</v>
      </c>
      <c r="I85">
        <v>26</v>
      </c>
      <c r="J85">
        <v>31</v>
      </c>
      <c r="K85">
        <v>17</v>
      </c>
      <c r="M85">
        <v>2</v>
      </c>
      <c r="N85">
        <v>3</v>
      </c>
      <c r="O85">
        <v>1</v>
      </c>
      <c r="P85">
        <v>1</v>
      </c>
      <c r="Q85">
        <v>0</v>
      </c>
      <c r="S85">
        <v>108</v>
      </c>
      <c r="U85">
        <v>2</v>
      </c>
      <c r="V85">
        <v>5</v>
      </c>
      <c r="X85">
        <v>4</v>
      </c>
      <c r="Y85">
        <v>3</v>
      </c>
      <c r="AD85">
        <v>1</v>
      </c>
      <c r="AF85">
        <v>1</v>
      </c>
      <c r="AK85">
        <v>1</v>
      </c>
      <c r="AM85">
        <v>1</v>
      </c>
      <c r="AQ85">
        <v>1</v>
      </c>
      <c r="AZ85">
        <v>1</v>
      </c>
      <c r="BE85">
        <v>1</v>
      </c>
      <c r="BY85">
        <v>139</v>
      </c>
      <c r="BZ85">
        <v>86</v>
      </c>
    </row>
    <row r="86" spans="1:78" x14ac:dyDescent="0.25">
      <c r="A86" s="1">
        <v>42618</v>
      </c>
      <c r="B86" t="s">
        <v>297</v>
      </c>
      <c r="C86" t="s">
        <v>64</v>
      </c>
      <c r="E86">
        <v>3</v>
      </c>
      <c r="F86">
        <v>9</v>
      </c>
      <c r="G86">
        <v>14</v>
      </c>
      <c r="H86">
        <v>21</v>
      </c>
      <c r="I86">
        <v>32</v>
      </c>
      <c r="J86">
        <v>40</v>
      </c>
      <c r="K86">
        <v>7</v>
      </c>
      <c r="M86">
        <v>3</v>
      </c>
      <c r="N86">
        <v>1</v>
      </c>
      <c r="O86">
        <v>1</v>
      </c>
      <c r="P86">
        <v>1</v>
      </c>
      <c r="Q86">
        <v>1</v>
      </c>
      <c r="S86">
        <v>126</v>
      </c>
      <c r="U86">
        <v>2</v>
      </c>
      <c r="V86">
        <v>5</v>
      </c>
      <c r="X86">
        <v>4</v>
      </c>
      <c r="Y86">
        <v>3</v>
      </c>
      <c r="AC86">
        <v>1</v>
      </c>
      <c r="AG86">
        <v>1</v>
      </c>
      <c r="AI86">
        <v>1</v>
      </c>
      <c r="AN86">
        <v>1</v>
      </c>
      <c r="AU86">
        <v>1</v>
      </c>
      <c r="BF86">
        <v>1</v>
      </c>
      <c r="BN86">
        <v>1</v>
      </c>
      <c r="BY86">
        <v>160</v>
      </c>
      <c r="BZ86">
        <v>106</v>
      </c>
    </row>
    <row r="87" spans="1:78" x14ac:dyDescent="0.25">
      <c r="A87" s="1">
        <v>42614</v>
      </c>
      <c r="B87" t="s">
        <v>273</v>
      </c>
      <c r="C87" t="s">
        <v>65</v>
      </c>
      <c r="E87">
        <v>3</v>
      </c>
      <c r="F87">
        <v>4</v>
      </c>
      <c r="G87">
        <v>12</v>
      </c>
      <c r="H87">
        <v>15</v>
      </c>
      <c r="I87">
        <v>28</v>
      </c>
      <c r="J87">
        <v>48</v>
      </c>
      <c r="K87">
        <v>8</v>
      </c>
      <c r="M87">
        <v>3</v>
      </c>
      <c r="N87">
        <v>2</v>
      </c>
      <c r="O87">
        <v>1</v>
      </c>
      <c r="P87">
        <v>0</v>
      </c>
      <c r="Q87">
        <v>1</v>
      </c>
      <c r="S87">
        <v>118</v>
      </c>
      <c r="U87">
        <v>2</v>
      </c>
      <c r="V87">
        <v>5</v>
      </c>
      <c r="X87">
        <v>2</v>
      </c>
      <c r="Y87">
        <v>5</v>
      </c>
      <c r="AC87">
        <v>1</v>
      </c>
      <c r="AD87">
        <v>1</v>
      </c>
      <c r="AH87">
        <v>1</v>
      </c>
      <c r="AL87">
        <v>1</v>
      </c>
      <c r="AO87">
        <v>1</v>
      </c>
      <c r="BB87">
        <v>1</v>
      </c>
      <c r="BV87">
        <v>1</v>
      </c>
      <c r="BY87">
        <v>139</v>
      </c>
      <c r="BZ87">
        <v>87</v>
      </c>
    </row>
    <row r="88" spans="1:78" x14ac:dyDescent="0.25">
      <c r="A88" s="1">
        <v>42611</v>
      </c>
      <c r="B88" t="s">
        <v>306</v>
      </c>
      <c r="C88" t="s">
        <v>66</v>
      </c>
      <c r="E88">
        <v>11</v>
      </c>
      <c r="F88">
        <v>19</v>
      </c>
      <c r="G88">
        <v>23</v>
      </c>
      <c r="H88">
        <v>32</v>
      </c>
      <c r="I88">
        <v>48</v>
      </c>
      <c r="J88">
        <v>49</v>
      </c>
      <c r="K88">
        <v>34</v>
      </c>
      <c r="M88">
        <v>0</v>
      </c>
      <c r="N88">
        <v>2</v>
      </c>
      <c r="O88">
        <v>1</v>
      </c>
      <c r="P88">
        <v>2</v>
      </c>
      <c r="Q88">
        <v>2</v>
      </c>
      <c r="S88">
        <v>216</v>
      </c>
      <c r="U88">
        <v>4</v>
      </c>
      <c r="V88">
        <v>3</v>
      </c>
      <c r="X88">
        <v>4</v>
      </c>
      <c r="Y88">
        <v>3</v>
      </c>
      <c r="AK88">
        <v>1</v>
      </c>
      <c r="AS88">
        <v>1</v>
      </c>
      <c r="AW88">
        <v>1</v>
      </c>
      <c r="BF88">
        <v>1</v>
      </c>
      <c r="BH88">
        <v>1</v>
      </c>
      <c r="BV88">
        <v>1</v>
      </c>
      <c r="BW88">
        <v>1</v>
      </c>
      <c r="BY88">
        <v>240</v>
      </c>
      <c r="BZ88">
        <v>183</v>
      </c>
    </row>
    <row r="89" spans="1:78" x14ac:dyDescent="0.25">
      <c r="A89" s="1">
        <v>42607</v>
      </c>
      <c r="B89" t="s">
        <v>314</v>
      </c>
      <c r="C89" t="s">
        <v>67</v>
      </c>
      <c r="E89">
        <v>5</v>
      </c>
      <c r="F89">
        <v>6</v>
      </c>
      <c r="G89">
        <v>11</v>
      </c>
      <c r="H89">
        <v>25</v>
      </c>
      <c r="I89">
        <v>35</v>
      </c>
      <c r="J89">
        <v>40</v>
      </c>
      <c r="K89">
        <v>44</v>
      </c>
      <c r="M89">
        <v>2</v>
      </c>
      <c r="N89">
        <v>1</v>
      </c>
      <c r="O89">
        <v>1</v>
      </c>
      <c r="P89">
        <v>1</v>
      </c>
      <c r="Q89">
        <v>2</v>
      </c>
      <c r="S89">
        <v>166</v>
      </c>
      <c r="U89">
        <v>4</v>
      </c>
      <c r="V89">
        <v>3</v>
      </c>
      <c r="X89">
        <v>4</v>
      </c>
      <c r="Y89">
        <v>3</v>
      </c>
      <c r="AE89">
        <v>1</v>
      </c>
      <c r="AF89">
        <v>1</v>
      </c>
      <c r="AK89">
        <v>1</v>
      </c>
      <c r="AY89">
        <v>1</v>
      </c>
      <c r="BI89">
        <v>1</v>
      </c>
      <c r="BN89">
        <v>1</v>
      </c>
      <c r="BR89">
        <v>1</v>
      </c>
      <c r="BY89">
        <v>201</v>
      </c>
      <c r="BZ89">
        <v>144</v>
      </c>
    </row>
    <row r="90" spans="1:78" x14ac:dyDescent="0.25">
      <c r="A90" s="1">
        <v>42604</v>
      </c>
      <c r="B90" t="s">
        <v>315</v>
      </c>
      <c r="C90" t="s">
        <v>68</v>
      </c>
      <c r="E90">
        <v>1</v>
      </c>
      <c r="F90">
        <v>10</v>
      </c>
      <c r="G90">
        <v>35</v>
      </c>
      <c r="H90">
        <v>36</v>
      </c>
      <c r="I90">
        <v>41</v>
      </c>
      <c r="J90">
        <v>49</v>
      </c>
      <c r="K90">
        <v>48</v>
      </c>
      <c r="M90">
        <v>1</v>
      </c>
      <c r="N90">
        <v>1</v>
      </c>
      <c r="O90">
        <v>0</v>
      </c>
      <c r="P90">
        <v>2</v>
      </c>
      <c r="Q90">
        <v>3</v>
      </c>
      <c r="S90">
        <v>220</v>
      </c>
      <c r="U90">
        <v>5</v>
      </c>
      <c r="V90">
        <v>2</v>
      </c>
      <c r="X90">
        <v>4</v>
      </c>
      <c r="Y90">
        <v>3</v>
      </c>
      <c r="AA90">
        <v>1</v>
      </c>
      <c r="AJ90">
        <v>1</v>
      </c>
      <c r="BI90">
        <v>1</v>
      </c>
      <c r="BJ90">
        <v>1</v>
      </c>
      <c r="BO90">
        <v>1</v>
      </c>
      <c r="BV90">
        <v>1</v>
      </c>
      <c r="BW90">
        <v>1</v>
      </c>
      <c r="BY90">
        <v>249</v>
      </c>
      <c r="BZ90">
        <v>195</v>
      </c>
    </row>
    <row r="91" spans="1:78" x14ac:dyDescent="0.25">
      <c r="A91" s="1">
        <v>42600</v>
      </c>
      <c r="B91" t="s">
        <v>316</v>
      </c>
      <c r="C91" t="s">
        <v>69</v>
      </c>
      <c r="E91">
        <v>2</v>
      </c>
      <c r="F91">
        <v>10</v>
      </c>
      <c r="G91">
        <v>11</v>
      </c>
      <c r="H91">
        <v>21</v>
      </c>
      <c r="I91">
        <v>26</v>
      </c>
      <c r="J91">
        <v>36</v>
      </c>
      <c r="K91">
        <v>18</v>
      </c>
      <c r="M91">
        <v>1</v>
      </c>
      <c r="N91">
        <v>3</v>
      </c>
      <c r="O91">
        <v>2</v>
      </c>
      <c r="P91">
        <v>1</v>
      </c>
      <c r="Q91">
        <v>0</v>
      </c>
      <c r="S91">
        <v>124</v>
      </c>
      <c r="U91">
        <v>2</v>
      </c>
      <c r="V91">
        <v>5</v>
      </c>
      <c r="X91">
        <v>2</v>
      </c>
      <c r="Y91">
        <v>5</v>
      </c>
      <c r="AB91">
        <v>1</v>
      </c>
      <c r="AJ91">
        <v>1</v>
      </c>
      <c r="AK91">
        <v>1</v>
      </c>
      <c r="AR91">
        <v>1</v>
      </c>
      <c r="AU91">
        <v>1</v>
      </c>
      <c r="AZ91">
        <v>1</v>
      </c>
      <c r="BJ91">
        <v>1</v>
      </c>
      <c r="BY91">
        <v>159</v>
      </c>
      <c r="BZ91">
        <v>105</v>
      </c>
    </row>
    <row r="92" spans="1:78" x14ac:dyDescent="0.25">
      <c r="A92" s="1">
        <v>42597</v>
      </c>
      <c r="B92" t="s">
        <v>317</v>
      </c>
      <c r="C92" t="s">
        <v>70</v>
      </c>
      <c r="E92">
        <v>3</v>
      </c>
      <c r="F92">
        <v>16</v>
      </c>
      <c r="G92">
        <v>18</v>
      </c>
      <c r="H92">
        <v>31</v>
      </c>
      <c r="I92">
        <v>35</v>
      </c>
      <c r="J92">
        <v>38</v>
      </c>
      <c r="K92">
        <v>29</v>
      </c>
      <c r="M92">
        <v>1</v>
      </c>
      <c r="N92">
        <v>2</v>
      </c>
      <c r="O92">
        <v>1</v>
      </c>
      <c r="P92">
        <v>3</v>
      </c>
      <c r="Q92">
        <v>0</v>
      </c>
      <c r="S92">
        <v>170</v>
      </c>
      <c r="U92">
        <v>4</v>
      </c>
      <c r="V92">
        <v>3</v>
      </c>
      <c r="X92">
        <v>4</v>
      </c>
      <c r="Y92">
        <v>3</v>
      </c>
      <c r="AC92">
        <v>1</v>
      </c>
      <c r="AP92">
        <v>1</v>
      </c>
      <c r="AR92">
        <v>1</v>
      </c>
      <c r="BC92">
        <v>1</v>
      </c>
      <c r="BE92">
        <v>1</v>
      </c>
      <c r="BI92">
        <v>1</v>
      </c>
      <c r="BL92">
        <v>1</v>
      </c>
      <c r="BY92">
        <v>189</v>
      </c>
      <c r="BZ92">
        <v>135</v>
      </c>
    </row>
    <row r="93" spans="1:78" x14ac:dyDescent="0.25">
      <c r="A93" s="1">
        <v>42593</v>
      </c>
      <c r="B93" t="s">
        <v>318</v>
      </c>
      <c r="C93" t="s">
        <v>71</v>
      </c>
      <c r="E93">
        <v>13</v>
      </c>
      <c r="F93">
        <v>22</v>
      </c>
      <c r="G93">
        <v>30</v>
      </c>
      <c r="H93">
        <v>32</v>
      </c>
      <c r="I93">
        <v>45</v>
      </c>
      <c r="J93">
        <v>46</v>
      </c>
      <c r="K93">
        <v>29</v>
      </c>
      <c r="M93">
        <v>0</v>
      </c>
      <c r="N93">
        <v>1</v>
      </c>
      <c r="O93">
        <v>2</v>
      </c>
      <c r="P93">
        <v>2</v>
      </c>
      <c r="Q93">
        <v>2</v>
      </c>
      <c r="S93">
        <v>217</v>
      </c>
      <c r="U93">
        <v>5</v>
      </c>
      <c r="V93">
        <v>2</v>
      </c>
      <c r="X93">
        <v>3</v>
      </c>
      <c r="Y93">
        <v>4</v>
      </c>
      <c r="AM93">
        <v>1</v>
      </c>
      <c r="AV93">
        <v>1</v>
      </c>
      <c r="BC93">
        <v>1</v>
      </c>
      <c r="BD93">
        <v>1</v>
      </c>
      <c r="BF93">
        <v>1</v>
      </c>
      <c r="BS93">
        <v>1</v>
      </c>
      <c r="BT93">
        <v>1</v>
      </c>
      <c r="BY93">
        <v>250</v>
      </c>
      <c r="BZ93">
        <v>193</v>
      </c>
    </row>
    <row r="94" spans="1:78" x14ac:dyDescent="0.25">
      <c r="A94" s="1">
        <v>42590</v>
      </c>
      <c r="B94" t="s">
        <v>319</v>
      </c>
      <c r="C94" t="s">
        <v>72</v>
      </c>
      <c r="E94">
        <v>4</v>
      </c>
      <c r="F94">
        <v>9</v>
      </c>
      <c r="G94">
        <v>23</v>
      </c>
      <c r="H94">
        <v>26</v>
      </c>
      <c r="I94">
        <v>34</v>
      </c>
      <c r="J94">
        <v>44</v>
      </c>
      <c r="K94">
        <v>21</v>
      </c>
      <c r="M94">
        <v>2</v>
      </c>
      <c r="N94">
        <v>0</v>
      </c>
      <c r="O94">
        <v>3</v>
      </c>
      <c r="P94">
        <v>1</v>
      </c>
      <c r="Q94">
        <v>1</v>
      </c>
      <c r="S94">
        <v>161</v>
      </c>
      <c r="U94">
        <v>3</v>
      </c>
      <c r="V94">
        <v>4</v>
      </c>
      <c r="X94">
        <v>3</v>
      </c>
      <c r="Y94">
        <v>4</v>
      </c>
      <c r="AD94">
        <v>1</v>
      </c>
      <c r="AI94">
        <v>1</v>
      </c>
      <c r="AU94">
        <v>1</v>
      </c>
      <c r="AW94">
        <v>1</v>
      </c>
      <c r="AZ94">
        <v>1</v>
      </c>
      <c r="BH94">
        <v>1</v>
      </c>
      <c r="BR94">
        <v>1</v>
      </c>
      <c r="BY94">
        <v>189</v>
      </c>
      <c r="BZ94">
        <v>136</v>
      </c>
    </row>
    <row r="95" spans="1:78" x14ac:dyDescent="0.25">
      <c r="A95" s="1">
        <v>42586</v>
      </c>
      <c r="B95" t="s">
        <v>320</v>
      </c>
      <c r="C95" t="s">
        <v>73</v>
      </c>
      <c r="E95">
        <v>1</v>
      </c>
      <c r="F95">
        <v>8</v>
      </c>
      <c r="G95">
        <v>29</v>
      </c>
      <c r="H95">
        <v>31</v>
      </c>
      <c r="I95">
        <v>37</v>
      </c>
      <c r="J95">
        <v>42</v>
      </c>
      <c r="K95">
        <v>23</v>
      </c>
      <c r="M95">
        <v>2</v>
      </c>
      <c r="N95">
        <v>0</v>
      </c>
      <c r="O95">
        <v>2</v>
      </c>
      <c r="P95">
        <v>2</v>
      </c>
      <c r="Q95">
        <v>1</v>
      </c>
      <c r="S95">
        <v>171</v>
      </c>
      <c r="U95">
        <v>4</v>
      </c>
      <c r="V95">
        <v>3</v>
      </c>
      <c r="X95">
        <v>5</v>
      </c>
      <c r="Y95">
        <v>2</v>
      </c>
      <c r="AA95">
        <v>1</v>
      </c>
      <c r="AH95">
        <v>1</v>
      </c>
      <c r="AW95">
        <v>1</v>
      </c>
      <c r="BC95">
        <v>1</v>
      </c>
      <c r="BE95">
        <v>1</v>
      </c>
      <c r="BK95">
        <v>1</v>
      </c>
      <c r="BP95">
        <v>1</v>
      </c>
      <c r="BY95">
        <v>200</v>
      </c>
      <c r="BZ95">
        <v>145</v>
      </c>
    </row>
    <row r="96" spans="1:78" x14ac:dyDescent="0.25">
      <c r="A96" s="1">
        <v>42583</v>
      </c>
      <c r="B96" t="s">
        <v>321</v>
      </c>
      <c r="C96" t="s">
        <v>74</v>
      </c>
      <c r="E96">
        <v>6</v>
      </c>
      <c r="F96">
        <v>14</v>
      </c>
      <c r="G96">
        <v>24</v>
      </c>
      <c r="H96">
        <v>36</v>
      </c>
      <c r="I96">
        <v>37</v>
      </c>
      <c r="J96">
        <v>39</v>
      </c>
      <c r="K96">
        <v>27</v>
      </c>
      <c r="M96">
        <v>1</v>
      </c>
      <c r="N96">
        <v>1</v>
      </c>
      <c r="O96">
        <v>2</v>
      </c>
      <c r="P96">
        <v>3</v>
      </c>
      <c r="Q96">
        <v>0</v>
      </c>
      <c r="S96">
        <v>183</v>
      </c>
      <c r="U96">
        <v>4</v>
      </c>
      <c r="V96">
        <v>3</v>
      </c>
      <c r="X96">
        <v>3</v>
      </c>
      <c r="Y96">
        <v>4</v>
      </c>
      <c r="AF96">
        <v>1</v>
      </c>
      <c r="AN96">
        <v>1</v>
      </c>
      <c r="AX96">
        <v>1</v>
      </c>
      <c r="BA96">
        <v>1</v>
      </c>
      <c r="BJ96">
        <v>1</v>
      </c>
      <c r="BK96">
        <v>1</v>
      </c>
      <c r="BM96">
        <v>1</v>
      </c>
      <c r="BY96">
        <v>199</v>
      </c>
      <c r="BZ96">
        <v>145</v>
      </c>
    </row>
    <row r="97" spans="1:78" x14ac:dyDescent="0.25">
      <c r="A97" s="1">
        <v>42579</v>
      </c>
      <c r="B97" t="s">
        <v>322</v>
      </c>
      <c r="C97" t="s">
        <v>75</v>
      </c>
      <c r="E97">
        <v>4</v>
      </c>
      <c r="F97">
        <v>6</v>
      </c>
      <c r="G97">
        <v>8</v>
      </c>
      <c r="H97">
        <v>15</v>
      </c>
      <c r="I97">
        <v>29</v>
      </c>
      <c r="J97">
        <v>36</v>
      </c>
      <c r="K97">
        <v>9</v>
      </c>
      <c r="M97">
        <v>4</v>
      </c>
      <c r="N97">
        <v>1</v>
      </c>
      <c r="O97">
        <v>1</v>
      </c>
      <c r="P97">
        <v>1</v>
      </c>
      <c r="Q97">
        <v>0</v>
      </c>
      <c r="S97">
        <v>107</v>
      </c>
      <c r="U97">
        <v>2</v>
      </c>
      <c r="V97">
        <v>5</v>
      </c>
      <c r="X97">
        <v>3</v>
      </c>
      <c r="Y97">
        <v>4</v>
      </c>
      <c r="AD97">
        <v>1</v>
      </c>
      <c r="AF97">
        <v>1</v>
      </c>
      <c r="AH97">
        <v>1</v>
      </c>
      <c r="AI97">
        <v>1</v>
      </c>
      <c r="AO97">
        <v>1</v>
      </c>
      <c r="BC97">
        <v>1</v>
      </c>
      <c r="BJ97">
        <v>1</v>
      </c>
      <c r="BY97">
        <v>117</v>
      </c>
      <c r="BZ97">
        <v>70</v>
      </c>
    </row>
    <row r="98" spans="1:78" x14ac:dyDescent="0.25">
      <c r="A98" s="1">
        <v>42576</v>
      </c>
      <c r="B98" t="s">
        <v>310</v>
      </c>
      <c r="C98" t="s">
        <v>76</v>
      </c>
      <c r="E98">
        <v>6</v>
      </c>
      <c r="F98">
        <v>26</v>
      </c>
      <c r="G98">
        <v>38</v>
      </c>
      <c r="H98">
        <v>40</v>
      </c>
      <c r="I98">
        <v>44</v>
      </c>
      <c r="J98">
        <v>49</v>
      </c>
      <c r="K98">
        <v>16</v>
      </c>
      <c r="M98">
        <v>1</v>
      </c>
      <c r="N98">
        <v>1</v>
      </c>
      <c r="O98">
        <v>1</v>
      </c>
      <c r="P98">
        <v>1</v>
      </c>
      <c r="Q98">
        <v>3</v>
      </c>
      <c r="S98">
        <v>219</v>
      </c>
      <c r="U98">
        <v>5</v>
      </c>
      <c r="V98">
        <v>2</v>
      </c>
      <c r="X98">
        <v>1</v>
      </c>
      <c r="Y98">
        <v>6</v>
      </c>
      <c r="AF98">
        <v>1</v>
      </c>
      <c r="AP98">
        <v>1</v>
      </c>
      <c r="AZ98">
        <v>1</v>
      </c>
      <c r="BL98">
        <v>1</v>
      </c>
      <c r="BN98">
        <v>1</v>
      </c>
      <c r="BR98">
        <v>1</v>
      </c>
      <c r="BW98">
        <v>1</v>
      </c>
      <c r="BY98">
        <v>240</v>
      </c>
      <c r="BZ98">
        <v>184</v>
      </c>
    </row>
    <row r="99" spans="1:78" x14ac:dyDescent="0.25">
      <c r="A99" s="1">
        <v>42572</v>
      </c>
      <c r="B99" t="s">
        <v>262</v>
      </c>
      <c r="C99" t="s">
        <v>77</v>
      </c>
      <c r="E99">
        <v>2</v>
      </c>
      <c r="F99">
        <v>14</v>
      </c>
      <c r="G99">
        <v>18</v>
      </c>
      <c r="H99">
        <v>27</v>
      </c>
      <c r="I99">
        <v>31</v>
      </c>
      <c r="J99">
        <v>44</v>
      </c>
      <c r="K99">
        <v>26</v>
      </c>
      <c r="M99">
        <v>1</v>
      </c>
      <c r="N99">
        <v>2</v>
      </c>
      <c r="O99">
        <v>2</v>
      </c>
      <c r="P99">
        <v>1</v>
      </c>
      <c r="Q99">
        <v>1</v>
      </c>
      <c r="S99">
        <v>162</v>
      </c>
      <c r="U99">
        <v>4</v>
      </c>
      <c r="V99">
        <v>3</v>
      </c>
      <c r="X99">
        <v>2</v>
      </c>
      <c r="Y99">
        <v>5</v>
      </c>
      <c r="AB99">
        <v>1</v>
      </c>
      <c r="AN99">
        <v>1</v>
      </c>
      <c r="AR99">
        <v>1</v>
      </c>
      <c r="AZ99">
        <v>1</v>
      </c>
      <c r="BA99">
        <v>1</v>
      </c>
      <c r="BE99">
        <v>1</v>
      </c>
      <c r="BR99">
        <v>1</v>
      </c>
      <c r="BY99">
        <v>191</v>
      </c>
      <c r="BZ99">
        <v>133</v>
      </c>
    </row>
    <row r="100" spans="1:78" x14ac:dyDescent="0.25">
      <c r="A100" s="1">
        <v>42569</v>
      </c>
      <c r="B100" t="s">
        <v>289</v>
      </c>
      <c r="C100" t="s">
        <v>78</v>
      </c>
      <c r="E100">
        <v>8</v>
      </c>
      <c r="F100">
        <v>11</v>
      </c>
      <c r="G100">
        <v>22</v>
      </c>
      <c r="H100">
        <v>35</v>
      </c>
      <c r="I100">
        <v>36</v>
      </c>
      <c r="J100">
        <v>46</v>
      </c>
      <c r="K100">
        <v>43</v>
      </c>
      <c r="M100">
        <v>1</v>
      </c>
      <c r="N100">
        <v>1</v>
      </c>
      <c r="O100">
        <v>1</v>
      </c>
      <c r="P100">
        <v>2</v>
      </c>
      <c r="Q100">
        <v>2</v>
      </c>
      <c r="S100">
        <v>201</v>
      </c>
      <c r="U100">
        <v>4</v>
      </c>
      <c r="V100">
        <v>3</v>
      </c>
      <c r="X100">
        <v>3</v>
      </c>
      <c r="Y100">
        <v>4</v>
      </c>
      <c r="AH100">
        <v>1</v>
      </c>
      <c r="AK100">
        <v>1</v>
      </c>
      <c r="AV100">
        <v>1</v>
      </c>
      <c r="BI100">
        <v>1</v>
      </c>
      <c r="BJ100">
        <v>1</v>
      </c>
      <c r="BQ100">
        <v>1</v>
      </c>
      <c r="BT100">
        <v>1</v>
      </c>
      <c r="BY100">
        <v>231</v>
      </c>
      <c r="BZ100">
        <v>173</v>
      </c>
    </row>
    <row r="101" spans="1:78" x14ac:dyDescent="0.25">
      <c r="A101" s="1">
        <v>42565</v>
      </c>
      <c r="B101" t="s">
        <v>323</v>
      </c>
      <c r="C101" t="s">
        <v>79</v>
      </c>
      <c r="E101">
        <v>2</v>
      </c>
      <c r="F101">
        <v>11</v>
      </c>
      <c r="G101">
        <v>14</v>
      </c>
      <c r="H101">
        <v>16</v>
      </c>
      <c r="I101">
        <v>31</v>
      </c>
      <c r="J101">
        <v>44</v>
      </c>
      <c r="K101">
        <v>19</v>
      </c>
      <c r="M101">
        <v>1</v>
      </c>
      <c r="N101">
        <v>4</v>
      </c>
      <c r="O101">
        <v>0</v>
      </c>
      <c r="P101">
        <v>1</v>
      </c>
      <c r="Q101">
        <v>1</v>
      </c>
      <c r="S101">
        <v>137</v>
      </c>
      <c r="U101">
        <v>2</v>
      </c>
      <c r="V101">
        <v>5</v>
      </c>
      <c r="X101">
        <v>3</v>
      </c>
      <c r="Y101">
        <v>4</v>
      </c>
      <c r="AB101">
        <v>1</v>
      </c>
      <c r="AK101">
        <v>1</v>
      </c>
      <c r="AN101">
        <v>1</v>
      </c>
      <c r="AP101">
        <v>1</v>
      </c>
      <c r="AS101">
        <v>1</v>
      </c>
      <c r="BE101">
        <v>1</v>
      </c>
      <c r="BR101">
        <v>1</v>
      </c>
      <c r="BY101">
        <v>167</v>
      </c>
      <c r="BZ101">
        <v>117</v>
      </c>
    </row>
    <row r="102" spans="1:78" x14ac:dyDescent="0.25">
      <c r="A102" s="1">
        <v>42562</v>
      </c>
      <c r="B102" t="s">
        <v>321</v>
      </c>
      <c r="C102" t="s">
        <v>80</v>
      </c>
      <c r="E102">
        <v>7</v>
      </c>
      <c r="F102">
        <v>21</v>
      </c>
      <c r="G102">
        <v>22</v>
      </c>
      <c r="H102">
        <v>30</v>
      </c>
      <c r="I102">
        <v>35</v>
      </c>
      <c r="J102">
        <v>39</v>
      </c>
      <c r="K102">
        <v>19</v>
      </c>
      <c r="M102">
        <v>1</v>
      </c>
      <c r="N102">
        <v>1</v>
      </c>
      <c r="O102">
        <v>2</v>
      </c>
      <c r="P102">
        <v>3</v>
      </c>
      <c r="Q102">
        <v>0</v>
      </c>
      <c r="S102">
        <v>173</v>
      </c>
      <c r="U102">
        <v>3</v>
      </c>
      <c r="V102">
        <v>4</v>
      </c>
      <c r="X102">
        <v>5</v>
      </c>
      <c r="Y102">
        <v>2</v>
      </c>
      <c r="AG102">
        <v>1</v>
      </c>
      <c r="AS102">
        <v>1</v>
      </c>
      <c r="AU102">
        <v>1</v>
      </c>
      <c r="AV102">
        <v>1</v>
      </c>
      <c r="BD102">
        <v>1</v>
      </c>
      <c r="BI102">
        <v>1</v>
      </c>
      <c r="BM102">
        <v>1</v>
      </c>
      <c r="BY102">
        <v>199</v>
      </c>
      <c r="BZ102">
        <v>145</v>
      </c>
    </row>
    <row r="103" spans="1:78" x14ac:dyDescent="0.25">
      <c r="A103" s="1">
        <v>42558</v>
      </c>
      <c r="B103" t="s">
        <v>286</v>
      </c>
      <c r="C103" t="s">
        <v>81</v>
      </c>
      <c r="E103">
        <v>4</v>
      </c>
      <c r="F103">
        <v>6</v>
      </c>
      <c r="G103">
        <v>13</v>
      </c>
      <c r="H103">
        <v>15</v>
      </c>
      <c r="I103">
        <v>21</v>
      </c>
      <c r="J103">
        <v>30</v>
      </c>
      <c r="K103">
        <v>49</v>
      </c>
      <c r="M103">
        <v>2</v>
      </c>
      <c r="N103">
        <v>2</v>
      </c>
      <c r="O103">
        <v>1</v>
      </c>
      <c r="P103">
        <v>1</v>
      </c>
      <c r="Q103">
        <v>1</v>
      </c>
      <c r="S103">
        <v>138</v>
      </c>
      <c r="U103">
        <v>2</v>
      </c>
      <c r="V103">
        <v>5</v>
      </c>
      <c r="X103">
        <v>4</v>
      </c>
      <c r="Y103">
        <v>3</v>
      </c>
      <c r="AD103">
        <v>1</v>
      </c>
      <c r="AF103">
        <v>1</v>
      </c>
      <c r="AM103">
        <v>1</v>
      </c>
      <c r="AO103">
        <v>1</v>
      </c>
      <c r="AU103">
        <v>1</v>
      </c>
      <c r="BD103">
        <v>1</v>
      </c>
      <c r="BW103">
        <v>1</v>
      </c>
      <c r="BY103">
        <v>171</v>
      </c>
      <c r="BZ103">
        <v>114</v>
      </c>
    </row>
    <row r="104" spans="1:78" x14ac:dyDescent="0.25">
      <c r="A104" s="1">
        <v>42555</v>
      </c>
      <c r="B104" t="s">
        <v>264</v>
      </c>
      <c r="C104" t="s">
        <v>82</v>
      </c>
      <c r="E104">
        <v>11</v>
      </c>
      <c r="F104">
        <v>18</v>
      </c>
      <c r="G104">
        <v>26</v>
      </c>
      <c r="H104">
        <v>27</v>
      </c>
      <c r="I104">
        <v>34</v>
      </c>
      <c r="J104">
        <v>46</v>
      </c>
      <c r="K104">
        <v>22</v>
      </c>
      <c r="M104">
        <v>0</v>
      </c>
      <c r="N104">
        <v>2</v>
      </c>
      <c r="O104">
        <v>3</v>
      </c>
      <c r="P104">
        <v>1</v>
      </c>
      <c r="Q104">
        <v>1</v>
      </c>
      <c r="S104">
        <v>184</v>
      </c>
      <c r="U104">
        <v>4</v>
      </c>
      <c r="V104">
        <v>3</v>
      </c>
      <c r="X104">
        <v>2</v>
      </c>
      <c r="Y104">
        <v>5</v>
      </c>
      <c r="AK104">
        <v>1</v>
      </c>
      <c r="AR104">
        <v>1</v>
      </c>
      <c r="AV104">
        <v>1</v>
      </c>
      <c r="AZ104">
        <v>1</v>
      </c>
      <c r="BA104">
        <v>1</v>
      </c>
      <c r="BH104">
        <v>1</v>
      </c>
      <c r="BT104">
        <v>1</v>
      </c>
      <c r="BY104">
        <v>209</v>
      </c>
      <c r="BZ104">
        <v>154</v>
      </c>
    </row>
    <row r="105" spans="1:78" x14ac:dyDescent="0.25">
      <c r="A105" s="1">
        <v>42551</v>
      </c>
      <c r="B105" t="s">
        <v>324</v>
      </c>
      <c r="C105" t="s">
        <v>83</v>
      </c>
      <c r="E105">
        <v>11</v>
      </c>
      <c r="F105">
        <v>12</v>
      </c>
      <c r="G105">
        <v>15</v>
      </c>
      <c r="H105">
        <v>16</v>
      </c>
      <c r="I105">
        <v>21</v>
      </c>
      <c r="J105">
        <v>32</v>
      </c>
      <c r="K105">
        <v>47</v>
      </c>
      <c r="M105">
        <v>0</v>
      </c>
      <c r="N105">
        <v>4</v>
      </c>
      <c r="O105">
        <v>1</v>
      </c>
      <c r="P105">
        <v>1</v>
      </c>
      <c r="Q105">
        <v>1</v>
      </c>
      <c r="S105">
        <v>154</v>
      </c>
      <c r="U105">
        <v>2</v>
      </c>
      <c r="V105">
        <v>5</v>
      </c>
      <c r="X105">
        <v>4</v>
      </c>
      <c r="Y105">
        <v>3</v>
      </c>
      <c r="AK105">
        <v>1</v>
      </c>
      <c r="AL105">
        <v>1</v>
      </c>
      <c r="AO105">
        <v>1</v>
      </c>
      <c r="AP105">
        <v>1</v>
      </c>
      <c r="AU105">
        <v>1</v>
      </c>
      <c r="BF105">
        <v>1</v>
      </c>
      <c r="BU105">
        <v>1</v>
      </c>
      <c r="BY105">
        <v>187</v>
      </c>
      <c r="BZ105">
        <v>136</v>
      </c>
    </row>
    <row r="106" spans="1:78" x14ac:dyDescent="0.25">
      <c r="A106" s="1">
        <v>42548</v>
      </c>
      <c r="B106" t="s">
        <v>274</v>
      </c>
      <c r="C106" t="s">
        <v>84</v>
      </c>
      <c r="E106">
        <v>1</v>
      </c>
      <c r="F106">
        <v>12</v>
      </c>
      <c r="G106">
        <v>23</v>
      </c>
      <c r="H106">
        <v>24</v>
      </c>
      <c r="I106">
        <v>38</v>
      </c>
      <c r="J106">
        <v>40</v>
      </c>
      <c r="K106">
        <v>34</v>
      </c>
      <c r="M106">
        <v>1</v>
      </c>
      <c r="N106">
        <v>1</v>
      </c>
      <c r="O106">
        <v>2</v>
      </c>
      <c r="P106">
        <v>2</v>
      </c>
      <c r="Q106">
        <v>1</v>
      </c>
      <c r="S106">
        <v>172</v>
      </c>
      <c r="U106">
        <v>3</v>
      </c>
      <c r="V106">
        <v>4</v>
      </c>
      <c r="X106">
        <v>2</v>
      </c>
      <c r="Y106">
        <v>5</v>
      </c>
      <c r="AA106">
        <v>1</v>
      </c>
      <c r="AL106">
        <v>1</v>
      </c>
      <c r="AW106">
        <v>1</v>
      </c>
      <c r="AX106">
        <v>1</v>
      </c>
      <c r="BH106">
        <v>1</v>
      </c>
      <c r="BL106">
        <v>1</v>
      </c>
      <c r="BN106">
        <v>1</v>
      </c>
      <c r="BY106">
        <v>211</v>
      </c>
      <c r="BZ106">
        <v>153</v>
      </c>
    </row>
    <row r="107" spans="1:78" x14ac:dyDescent="0.25">
      <c r="A107" s="1">
        <v>42544</v>
      </c>
      <c r="B107" t="s">
        <v>325</v>
      </c>
      <c r="C107" t="s">
        <v>85</v>
      </c>
      <c r="E107">
        <v>1</v>
      </c>
      <c r="F107">
        <v>3</v>
      </c>
      <c r="G107">
        <v>5</v>
      </c>
      <c r="H107">
        <v>8</v>
      </c>
      <c r="I107">
        <v>20</v>
      </c>
      <c r="J107">
        <v>44</v>
      </c>
      <c r="K107">
        <v>22</v>
      </c>
      <c r="M107">
        <v>4</v>
      </c>
      <c r="N107">
        <v>0</v>
      </c>
      <c r="O107">
        <v>2</v>
      </c>
      <c r="P107">
        <v>0</v>
      </c>
      <c r="Q107">
        <v>1</v>
      </c>
      <c r="S107">
        <v>103</v>
      </c>
      <c r="U107">
        <v>1</v>
      </c>
      <c r="V107">
        <v>6</v>
      </c>
      <c r="X107">
        <v>3</v>
      </c>
      <c r="Y107">
        <v>4</v>
      </c>
      <c r="AA107">
        <v>1</v>
      </c>
      <c r="AC107">
        <v>1</v>
      </c>
      <c r="AE107">
        <v>1</v>
      </c>
      <c r="AH107">
        <v>1</v>
      </c>
      <c r="AT107">
        <v>1</v>
      </c>
      <c r="AV107">
        <v>1</v>
      </c>
      <c r="BR107">
        <v>1</v>
      </c>
      <c r="BY107">
        <v>136</v>
      </c>
      <c r="BZ107">
        <v>91</v>
      </c>
    </row>
    <row r="108" spans="1:78" x14ac:dyDescent="0.25">
      <c r="A108" s="1">
        <v>42541</v>
      </c>
      <c r="B108" t="s">
        <v>326</v>
      </c>
      <c r="C108" t="s">
        <v>86</v>
      </c>
      <c r="E108">
        <v>4</v>
      </c>
      <c r="F108">
        <v>6</v>
      </c>
      <c r="G108">
        <v>14</v>
      </c>
      <c r="H108">
        <v>18</v>
      </c>
      <c r="I108">
        <v>19</v>
      </c>
      <c r="J108">
        <v>35</v>
      </c>
      <c r="K108">
        <v>42</v>
      </c>
      <c r="M108">
        <v>2</v>
      </c>
      <c r="N108">
        <v>3</v>
      </c>
      <c r="O108">
        <v>0</v>
      </c>
      <c r="P108">
        <v>1</v>
      </c>
      <c r="Q108">
        <v>1</v>
      </c>
      <c r="S108">
        <v>138</v>
      </c>
      <c r="U108">
        <v>2</v>
      </c>
      <c r="V108">
        <v>5</v>
      </c>
      <c r="X108">
        <v>2</v>
      </c>
      <c r="Y108">
        <v>5</v>
      </c>
      <c r="AD108">
        <v>1</v>
      </c>
      <c r="AF108">
        <v>1</v>
      </c>
      <c r="AN108">
        <v>1</v>
      </c>
      <c r="AR108">
        <v>1</v>
      </c>
      <c r="AS108">
        <v>1</v>
      </c>
      <c r="BI108">
        <v>1</v>
      </c>
      <c r="BP108">
        <v>1</v>
      </c>
      <c r="BY108">
        <v>159</v>
      </c>
      <c r="BZ108">
        <v>106</v>
      </c>
    </row>
    <row r="109" spans="1:78" x14ac:dyDescent="0.25">
      <c r="A109" s="1">
        <v>42537</v>
      </c>
      <c r="B109" t="s">
        <v>327</v>
      </c>
      <c r="C109" t="s">
        <v>87</v>
      </c>
      <c r="E109">
        <v>5</v>
      </c>
      <c r="F109">
        <v>11</v>
      </c>
      <c r="G109">
        <v>30</v>
      </c>
      <c r="H109">
        <v>36</v>
      </c>
      <c r="I109">
        <v>44</v>
      </c>
      <c r="J109">
        <v>46</v>
      </c>
      <c r="K109">
        <v>16</v>
      </c>
      <c r="M109">
        <v>1</v>
      </c>
      <c r="N109">
        <v>2</v>
      </c>
      <c r="O109">
        <v>0</v>
      </c>
      <c r="P109">
        <v>2</v>
      </c>
      <c r="Q109">
        <v>2</v>
      </c>
      <c r="S109">
        <v>188</v>
      </c>
      <c r="U109">
        <v>4</v>
      </c>
      <c r="V109">
        <v>3</v>
      </c>
      <c r="X109">
        <v>2</v>
      </c>
      <c r="Y109">
        <v>5</v>
      </c>
      <c r="AE109">
        <v>1</v>
      </c>
      <c r="AK109">
        <v>1</v>
      </c>
      <c r="AP109">
        <v>1</v>
      </c>
      <c r="BD109">
        <v>1</v>
      </c>
      <c r="BJ109">
        <v>1</v>
      </c>
      <c r="BR109">
        <v>1</v>
      </c>
      <c r="BT109">
        <v>1</v>
      </c>
      <c r="BY109">
        <v>220</v>
      </c>
      <c r="BZ109">
        <v>164</v>
      </c>
    </row>
    <row r="110" spans="1:78" x14ac:dyDescent="0.25">
      <c r="A110" s="1">
        <v>42534</v>
      </c>
      <c r="B110" t="s">
        <v>328</v>
      </c>
      <c r="C110" t="s">
        <v>88</v>
      </c>
      <c r="E110">
        <v>6</v>
      </c>
      <c r="F110">
        <v>18</v>
      </c>
      <c r="G110">
        <v>22</v>
      </c>
      <c r="H110">
        <v>24</v>
      </c>
      <c r="I110">
        <v>26</v>
      </c>
      <c r="J110">
        <v>30</v>
      </c>
      <c r="K110">
        <v>36</v>
      </c>
      <c r="M110">
        <v>1</v>
      </c>
      <c r="N110">
        <v>1</v>
      </c>
      <c r="O110">
        <v>3</v>
      </c>
      <c r="P110">
        <v>2</v>
      </c>
      <c r="Q110">
        <v>0</v>
      </c>
      <c r="S110">
        <v>162</v>
      </c>
      <c r="U110">
        <v>3</v>
      </c>
      <c r="V110">
        <v>4</v>
      </c>
      <c r="X110">
        <v>0</v>
      </c>
      <c r="Y110">
        <v>7</v>
      </c>
      <c r="AF110">
        <v>1</v>
      </c>
      <c r="AR110">
        <v>1</v>
      </c>
      <c r="AV110">
        <v>1</v>
      </c>
      <c r="AX110">
        <v>1</v>
      </c>
      <c r="AZ110">
        <v>1</v>
      </c>
      <c r="BD110">
        <v>1</v>
      </c>
      <c r="BJ110">
        <v>1</v>
      </c>
      <c r="BY110">
        <v>189</v>
      </c>
      <c r="BZ110">
        <v>135</v>
      </c>
    </row>
    <row r="111" spans="1:78" x14ac:dyDescent="0.25">
      <c r="A111" s="1">
        <v>42530</v>
      </c>
      <c r="B111" t="s">
        <v>329</v>
      </c>
      <c r="C111" t="s">
        <v>89</v>
      </c>
      <c r="E111">
        <v>12</v>
      </c>
      <c r="F111">
        <v>21</v>
      </c>
      <c r="G111">
        <v>27</v>
      </c>
      <c r="H111">
        <v>28</v>
      </c>
      <c r="I111">
        <v>35</v>
      </c>
      <c r="J111">
        <v>43</v>
      </c>
      <c r="K111">
        <v>47</v>
      </c>
      <c r="M111">
        <v>0</v>
      </c>
      <c r="N111">
        <v>1</v>
      </c>
      <c r="O111">
        <v>3</v>
      </c>
      <c r="P111">
        <v>1</v>
      </c>
      <c r="Q111">
        <v>2</v>
      </c>
      <c r="S111">
        <v>213</v>
      </c>
      <c r="U111">
        <v>5</v>
      </c>
      <c r="V111">
        <v>2</v>
      </c>
      <c r="X111">
        <v>5</v>
      </c>
      <c r="Y111">
        <v>2</v>
      </c>
      <c r="AL111">
        <v>1</v>
      </c>
      <c r="AU111">
        <v>1</v>
      </c>
      <c r="BA111">
        <v>1</v>
      </c>
      <c r="BB111">
        <v>1</v>
      </c>
      <c r="BI111">
        <v>1</v>
      </c>
      <c r="BQ111">
        <v>1</v>
      </c>
      <c r="BU111">
        <v>1</v>
      </c>
      <c r="BY111">
        <v>239</v>
      </c>
      <c r="BZ111">
        <v>184</v>
      </c>
    </row>
    <row r="112" spans="1:78" x14ac:dyDescent="0.25">
      <c r="A112" s="1">
        <v>42527</v>
      </c>
      <c r="B112" t="s">
        <v>271</v>
      </c>
      <c r="C112" t="s">
        <v>90</v>
      </c>
      <c r="E112">
        <v>2</v>
      </c>
      <c r="F112">
        <v>7</v>
      </c>
      <c r="G112">
        <v>12</v>
      </c>
      <c r="H112">
        <v>19</v>
      </c>
      <c r="I112">
        <v>29</v>
      </c>
      <c r="J112">
        <v>36</v>
      </c>
      <c r="K112">
        <v>20</v>
      </c>
      <c r="M112">
        <v>2</v>
      </c>
      <c r="N112">
        <v>2</v>
      </c>
      <c r="O112">
        <v>2</v>
      </c>
      <c r="P112">
        <v>1</v>
      </c>
      <c r="Q112">
        <v>0</v>
      </c>
      <c r="S112">
        <v>125</v>
      </c>
      <c r="U112">
        <v>2</v>
      </c>
      <c r="V112">
        <v>5</v>
      </c>
      <c r="X112">
        <v>3</v>
      </c>
      <c r="Y112">
        <v>4</v>
      </c>
      <c r="AB112">
        <v>1</v>
      </c>
      <c r="AG112">
        <v>1</v>
      </c>
      <c r="AL112">
        <v>1</v>
      </c>
      <c r="AS112">
        <v>1</v>
      </c>
      <c r="AT112">
        <v>1</v>
      </c>
      <c r="BC112">
        <v>1</v>
      </c>
      <c r="BJ112">
        <v>1</v>
      </c>
      <c r="BY112">
        <v>150</v>
      </c>
      <c r="BZ112">
        <v>95</v>
      </c>
    </row>
    <row r="113" spans="1:78" x14ac:dyDescent="0.25">
      <c r="A113" s="1">
        <v>42523</v>
      </c>
      <c r="B113" t="s">
        <v>284</v>
      </c>
      <c r="C113" t="s">
        <v>91</v>
      </c>
      <c r="E113">
        <v>1</v>
      </c>
      <c r="F113">
        <v>15</v>
      </c>
      <c r="G113">
        <v>23</v>
      </c>
      <c r="H113">
        <v>25</v>
      </c>
      <c r="I113">
        <v>33</v>
      </c>
      <c r="J113">
        <v>42</v>
      </c>
      <c r="K113">
        <v>44</v>
      </c>
      <c r="M113">
        <v>1</v>
      </c>
      <c r="N113">
        <v>1</v>
      </c>
      <c r="O113">
        <v>2</v>
      </c>
      <c r="P113">
        <v>1</v>
      </c>
      <c r="Q113">
        <v>2</v>
      </c>
      <c r="S113">
        <v>183</v>
      </c>
      <c r="U113">
        <v>4</v>
      </c>
      <c r="V113">
        <v>3</v>
      </c>
      <c r="X113">
        <v>5</v>
      </c>
      <c r="Y113">
        <v>2</v>
      </c>
      <c r="AA113">
        <v>1</v>
      </c>
      <c r="AO113">
        <v>1</v>
      </c>
      <c r="AW113">
        <v>1</v>
      </c>
      <c r="AY113">
        <v>1</v>
      </c>
      <c r="BG113">
        <v>1</v>
      </c>
      <c r="BP113">
        <v>1</v>
      </c>
      <c r="BR113">
        <v>1</v>
      </c>
      <c r="BY113">
        <v>221</v>
      </c>
      <c r="BZ113">
        <v>163</v>
      </c>
    </row>
    <row r="114" spans="1:78" x14ac:dyDescent="0.25">
      <c r="A114" s="1">
        <v>42520</v>
      </c>
      <c r="B114" t="s">
        <v>321</v>
      </c>
      <c r="C114" t="s">
        <v>92</v>
      </c>
      <c r="E114">
        <v>8</v>
      </c>
      <c r="F114">
        <v>12</v>
      </c>
      <c r="G114">
        <v>24</v>
      </c>
      <c r="H114">
        <v>33</v>
      </c>
      <c r="I114">
        <v>35</v>
      </c>
      <c r="J114">
        <v>39</v>
      </c>
      <c r="K114">
        <v>22</v>
      </c>
      <c r="M114">
        <v>1</v>
      </c>
      <c r="N114">
        <v>1</v>
      </c>
      <c r="O114">
        <v>2</v>
      </c>
      <c r="P114">
        <v>3</v>
      </c>
      <c r="Q114">
        <v>0</v>
      </c>
      <c r="S114">
        <v>173</v>
      </c>
      <c r="U114">
        <v>3</v>
      </c>
      <c r="V114">
        <v>4</v>
      </c>
      <c r="X114">
        <v>3</v>
      </c>
      <c r="Y114">
        <v>4</v>
      </c>
      <c r="AH114">
        <v>1</v>
      </c>
      <c r="AL114">
        <v>1</v>
      </c>
      <c r="AV114">
        <v>1</v>
      </c>
      <c r="AX114">
        <v>1</v>
      </c>
      <c r="BG114">
        <v>1</v>
      </c>
      <c r="BI114">
        <v>1</v>
      </c>
      <c r="BM114">
        <v>1</v>
      </c>
      <c r="BY114">
        <v>199</v>
      </c>
      <c r="BZ114">
        <v>145</v>
      </c>
    </row>
    <row r="115" spans="1:78" x14ac:dyDescent="0.25">
      <c r="A115" s="1">
        <v>42516</v>
      </c>
      <c r="B115" t="s">
        <v>327</v>
      </c>
      <c r="C115" t="s">
        <v>93</v>
      </c>
      <c r="E115">
        <v>7</v>
      </c>
      <c r="F115">
        <v>15</v>
      </c>
      <c r="G115">
        <v>19</v>
      </c>
      <c r="H115">
        <v>31</v>
      </c>
      <c r="I115">
        <v>32</v>
      </c>
      <c r="J115">
        <v>40</v>
      </c>
      <c r="K115">
        <v>47</v>
      </c>
      <c r="M115">
        <v>1</v>
      </c>
      <c r="N115">
        <v>2</v>
      </c>
      <c r="O115">
        <v>0</v>
      </c>
      <c r="P115">
        <v>2</v>
      </c>
      <c r="Q115">
        <v>2</v>
      </c>
      <c r="S115">
        <v>191</v>
      </c>
      <c r="U115">
        <v>4</v>
      </c>
      <c r="V115">
        <v>3</v>
      </c>
      <c r="X115">
        <v>5</v>
      </c>
      <c r="Y115">
        <v>2</v>
      </c>
      <c r="AG115">
        <v>1</v>
      </c>
      <c r="AO115">
        <v>1</v>
      </c>
      <c r="AS115">
        <v>1</v>
      </c>
      <c r="BE115">
        <v>1</v>
      </c>
      <c r="BF115">
        <v>1</v>
      </c>
      <c r="BN115">
        <v>1</v>
      </c>
      <c r="BU115">
        <v>1</v>
      </c>
      <c r="BY115">
        <v>220</v>
      </c>
      <c r="BZ115">
        <v>164</v>
      </c>
    </row>
    <row r="116" spans="1:78" x14ac:dyDescent="0.25">
      <c r="A116" s="1">
        <v>42513</v>
      </c>
      <c r="B116" t="s">
        <v>274</v>
      </c>
      <c r="C116" t="s">
        <v>94</v>
      </c>
      <c r="E116">
        <v>7</v>
      </c>
      <c r="F116">
        <v>12</v>
      </c>
      <c r="G116">
        <v>20</v>
      </c>
      <c r="H116">
        <v>24</v>
      </c>
      <c r="I116">
        <v>30</v>
      </c>
      <c r="J116">
        <v>31</v>
      </c>
      <c r="K116">
        <v>43</v>
      </c>
      <c r="M116">
        <v>1</v>
      </c>
      <c r="N116">
        <v>1</v>
      </c>
      <c r="O116">
        <v>2</v>
      </c>
      <c r="P116">
        <v>2</v>
      </c>
      <c r="Q116">
        <v>1</v>
      </c>
      <c r="S116">
        <v>167</v>
      </c>
      <c r="U116">
        <v>3</v>
      </c>
      <c r="V116">
        <v>4</v>
      </c>
      <c r="X116">
        <v>3</v>
      </c>
      <c r="Y116">
        <v>4</v>
      </c>
      <c r="AG116">
        <v>1</v>
      </c>
      <c r="AL116">
        <v>1</v>
      </c>
      <c r="AT116">
        <v>1</v>
      </c>
      <c r="AX116">
        <v>1</v>
      </c>
      <c r="BD116">
        <v>1</v>
      </c>
      <c r="BE116">
        <v>1</v>
      </c>
      <c r="BQ116">
        <v>1</v>
      </c>
      <c r="BY116">
        <v>211</v>
      </c>
      <c r="BZ116">
        <v>153</v>
      </c>
    </row>
    <row r="117" spans="1:78" x14ac:dyDescent="0.25">
      <c r="A117" s="1">
        <v>42509</v>
      </c>
      <c r="B117" t="s">
        <v>280</v>
      </c>
      <c r="C117" t="s">
        <v>95</v>
      </c>
      <c r="E117">
        <v>2</v>
      </c>
      <c r="F117">
        <v>17</v>
      </c>
      <c r="G117">
        <v>19</v>
      </c>
      <c r="H117">
        <v>23</v>
      </c>
      <c r="I117">
        <v>32</v>
      </c>
      <c r="J117">
        <v>49</v>
      </c>
      <c r="K117">
        <v>33</v>
      </c>
      <c r="M117">
        <v>1</v>
      </c>
      <c r="N117">
        <v>2</v>
      </c>
      <c r="O117">
        <v>1</v>
      </c>
      <c r="P117">
        <v>2</v>
      </c>
      <c r="Q117">
        <v>1</v>
      </c>
      <c r="S117">
        <v>175</v>
      </c>
      <c r="U117">
        <v>3</v>
      </c>
      <c r="V117">
        <v>4</v>
      </c>
      <c r="X117">
        <v>5</v>
      </c>
      <c r="Y117">
        <v>2</v>
      </c>
      <c r="AB117">
        <v>1</v>
      </c>
      <c r="AQ117">
        <v>1</v>
      </c>
      <c r="AS117">
        <v>1</v>
      </c>
      <c r="AW117">
        <v>1</v>
      </c>
      <c r="BF117">
        <v>1</v>
      </c>
      <c r="BG117">
        <v>1</v>
      </c>
      <c r="BW117">
        <v>1</v>
      </c>
      <c r="BY117">
        <v>201</v>
      </c>
      <c r="BZ117">
        <v>143</v>
      </c>
    </row>
    <row r="118" spans="1:78" x14ac:dyDescent="0.25">
      <c r="A118" s="1">
        <v>42506</v>
      </c>
      <c r="B118" t="s">
        <v>295</v>
      </c>
      <c r="C118" t="s">
        <v>96</v>
      </c>
      <c r="E118">
        <v>1</v>
      </c>
      <c r="F118">
        <v>10</v>
      </c>
      <c r="G118">
        <v>24</v>
      </c>
      <c r="H118">
        <v>26</v>
      </c>
      <c r="I118">
        <v>36</v>
      </c>
      <c r="J118">
        <v>47</v>
      </c>
      <c r="K118">
        <v>4</v>
      </c>
      <c r="M118">
        <v>2</v>
      </c>
      <c r="N118">
        <v>1</v>
      </c>
      <c r="O118">
        <v>2</v>
      </c>
      <c r="P118">
        <v>1</v>
      </c>
      <c r="Q118">
        <v>1</v>
      </c>
      <c r="S118">
        <v>148</v>
      </c>
      <c r="U118">
        <v>3</v>
      </c>
      <c r="V118">
        <v>4</v>
      </c>
      <c r="X118">
        <v>2</v>
      </c>
      <c r="Y118">
        <v>5</v>
      </c>
      <c r="AA118">
        <v>1</v>
      </c>
      <c r="AD118">
        <v>1</v>
      </c>
      <c r="AJ118">
        <v>1</v>
      </c>
      <c r="AX118">
        <v>1</v>
      </c>
      <c r="AZ118">
        <v>1</v>
      </c>
      <c r="BJ118">
        <v>1</v>
      </c>
      <c r="BU118">
        <v>1</v>
      </c>
      <c r="BY118">
        <v>181</v>
      </c>
      <c r="BZ118">
        <v>124</v>
      </c>
    </row>
    <row r="119" spans="1:78" x14ac:dyDescent="0.25">
      <c r="A119" s="1">
        <v>42502</v>
      </c>
      <c r="B119" t="s">
        <v>330</v>
      </c>
      <c r="C119" t="s">
        <v>97</v>
      </c>
      <c r="E119">
        <v>1</v>
      </c>
      <c r="F119">
        <v>4</v>
      </c>
      <c r="G119">
        <v>23</v>
      </c>
      <c r="H119">
        <v>40</v>
      </c>
      <c r="I119">
        <v>46</v>
      </c>
      <c r="J119">
        <v>48</v>
      </c>
      <c r="K119">
        <v>34</v>
      </c>
      <c r="M119">
        <v>2</v>
      </c>
      <c r="N119">
        <v>0</v>
      </c>
      <c r="O119">
        <v>1</v>
      </c>
      <c r="P119">
        <v>1</v>
      </c>
      <c r="Q119">
        <v>3</v>
      </c>
      <c r="S119">
        <v>196</v>
      </c>
      <c r="U119">
        <v>4</v>
      </c>
      <c r="V119">
        <v>3</v>
      </c>
      <c r="X119">
        <v>2</v>
      </c>
      <c r="Y119">
        <v>5</v>
      </c>
      <c r="AA119">
        <v>1</v>
      </c>
      <c r="AD119">
        <v>1</v>
      </c>
      <c r="AW119">
        <v>1</v>
      </c>
      <c r="BH119">
        <v>1</v>
      </c>
      <c r="BN119">
        <v>1</v>
      </c>
      <c r="BT119">
        <v>1</v>
      </c>
      <c r="BV119">
        <v>1</v>
      </c>
      <c r="BY119">
        <v>229</v>
      </c>
      <c r="BZ119">
        <v>176</v>
      </c>
    </row>
    <row r="120" spans="1:78" x14ac:dyDescent="0.25">
      <c r="A120" s="1">
        <v>42499</v>
      </c>
      <c r="B120" t="s">
        <v>284</v>
      </c>
      <c r="C120" t="s">
        <v>98</v>
      </c>
      <c r="E120">
        <v>1</v>
      </c>
      <c r="F120">
        <v>12</v>
      </c>
      <c r="G120">
        <v>26</v>
      </c>
      <c r="H120">
        <v>29</v>
      </c>
      <c r="I120">
        <v>39</v>
      </c>
      <c r="J120">
        <v>49</v>
      </c>
      <c r="K120">
        <v>42</v>
      </c>
      <c r="M120">
        <v>1</v>
      </c>
      <c r="N120">
        <v>1</v>
      </c>
      <c r="O120">
        <v>2</v>
      </c>
      <c r="P120">
        <v>1</v>
      </c>
      <c r="Q120">
        <v>2</v>
      </c>
      <c r="S120">
        <v>198</v>
      </c>
      <c r="U120">
        <v>5</v>
      </c>
      <c r="V120">
        <v>2</v>
      </c>
      <c r="X120">
        <v>4</v>
      </c>
      <c r="Y120">
        <v>3</v>
      </c>
      <c r="AA120">
        <v>1</v>
      </c>
      <c r="AL120">
        <v>1</v>
      </c>
      <c r="AZ120">
        <v>1</v>
      </c>
      <c r="BC120">
        <v>1</v>
      </c>
      <c r="BM120">
        <v>1</v>
      </c>
      <c r="BP120">
        <v>1</v>
      </c>
      <c r="BW120">
        <v>1</v>
      </c>
      <c r="BY120">
        <v>221</v>
      </c>
      <c r="BZ120">
        <v>163</v>
      </c>
    </row>
    <row r="121" spans="1:78" x14ac:dyDescent="0.25">
      <c r="A121" s="1">
        <v>42495</v>
      </c>
      <c r="B121" t="s">
        <v>299</v>
      </c>
      <c r="C121" t="s">
        <v>99</v>
      </c>
      <c r="E121">
        <v>9</v>
      </c>
      <c r="F121">
        <v>20</v>
      </c>
      <c r="G121">
        <v>23</v>
      </c>
      <c r="H121">
        <v>46</v>
      </c>
      <c r="I121">
        <v>48</v>
      </c>
      <c r="J121">
        <v>49</v>
      </c>
      <c r="K121">
        <v>42</v>
      </c>
      <c r="M121">
        <v>1</v>
      </c>
      <c r="N121">
        <v>0</v>
      </c>
      <c r="O121">
        <v>2</v>
      </c>
      <c r="P121">
        <v>0</v>
      </c>
      <c r="Q121">
        <v>4</v>
      </c>
      <c r="S121">
        <v>237</v>
      </c>
      <c r="U121">
        <v>4</v>
      </c>
      <c r="V121">
        <v>3</v>
      </c>
      <c r="X121">
        <v>3</v>
      </c>
      <c r="Y121">
        <v>4</v>
      </c>
      <c r="AI121">
        <v>1</v>
      </c>
      <c r="AT121">
        <v>1</v>
      </c>
      <c r="AW121">
        <v>1</v>
      </c>
      <c r="BP121">
        <v>1</v>
      </c>
      <c r="BT121">
        <v>1</v>
      </c>
      <c r="BV121">
        <v>1</v>
      </c>
      <c r="BW121">
        <v>1</v>
      </c>
      <c r="BY121">
        <v>256</v>
      </c>
      <c r="BZ121">
        <v>208</v>
      </c>
    </row>
    <row r="122" spans="1:78" x14ac:dyDescent="0.25">
      <c r="A122" s="1">
        <v>42492</v>
      </c>
      <c r="B122" t="s">
        <v>331</v>
      </c>
      <c r="C122" t="s">
        <v>100</v>
      </c>
      <c r="E122">
        <v>6</v>
      </c>
      <c r="F122">
        <v>7</v>
      </c>
      <c r="G122">
        <v>8</v>
      </c>
      <c r="H122">
        <v>9</v>
      </c>
      <c r="I122">
        <v>14</v>
      </c>
      <c r="J122">
        <v>19</v>
      </c>
      <c r="K122">
        <v>48</v>
      </c>
      <c r="M122">
        <v>4</v>
      </c>
      <c r="N122">
        <v>2</v>
      </c>
      <c r="O122">
        <v>0</v>
      </c>
      <c r="P122">
        <v>0</v>
      </c>
      <c r="Q122">
        <v>1</v>
      </c>
      <c r="S122">
        <v>111</v>
      </c>
      <c r="U122">
        <v>1</v>
      </c>
      <c r="V122">
        <v>6</v>
      </c>
      <c r="X122">
        <v>3</v>
      </c>
      <c r="Y122">
        <v>4</v>
      </c>
      <c r="AF122">
        <v>1</v>
      </c>
      <c r="AG122">
        <v>1</v>
      </c>
      <c r="AH122">
        <v>1</v>
      </c>
      <c r="AI122">
        <v>1</v>
      </c>
      <c r="AN122">
        <v>1</v>
      </c>
      <c r="AS122">
        <v>1</v>
      </c>
      <c r="BV122">
        <v>1</v>
      </c>
      <c r="BY122">
        <v>116</v>
      </c>
      <c r="BZ122">
        <v>71</v>
      </c>
    </row>
    <row r="123" spans="1:78" x14ac:dyDescent="0.25">
      <c r="A123" s="1">
        <v>42488</v>
      </c>
      <c r="B123" t="s">
        <v>332</v>
      </c>
      <c r="C123" t="s">
        <v>101</v>
      </c>
      <c r="E123">
        <v>3</v>
      </c>
      <c r="F123">
        <v>20</v>
      </c>
      <c r="G123">
        <v>26</v>
      </c>
      <c r="H123">
        <v>31</v>
      </c>
      <c r="I123">
        <v>34</v>
      </c>
      <c r="J123">
        <v>40</v>
      </c>
      <c r="K123">
        <v>30</v>
      </c>
      <c r="M123">
        <v>1</v>
      </c>
      <c r="N123">
        <v>0</v>
      </c>
      <c r="O123">
        <v>2</v>
      </c>
      <c r="P123">
        <v>3</v>
      </c>
      <c r="Q123">
        <v>1</v>
      </c>
      <c r="S123">
        <v>184</v>
      </c>
      <c r="U123">
        <v>5</v>
      </c>
      <c r="V123">
        <v>2</v>
      </c>
      <c r="X123">
        <v>2</v>
      </c>
      <c r="Y123">
        <v>5</v>
      </c>
      <c r="AC123">
        <v>1</v>
      </c>
      <c r="AT123">
        <v>1</v>
      </c>
      <c r="AZ123">
        <v>1</v>
      </c>
      <c r="BD123">
        <v>1</v>
      </c>
      <c r="BE123">
        <v>1</v>
      </c>
      <c r="BH123">
        <v>1</v>
      </c>
      <c r="BN123">
        <v>1</v>
      </c>
      <c r="BY123">
        <v>229</v>
      </c>
      <c r="BZ123">
        <v>175</v>
      </c>
    </row>
    <row r="124" spans="1:78" x14ac:dyDescent="0.25">
      <c r="A124" s="1">
        <v>42485</v>
      </c>
      <c r="B124" t="s">
        <v>333</v>
      </c>
      <c r="C124" t="s">
        <v>102</v>
      </c>
      <c r="E124">
        <v>1</v>
      </c>
      <c r="F124">
        <v>3</v>
      </c>
      <c r="G124">
        <v>4</v>
      </c>
      <c r="H124">
        <v>22</v>
      </c>
      <c r="I124">
        <v>37</v>
      </c>
      <c r="J124">
        <v>41</v>
      </c>
      <c r="K124">
        <v>31</v>
      </c>
      <c r="M124">
        <v>3</v>
      </c>
      <c r="N124">
        <v>0</v>
      </c>
      <c r="O124">
        <v>1</v>
      </c>
      <c r="P124">
        <v>2</v>
      </c>
      <c r="Q124">
        <v>1</v>
      </c>
      <c r="S124">
        <v>139</v>
      </c>
      <c r="U124">
        <v>3</v>
      </c>
      <c r="V124">
        <v>4</v>
      </c>
      <c r="X124">
        <v>5</v>
      </c>
      <c r="Y124">
        <v>2</v>
      </c>
      <c r="AA124">
        <v>1</v>
      </c>
      <c r="AC124">
        <v>1</v>
      </c>
      <c r="AD124">
        <v>1</v>
      </c>
      <c r="AV124">
        <v>1</v>
      </c>
      <c r="BE124">
        <v>1</v>
      </c>
      <c r="BK124">
        <v>1</v>
      </c>
      <c r="BO124">
        <v>1</v>
      </c>
      <c r="BY124">
        <v>179</v>
      </c>
      <c r="BZ124">
        <v>127</v>
      </c>
    </row>
    <row r="125" spans="1:78" x14ac:dyDescent="0.25">
      <c r="A125" s="1">
        <v>42481</v>
      </c>
      <c r="B125" t="s">
        <v>334</v>
      </c>
      <c r="C125" t="s">
        <v>103</v>
      </c>
      <c r="E125">
        <v>13</v>
      </c>
      <c r="F125">
        <v>14</v>
      </c>
      <c r="G125">
        <v>19</v>
      </c>
      <c r="H125">
        <v>32</v>
      </c>
      <c r="I125">
        <v>33</v>
      </c>
      <c r="J125">
        <v>48</v>
      </c>
      <c r="K125">
        <v>42</v>
      </c>
      <c r="M125">
        <v>0</v>
      </c>
      <c r="N125">
        <v>3</v>
      </c>
      <c r="O125">
        <v>0</v>
      </c>
      <c r="P125">
        <v>2</v>
      </c>
      <c r="Q125">
        <v>2</v>
      </c>
      <c r="S125">
        <v>201</v>
      </c>
      <c r="U125">
        <v>4</v>
      </c>
      <c r="V125">
        <v>3</v>
      </c>
      <c r="X125">
        <v>3</v>
      </c>
      <c r="Y125">
        <v>4</v>
      </c>
      <c r="AM125">
        <v>1</v>
      </c>
      <c r="AN125">
        <v>1</v>
      </c>
      <c r="AS125">
        <v>1</v>
      </c>
      <c r="BF125">
        <v>1</v>
      </c>
      <c r="BG125">
        <v>1</v>
      </c>
      <c r="BP125">
        <v>1</v>
      </c>
      <c r="BV125">
        <v>1</v>
      </c>
      <c r="BY125">
        <v>228</v>
      </c>
      <c r="BZ125">
        <v>175</v>
      </c>
    </row>
    <row r="126" spans="1:78" x14ac:dyDescent="0.25">
      <c r="A126" s="1">
        <v>42478</v>
      </c>
      <c r="B126" t="s">
        <v>335</v>
      </c>
      <c r="C126" t="s">
        <v>104</v>
      </c>
      <c r="E126">
        <v>11</v>
      </c>
      <c r="F126">
        <v>14</v>
      </c>
      <c r="G126">
        <v>21</v>
      </c>
      <c r="H126">
        <v>28</v>
      </c>
      <c r="I126">
        <v>30</v>
      </c>
      <c r="J126">
        <v>39</v>
      </c>
      <c r="K126">
        <v>49</v>
      </c>
      <c r="M126">
        <v>0</v>
      </c>
      <c r="N126">
        <v>2</v>
      </c>
      <c r="O126">
        <v>2</v>
      </c>
      <c r="P126">
        <v>2</v>
      </c>
      <c r="Q126">
        <v>1</v>
      </c>
      <c r="S126">
        <v>192</v>
      </c>
      <c r="U126">
        <v>4</v>
      </c>
      <c r="V126">
        <v>3</v>
      </c>
      <c r="X126">
        <v>4</v>
      </c>
      <c r="Y126">
        <v>3</v>
      </c>
      <c r="AK126">
        <v>1</v>
      </c>
      <c r="AN126">
        <v>1</v>
      </c>
      <c r="AU126">
        <v>1</v>
      </c>
      <c r="BB126">
        <v>1</v>
      </c>
      <c r="BD126">
        <v>1</v>
      </c>
      <c r="BM126">
        <v>1</v>
      </c>
      <c r="BW126">
        <v>1</v>
      </c>
      <c r="BY126">
        <v>220</v>
      </c>
      <c r="BZ126">
        <v>163</v>
      </c>
    </row>
    <row r="127" spans="1:78" x14ac:dyDescent="0.25">
      <c r="A127" s="1">
        <v>42474</v>
      </c>
      <c r="B127" t="s">
        <v>336</v>
      </c>
      <c r="C127" t="s">
        <v>105</v>
      </c>
      <c r="E127">
        <v>3</v>
      </c>
      <c r="F127">
        <v>4</v>
      </c>
      <c r="G127">
        <v>19</v>
      </c>
      <c r="H127">
        <v>26</v>
      </c>
      <c r="I127">
        <v>28</v>
      </c>
      <c r="J127">
        <v>34</v>
      </c>
      <c r="K127">
        <v>30</v>
      </c>
      <c r="M127">
        <v>2</v>
      </c>
      <c r="N127">
        <v>1</v>
      </c>
      <c r="O127">
        <v>2</v>
      </c>
      <c r="P127">
        <v>2</v>
      </c>
      <c r="Q127">
        <v>0</v>
      </c>
      <c r="S127">
        <v>144</v>
      </c>
      <c r="U127">
        <v>4</v>
      </c>
      <c r="V127">
        <v>3</v>
      </c>
      <c r="X127">
        <v>2</v>
      </c>
      <c r="Y127">
        <v>5</v>
      </c>
      <c r="AC127">
        <v>1</v>
      </c>
      <c r="AD127">
        <v>1</v>
      </c>
      <c r="AS127">
        <v>1</v>
      </c>
      <c r="AZ127">
        <v>1</v>
      </c>
      <c r="BB127">
        <v>1</v>
      </c>
      <c r="BD127">
        <v>1</v>
      </c>
      <c r="BH127">
        <v>1</v>
      </c>
      <c r="BY127">
        <v>170</v>
      </c>
      <c r="BZ127">
        <v>115</v>
      </c>
    </row>
    <row r="128" spans="1:78" x14ac:dyDescent="0.25">
      <c r="A128" s="1">
        <v>42471</v>
      </c>
      <c r="B128" t="s">
        <v>337</v>
      </c>
      <c r="C128" t="s">
        <v>106</v>
      </c>
      <c r="E128">
        <v>9</v>
      </c>
      <c r="F128">
        <v>13</v>
      </c>
      <c r="G128">
        <v>16</v>
      </c>
      <c r="H128">
        <v>18</v>
      </c>
      <c r="I128">
        <v>48</v>
      </c>
      <c r="J128">
        <v>49</v>
      </c>
      <c r="K128">
        <v>42</v>
      </c>
      <c r="M128">
        <v>1</v>
      </c>
      <c r="N128">
        <v>3</v>
      </c>
      <c r="O128">
        <v>0</v>
      </c>
      <c r="P128">
        <v>0</v>
      </c>
      <c r="Q128">
        <v>3</v>
      </c>
      <c r="S128">
        <v>195</v>
      </c>
      <c r="U128">
        <v>3</v>
      </c>
      <c r="V128">
        <v>4</v>
      </c>
      <c r="X128">
        <v>3</v>
      </c>
      <c r="Y128">
        <v>4</v>
      </c>
      <c r="AI128">
        <v>1</v>
      </c>
      <c r="AM128">
        <v>1</v>
      </c>
      <c r="AP128">
        <v>1</v>
      </c>
      <c r="AR128">
        <v>1</v>
      </c>
      <c r="BP128">
        <v>1</v>
      </c>
      <c r="BV128">
        <v>1</v>
      </c>
      <c r="BW128">
        <v>1</v>
      </c>
      <c r="BY128">
        <v>207</v>
      </c>
      <c r="BZ128">
        <v>157</v>
      </c>
    </row>
    <row r="129" spans="1:78" x14ac:dyDescent="0.25">
      <c r="A129" s="1">
        <v>42467</v>
      </c>
      <c r="B129" t="s">
        <v>338</v>
      </c>
      <c r="C129" t="s">
        <v>107</v>
      </c>
      <c r="E129">
        <v>1</v>
      </c>
      <c r="F129">
        <v>7</v>
      </c>
      <c r="G129">
        <v>30</v>
      </c>
      <c r="H129">
        <v>32</v>
      </c>
      <c r="I129">
        <v>38</v>
      </c>
      <c r="J129">
        <v>46</v>
      </c>
      <c r="K129">
        <v>23</v>
      </c>
      <c r="M129">
        <v>2</v>
      </c>
      <c r="N129">
        <v>0</v>
      </c>
      <c r="O129">
        <v>1</v>
      </c>
      <c r="P129">
        <v>3</v>
      </c>
      <c r="Q129">
        <v>1</v>
      </c>
      <c r="S129">
        <v>177</v>
      </c>
      <c r="U129">
        <v>4</v>
      </c>
      <c r="V129">
        <v>3</v>
      </c>
      <c r="X129">
        <v>3</v>
      </c>
      <c r="Y129">
        <v>4</v>
      </c>
      <c r="AA129">
        <v>1</v>
      </c>
      <c r="AG129">
        <v>1</v>
      </c>
      <c r="AW129">
        <v>1</v>
      </c>
      <c r="BD129">
        <v>1</v>
      </c>
      <c r="BF129">
        <v>1</v>
      </c>
      <c r="BL129">
        <v>1</v>
      </c>
      <c r="BT129">
        <v>1</v>
      </c>
      <c r="BY129">
        <v>209</v>
      </c>
      <c r="BZ129">
        <v>156</v>
      </c>
    </row>
    <row r="130" spans="1:78" x14ac:dyDescent="0.25">
      <c r="A130" s="1">
        <v>42464</v>
      </c>
      <c r="B130" t="s">
        <v>339</v>
      </c>
      <c r="C130" t="s">
        <v>108</v>
      </c>
      <c r="E130">
        <v>10</v>
      </c>
      <c r="F130">
        <v>15</v>
      </c>
      <c r="G130">
        <v>22</v>
      </c>
      <c r="H130">
        <v>28</v>
      </c>
      <c r="I130">
        <v>34</v>
      </c>
      <c r="J130">
        <v>38</v>
      </c>
      <c r="K130">
        <v>12</v>
      </c>
      <c r="M130">
        <v>0</v>
      </c>
      <c r="N130">
        <v>3</v>
      </c>
      <c r="O130">
        <v>2</v>
      </c>
      <c r="P130">
        <v>2</v>
      </c>
      <c r="Q130">
        <v>0</v>
      </c>
      <c r="S130">
        <v>159</v>
      </c>
      <c r="U130">
        <v>3</v>
      </c>
      <c r="V130">
        <v>4</v>
      </c>
      <c r="X130">
        <v>1</v>
      </c>
      <c r="Y130">
        <v>6</v>
      </c>
      <c r="AJ130">
        <v>1</v>
      </c>
      <c r="AL130">
        <v>1</v>
      </c>
      <c r="AO130">
        <v>1</v>
      </c>
      <c r="AV130">
        <v>1</v>
      </c>
      <c r="BB130">
        <v>1</v>
      </c>
      <c r="BH130">
        <v>1</v>
      </c>
      <c r="BL130">
        <v>1</v>
      </c>
      <c r="BY130">
        <v>188</v>
      </c>
      <c r="BZ130">
        <v>135</v>
      </c>
    </row>
    <row r="131" spans="1:78" x14ac:dyDescent="0.25">
      <c r="A131" s="1">
        <v>42460</v>
      </c>
      <c r="B131" t="s">
        <v>340</v>
      </c>
      <c r="C131" t="s">
        <v>109</v>
      </c>
      <c r="E131">
        <v>20</v>
      </c>
      <c r="F131">
        <v>21</v>
      </c>
      <c r="G131">
        <v>22</v>
      </c>
      <c r="H131">
        <v>31</v>
      </c>
      <c r="I131">
        <v>39</v>
      </c>
      <c r="J131">
        <v>46</v>
      </c>
      <c r="K131">
        <v>32</v>
      </c>
      <c r="M131">
        <v>0</v>
      </c>
      <c r="N131">
        <v>0</v>
      </c>
      <c r="O131">
        <v>3</v>
      </c>
      <c r="P131">
        <v>3</v>
      </c>
      <c r="Q131">
        <v>1</v>
      </c>
      <c r="S131">
        <v>211</v>
      </c>
      <c r="U131">
        <v>4</v>
      </c>
      <c r="V131">
        <v>3</v>
      </c>
      <c r="X131">
        <v>3</v>
      </c>
      <c r="Y131">
        <v>4</v>
      </c>
      <c r="AT131">
        <v>1</v>
      </c>
      <c r="AU131">
        <v>1</v>
      </c>
      <c r="AV131">
        <v>1</v>
      </c>
      <c r="BE131">
        <v>1</v>
      </c>
      <c r="BF131">
        <v>1</v>
      </c>
      <c r="BM131">
        <v>1</v>
      </c>
      <c r="BT131">
        <v>1</v>
      </c>
      <c r="BY131">
        <v>247</v>
      </c>
      <c r="BZ131">
        <v>196</v>
      </c>
    </row>
    <row r="132" spans="1:78" x14ac:dyDescent="0.25">
      <c r="A132" s="1">
        <v>42457</v>
      </c>
      <c r="B132" t="s">
        <v>341</v>
      </c>
      <c r="C132" t="s">
        <v>110</v>
      </c>
      <c r="E132">
        <v>8</v>
      </c>
      <c r="F132">
        <v>9</v>
      </c>
      <c r="G132">
        <v>15</v>
      </c>
      <c r="H132">
        <v>28</v>
      </c>
      <c r="I132">
        <v>36</v>
      </c>
      <c r="J132">
        <v>39</v>
      </c>
      <c r="K132">
        <v>33</v>
      </c>
      <c r="M132">
        <v>2</v>
      </c>
      <c r="N132">
        <v>1</v>
      </c>
      <c r="O132">
        <v>1</v>
      </c>
      <c r="P132">
        <v>3</v>
      </c>
      <c r="Q132">
        <v>0</v>
      </c>
      <c r="S132">
        <v>168</v>
      </c>
      <c r="U132">
        <v>4</v>
      </c>
      <c r="V132">
        <v>3</v>
      </c>
      <c r="X132">
        <v>4</v>
      </c>
      <c r="Y132">
        <v>3</v>
      </c>
      <c r="AH132">
        <v>1</v>
      </c>
      <c r="AI132">
        <v>1</v>
      </c>
      <c r="AO132">
        <v>1</v>
      </c>
      <c r="BB132">
        <v>1</v>
      </c>
      <c r="BG132">
        <v>1</v>
      </c>
      <c r="BJ132">
        <v>1</v>
      </c>
      <c r="BM132">
        <v>1</v>
      </c>
      <c r="BY132">
        <v>179</v>
      </c>
      <c r="BZ132">
        <v>126</v>
      </c>
    </row>
    <row r="133" spans="1:78" x14ac:dyDescent="0.25">
      <c r="A133" s="1">
        <v>42453</v>
      </c>
      <c r="B133" t="s">
        <v>338</v>
      </c>
      <c r="C133" t="s">
        <v>111</v>
      </c>
      <c r="E133">
        <v>4</v>
      </c>
      <c r="F133">
        <v>9</v>
      </c>
      <c r="G133">
        <v>28</v>
      </c>
      <c r="H133">
        <v>35</v>
      </c>
      <c r="I133">
        <v>38</v>
      </c>
      <c r="J133">
        <v>44</v>
      </c>
      <c r="K133">
        <v>36</v>
      </c>
      <c r="M133">
        <v>2</v>
      </c>
      <c r="N133">
        <v>0</v>
      </c>
      <c r="O133">
        <v>1</v>
      </c>
      <c r="P133">
        <v>3</v>
      </c>
      <c r="Q133">
        <v>1</v>
      </c>
      <c r="S133">
        <v>194</v>
      </c>
      <c r="U133">
        <v>5</v>
      </c>
      <c r="V133">
        <v>2</v>
      </c>
      <c r="X133">
        <v>2</v>
      </c>
      <c r="Y133">
        <v>5</v>
      </c>
      <c r="AD133">
        <v>1</v>
      </c>
      <c r="AI133">
        <v>1</v>
      </c>
      <c r="BB133">
        <v>1</v>
      </c>
      <c r="BI133">
        <v>1</v>
      </c>
      <c r="BJ133">
        <v>1</v>
      </c>
      <c r="BL133">
        <v>1</v>
      </c>
      <c r="BR133">
        <v>1</v>
      </c>
      <c r="BY133">
        <v>209</v>
      </c>
      <c r="BZ133">
        <v>156</v>
      </c>
    </row>
    <row r="134" spans="1:78" x14ac:dyDescent="0.25">
      <c r="A134" s="1">
        <v>42450</v>
      </c>
      <c r="B134" t="s">
        <v>314</v>
      </c>
      <c r="C134" t="s">
        <v>112</v>
      </c>
      <c r="E134">
        <v>8</v>
      </c>
      <c r="F134">
        <v>12</v>
      </c>
      <c r="G134">
        <v>20</v>
      </c>
      <c r="H134">
        <v>39</v>
      </c>
      <c r="I134">
        <v>43</v>
      </c>
      <c r="J134">
        <v>47</v>
      </c>
      <c r="K134">
        <v>9</v>
      </c>
      <c r="M134">
        <v>2</v>
      </c>
      <c r="N134">
        <v>1</v>
      </c>
      <c r="O134">
        <v>1</v>
      </c>
      <c r="P134">
        <v>1</v>
      </c>
      <c r="Q134">
        <v>2</v>
      </c>
      <c r="S134">
        <v>178</v>
      </c>
      <c r="U134">
        <v>3</v>
      </c>
      <c r="V134">
        <v>4</v>
      </c>
      <c r="X134">
        <v>4</v>
      </c>
      <c r="Y134">
        <v>3</v>
      </c>
      <c r="AH134">
        <v>1</v>
      </c>
      <c r="AI134">
        <v>1</v>
      </c>
      <c r="AL134">
        <v>1</v>
      </c>
      <c r="AT134">
        <v>1</v>
      </c>
      <c r="BM134">
        <v>1</v>
      </c>
      <c r="BQ134">
        <v>1</v>
      </c>
      <c r="BU134">
        <v>1</v>
      </c>
      <c r="BY134">
        <v>201</v>
      </c>
      <c r="BZ134">
        <v>144</v>
      </c>
    </row>
    <row r="135" spans="1:78" x14ac:dyDescent="0.25">
      <c r="A135" s="1">
        <v>42446</v>
      </c>
      <c r="B135" t="s">
        <v>336</v>
      </c>
      <c r="C135" t="s">
        <v>113</v>
      </c>
      <c r="E135">
        <v>2</v>
      </c>
      <c r="F135">
        <v>3</v>
      </c>
      <c r="G135">
        <v>20</v>
      </c>
      <c r="H135">
        <v>21</v>
      </c>
      <c r="I135">
        <v>30</v>
      </c>
      <c r="J135">
        <v>33</v>
      </c>
      <c r="K135">
        <v>12</v>
      </c>
      <c r="M135">
        <v>2</v>
      </c>
      <c r="N135">
        <v>1</v>
      </c>
      <c r="O135">
        <v>2</v>
      </c>
      <c r="P135">
        <v>2</v>
      </c>
      <c r="Q135">
        <v>0</v>
      </c>
      <c r="S135">
        <v>121</v>
      </c>
      <c r="U135">
        <v>2</v>
      </c>
      <c r="V135">
        <v>5</v>
      </c>
      <c r="X135">
        <v>3</v>
      </c>
      <c r="Y135">
        <v>4</v>
      </c>
      <c r="AB135">
        <v>1</v>
      </c>
      <c r="AC135">
        <v>1</v>
      </c>
      <c r="AL135">
        <v>1</v>
      </c>
      <c r="AT135">
        <v>1</v>
      </c>
      <c r="AU135">
        <v>1</v>
      </c>
      <c r="BD135">
        <v>1</v>
      </c>
      <c r="BG135">
        <v>1</v>
      </c>
      <c r="BY135">
        <v>170</v>
      </c>
      <c r="BZ135">
        <v>115</v>
      </c>
    </row>
    <row r="136" spans="1:78" x14ac:dyDescent="0.25">
      <c r="A136" s="1">
        <v>42443</v>
      </c>
      <c r="B136" t="s">
        <v>336</v>
      </c>
      <c r="C136" t="s">
        <v>114</v>
      </c>
      <c r="E136">
        <v>8</v>
      </c>
      <c r="F136">
        <v>10</v>
      </c>
      <c r="G136">
        <v>24</v>
      </c>
      <c r="H136">
        <v>29</v>
      </c>
      <c r="I136">
        <v>31</v>
      </c>
      <c r="J136">
        <v>33</v>
      </c>
      <c r="K136">
        <v>4</v>
      </c>
      <c r="M136">
        <v>2</v>
      </c>
      <c r="N136">
        <v>1</v>
      </c>
      <c r="O136">
        <v>2</v>
      </c>
      <c r="P136">
        <v>2</v>
      </c>
      <c r="Q136">
        <v>0</v>
      </c>
      <c r="S136">
        <v>139</v>
      </c>
      <c r="U136">
        <v>3</v>
      </c>
      <c r="V136">
        <v>4</v>
      </c>
      <c r="X136">
        <v>3</v>
      </c>
      <c r="Y136">
        <v>4</v>
      </c>
      <c r="AD136">
        <v>1</v>
      </c>
      <c r="AH136">
        <v>1</v>
      </c>
      <c r="AJ136">
        <v>1</v>
      </c>
      <c r="AX136">
        <v>1</v>
      </c>
      <c r="BC136">
        <v>1</v>
      </c>
      <c r="BE136">
        <v>1</v>
      </c>
      <c r="BG136">
        <v>1</v>
      </c>
      <c r="BY136">
        <v>170</v>
      </c>
      <c r="BZ136">
        <v>115</v>
      </c>
    </row>
    <row r="137" spans="1:78" x14ac:dyDescent="0.25">
      <c r="A137" s="1">
        <v>42439</v>
      </c>
      <c r="B137" t="s">
        <v>342</v>
      </c>
      <c r="C137" t="s">
        <v>115</v>
      </c>
      <c r="E137">
        <v>25</v>
      </c>
      <c r="F137">
        <v>29</v>
      </c>
      <c r="G137">
        <v>32</v>
      </c>
      <c r="H137">
        <v>33</v>
      </c>
      <c r="I137">
        <v>34</v>
      </c>
      <c r="J137">
        <v>49</v>
      </c>
      <c r="K137">
        <v>13</v>
      </c>
      <c r="M137">
        <v>0</v>
      </c>
      <c r="N137">
        <v>1</v>
      </c>
      <c r="O137">
        <v>2</v>
      </c>
      <c r="P137">
        <v>3</v>
      </c>
      <c r="Q137">
        <v>1</v>
      </c>
      <c r="S137">
        <v>215</v>
      </c>
      <c r="U137">
        <v>6</v>
      </c>
      <c r="V137">
        <v>1</v>
      </c>
      <c r="X137">
        <v>5</v>
      </c>
      <c r="Y137">
        <v>2</v>
      </c>
      <c r="AM137">
        <v>1</v>
      </c>
      <c r="AY137">
        <v>1</v>
      </c>
      <c r="BC137">
        <v>1</v>
      </c>
      <c r="BF137">
        <v>1</v>
      </c>
      <c r="BG137">
        <v>1</v>
      </c>
      <c r="BH137">
        <v>1</v>
      </c>
      <c r="BW137">
        <v>1</v>
      </c>
      <c r="BY137">
        <v>239</v>
      </c>
      <c r="BZ137">
        <v>184</v>
      </c>
    </row>
    <row r="138" spans="1:78" x14ac:dyDescent="0.25">
      <c r="A138" s="1">
        <v>42436</v>
      </c>
      <c r="B138" t="s">
        <v>289</v>
      </c>
      <c r="C138" t="s">
        <v>116</v>
      </c>
      <c r="E138">
        <v>9</v>
      </c>
      <c r="F138">
        <v>18</v>
      </c>
      <c r="G138">
        <v>30</v>
      </c>
      <c r="H138">
        <v>33</v>
      </c>
      <c r="I138">
        <v>45</v>
      </c>
      <c r="J138">
        <v>47</v>
      </c>
      <c r="K138">
        <v>25</v>
      </c>
      <c r="M138">
        <v>1</v>
      </c>
      <c r="N138">
        <v>1</v>
      </c>
      <c r="O138">
        <v>1</v>
      </c>
      <c r="P138">
        <v>2</v>
      </c>
      <c r="Q138">
        <v>2</v>
      </c>
      <c r="S138">
        <v>207</v>
      </c>
      <c r="U138">
        <v>5</v>
      </c>
      <c r="V138">
        <v>2</v>
      </c>
      <c r="X138">
        <v>5</v>
      </c>
      <c r="Y138">
        <v>2</v>
      </c>
      <c r="AI138">
        <v>1</v>
      </c>
      <c r="AR138">
        <v>1</v>
      </c>
      <c r="AY138">
        <v>1</v>
      </c>
      <c r="BD138">
        <v>1</v>
      </c>
      <c r="BG138">
        <v>1</v>
      </c>
      <c r="BS138">
        <v>1</v>
      </c>
      <c r="BU138">
        <v>1</v>
      </c>
      <c r="BY138">
        <v>231</v>
      </c>
      <c r="BZ138">
        <v>173</v>
      </c>
    </row>
    <row r="139" spans="1:78" x14ac:dyDescent="0.25">
      <c r="A139" s="1">
        <v>42432</v>
      </c>
      <c r="B139" t="s">
        <v>274</v>
      </c>
      <c r="C139" t="s">
        <v>117</v>
      </c>
      <c r="E139">
        <v>6</v>
      </c>
      <c r="F139">
        <v>14</v>
      </c>
      <c r="G139">
        <v>24</v>
      </c>
      <c r="H139">
        <v>33</v>
      </c>
      <c r="I139">
        <v>38</v>
      </c>
      <c r="J139">
        <v>41</v>
      </c>
      <c r="K139">
        <v>25</v>
      </c>
      <c r="M139">
        <v>1</v>
      </c>
      <c r="N139">
        <v>1</v>
      </c>
      <c r="O139">
        <v>2</v>
      </c>
      <c r="P139">
        <v>2</v>
      </c>
      <c r="Q139">
        <v>1</v>
      </c>
      <c r="S139">
        <v>181</v>
      </c>
      <c r="U139">
        <v>4</v>
      </c>
      <c r="V139">
        <v>3</v>
      </c>
      <c r="X139">
        <v>3</v>
      </c>
      <c r="Y139">
        <v>4</v>
      </c>
      <c r="AF139">
        <v>1</v>
      </c>
      <c r="AN139">
        <v>1</v>
      </c>
      <c r="AX139">
        <v>1</v>
      </c>
      <c r="AY139">
        <v>1</v>
      </c>
      <c r="BG139">
        <v>1</v>
      </c>
      <c r="BL139">
        <v>1</v>
      </c>
      <c r="BO139">
        <v>1</v>
      </c>
      <c r="BY139">
        <v>211</v>
      </c>
      <c r="BZ139">
        <v>153</v>
      </c>
    </row>
    <row r="140" spans="1:78" x14ac:dyDescent="0.25">
      <c r="A140" s="1">
        <v>42429</v>
      </c>
      <c r="B140" t="s">
        <v>343</v>
      </c>
      <c r="C140" t="s">
        <v>118</v>
      </c>
      <c r="E140">
        <v>8</v>
      </c>
      <c r="F140">
        <v>11</v>
      </c>
      <c r="G140">
        <v>15</v>
      </c>
      <c r="H140">
        <v>17</v>
      </c>
      <c r="I140">
        <v>28</v>
      </c>
      <c r="J140">
        <v>47</v>
      </c>
      <c r="K140">
        <v>18</v>
      </c>
      <c r="M140">
        <v>1</v>
      </c>
      <c r="N140">
        <v>4</v>
      </c>
      <c r="O140">
        <v>1</v>
      </c>
      <c r="P140">
        <v>0</v>
      </c>
      <c r="Q140">
        <v>1</v>
      </c>
      <c r="S140">
        <v>144</v>
      </c>
      <c r="U140">
        <v>2</v>
      </c>
      <c r="V140">
        <v>5</v>
      </c>
      <c r="X140">
        <v>4</v>
      </c>
      <c r="Y140">
        <v>3</v>
      </c>
      <c r="AH140">
        <v>1</v>
      </c>
      <c r="AK140">
        <v>1</v>
      </c>
      <c r="AO140">
        <v>1</v>
      </c>
      <c r="AQ140">
        <v>1</v>
      </c>
      <c r="AR140">
        <v>1</v>
      </c>
      <c r="BB140">
        <v>1</v>
      </c>
      <c r="BU140">
        <v>1</v>
      </c>
      <c r="BY140">
        <v>157</v>
      </c>
      <c r="BZ140">
        <v>107</v>
      </c>
    </row>
    <row r="141" spans="1:78" x14ac:dyDescent="0.25">
      <c r="A141" s="1">
        <v>42425</v>
      </c>
      <c r="B141" t="s">
        <v>280</v>
      </c>
      <c r="C141" t="s">
        <v>119</v>
      </c>
      <c r="E141">
        <v>7</v>
      </c>
      <c r="F141">
        <v>14</v>
      </c>
      <c r="G141">
        <v>17</v>
      </c>
      <c r="H141">
        <v>23</v>
      </c>
      <c r="I141">
        <v>35</v>
      </c>
      <c r="J141">
        <v>49</v>
      </c>
      <c r="K141">
        <v>31</v>
      </c>
      <c r="M141">
        <v>1</v>
      </c>
      <c r="N141">
        <v>2</v>
      </c>
      <c r="O141">
        <v>1</v>
      </c>
      <c r="P141">
        <v>2</v>
      </c>
      <c r="Q141">
        <v>1</v>
      </c>
      <c r="S141">
        <v>176</v>
      </c>
      <c r="U141">
        <v>3</v>
      </c>
      <c r="V141">
        <v>4</v>
      </c>
      <c r="X141">
        <v>6</v>
      </c>
      <c r="Y141">
        <v>1</v>
      </c>
      <c r="AG141">
        <v>1</v>
      </c>
      <c r="AN141">
        <v>1</v>
      </c>
      <c r="AQ141">
        <v>1</v>
      </c>
      <c r="AW141">
        <v>1</v>
      </c>
      <c r="BE141">
        <v>1</v>
      </c>
      <c r="BI141">
        <v>1</v>
      </c>
      <c r="BW141">
        <v>1</v>
      </c>
      <c r="BY141">
        <v>201</v>
      </c>
      <c r="BZ141">
        <v>143</v>
      </c>
    </row>
    <row r="142" spans="1:78" x14ac:dyDescent="0.25">
      <c r="A142" s="1">
        <v>42422</v>
      </c>
      <c r="B142" t="s">
        <v>306</v>
      </c>
      <c r="C142" t="s">
        <v>120</v>
      </c>
      <c r="E142">
        <v>10</v>
      </c>
      <c r="F142">
        <v>18</v>
      </c>
      <c r="G142">
        <v>22</v>
      </c>
      <c r="H142">
        <v>37</v>
      </c>
      <c r="I142">
        <v>39</v>
      </c>
      <c r="J142">
        <v>40</v>
      </c>
      <c r="K142">
        <v>46</v>
      </c>
      <c r="M142">
        <v>0</v>
      </c>
      <c r="N142">
        <v>2</v>
      </c>
      <c r="O142">
        <v>1</v>
      </c>
      <c r="P142">
        <v>2</v>
      </c>
      <c r="Q142">
        <v>2</v>
      </c>
      <c r="S142">
        <v>212</v>
      </c>
      <c r="U142">
        <v>4</v>
      </c>
      <c r="V142">
        <v>3</v>
      </c>
      <c r="X142">
        <v>2</v>
      </c>
      <c r="Y142">
        <v>5</v>
      </c>
      <c r="AJ142">
        <v>1</v>
      </c>
      <c r="AR142">
        <v>1</v>
      </c>
      <c r="AV142">
        <v>1</v>
      </c>
      <c r="BK142">
        <v>1</v>
      </c>
      <c r="BM142">
        <v>1</v>
      </c>
      <c r="BN142">
        <v>1</v>
      </c>
      <c r="BT142">
        <v>1</v>
      </c>
      <c r="BY142">
        <v>240</v>
      </c>
      <c r="BZ142">
        <v>183</v>
      </c>
    </row>
    <row r="143" spans="1:78" x14ac:dyDescent="0.25">
      <c r="A143" s="1">
        <v>42419</v>
      </c>
      <c r="B143" t="s">
        <v>344</v>
      </c>
      <c r="C143" t="s">
        <v>121</v>
      </c>
      <c r="E143">
        <v>16</v>
      </c>
      <c r="F143">
        <v>18</v>
      </c>
      <c r="G143">
        <v>20</v>
      </c>
      <c r="H143">
        <v>21</v>
      </c>
      <c r="I143">
        <v>27</v>
      </c>
      <c r="J143">
        <v>49</v>
      </c>
      <c r="K143">
        <v>23</v>
      </c>
      <c r="M143">
        <v>0</v>
      </c>
      <c r="N143">
        <v>2</v>
      </c>
      <c r="O143">
        <v>4</v>
      </c>
      <c r="P143">
        <v>0</v>
      </c>
      <c r="Q143">
        <v>1</v>
      </c>
      <c r="S143">
        <v>174</v>
      </c>
      <c r="U143">
        <v>2</v>
      </c>
      <c r="V143">
        <v>5</v>
      </c>
      <c r="X143">
        <v>4</v>
      </c>
      <c r="Y143">
        <v>3</v>
      </c>
      <c r="AP143">
        <v>1</v>
      </c>
      <c r="AR143">
        <v>1</v>
      </c>
      <c r="AT143">
        <v>1</v>
      </c>
      <c r="AU143">
        <v>1</v>
      </c>
      <c r="AW143">
        <v>1</v>
      </c>
      <c r="BA143">
        <v>1</v>
      </c>
      <c r="BW143">
        <v>1</v>
      </c>
      <c r="BY143">
        <v>196</v>
      </c>
      <c r="BZ143">
        <v>147</v>
      </c>
    </row>
    <row r="144" spans="1:78" x14ac:dyDescent="0.25">
      <c r="A144" s="1">
        <v>42415</v>
      </c>
      <c r="B144" t="s">
        <v>345</v>
      </c>
      <c r="C144" t="s">
        <v>122</v>
      </c>
      <c r="E144">
        <v>3</v>
      </c>
      <c r="F144">
        <v>5</v>
      </c>
      <c r="G144">
        <v>29</v>
      </c>
      <c r="H144">
        <v>40</v>
      </c>
      <c r="I144">
        <v>43</v>
      </c>
      <c r="J144">
        <v>49</v>
      </c>
      <c r="K144">
        <v>21</v>
      </c>
      <c r="M144">
        <v>2</v>
      </c>
      <c r="N144">
        <v>0</v>
      </c>
      <c r="O144">
        <v>2</v>
      </c>
      <c r="P144">
        <v>0</v>
      </c>
      <c r="Q144">
        <v>3</v>
      </c>
      <c r="S144">
        <v>190</v>
      </c>
      <c r="U144">
        <v>4</v>
      </c>
      <c r="V144">
        <v>3</v>
      </c>
      <c r="X144">
        <v>6</v>
      </c>
      <c r="Y144">
        <v>1</v>
      </c>
      <c r="AC144">
        <v>1</v>
      </c>
      <c r="AE144">
        <v>1</v>
      </c>
      <c r="AU144">
        <v>1</v>
      </c>
      <c r="BC144">
        <v>1</v>
      </c>
      <c r="BN144">
        <v>1</v>
      </c>
      <c r="BQ144">
        <v>1</v>
      </c>
      <c r="BW144">
        <v>1</v>
      </c>
      <c r="BY144">
        <v>218</v>
      </c>
      <c r="BZ144">
        <v>167</v>
      </c>
    </row>
    <row r="145" spans="1:78" x14ac:dyDescent="0.25">
      <c r="A145" s="1">
        <v>42411</v>
      </c>
      <c r="B145" t="s">
        <v>346</v>
      </c>
      <c r="C145" t="s">
        <v>123</v>
      </c>
      <c r="E145">
        <v>7</v>
      </c>
      <c r="F145">
        <v>8</v>
      </c>
      <c r="G145">
        <v>17</v>
      </c>
      <c r="H145">
        <v>39</v>
      </c>
      <c r="I145">
        <v>46</v>
      </c>
      <c r="J145">
        <v>49</v>
      </c>
      <c r="K145">
        <v>13</v>
      </c>
      <c r="M145">
        <v>2</v>
      </c>
      <c r="N145">
        <v>2</v>
      </c>
      <c r="O145">
        <v>0</v>
      </c>
      <c r="P145">
        <v>1</v>
      </c>
      <c r="Q145">
        <v>2</v>
      </c>
      <c r="S145">
        <v>179</v>
      </c>
      <c r="U145">
        <v>3</v>
      </c>
      <c r="V145">
        <v>4</v>
      </c>
      <c r="X145">
        <v>5</v>
      </c>
      <c r="Y145">
        <v>2</v>
      </c>
      <c r="AG145">
        <v>1</v>
      </c>
      <c r="AH145">
        <v>1</v>
      </c>
      <c r="AM145">
        <v>1</v>
      </c>
      <c r="AQ145">
        <v>1</v>
      </c>
      <c r="BM145">
        <v>1</v>
      </c>
      <c r="BT145">
        <v>1</v>
      </c>
      <c r="BW145">
        <v>1</v>
      </c>
      <c r="BY145">
        <v>190</v>
      </c>
      <c r="BZ145">
        <v>135</v>
      </c>
    </row>
    <row r="146" spans="1:78" x14ac:dyDescent="0.25">
      <c r="A146" s="1">
        <v>42408</v>
      </c>
      <c r="B146" t="s">
        <v>269</v>
      </c>
      <c r="C146" t="s">
        <v>124</v>
      </c>
      <c r="E146">
        <v>13</v>
      </c>
      <c r="F146">
        <v>14</v>
      </c>
      <c r="G146">
        <v>16</v>
      </c>
      <c r="H146">
        <v>21</v>
      </c>
      <c r="I146">
        <v>24</v>
      </c>
      <c r="J146">
        <v>42</v>
      </c>
      <c r="K146">
        <v>7</v>
      </c>
      <c r="M146">
        <v>1</v>
      </c>
      <c r="N146">
        <v>3</v>
      </c>
      <c r="O146">
        <v>2</v>
      </c>
      <c r="P146">
        <v>0</v>
      </c>
      <c r="Q146">
        <v>1</v>
      </c>
      <c r="S146">
        <v>137</v>
      </c>
      <c r="U146">
        <v>1</v>
      </c>
      <c r="V146">
        <v>6</v>
      </c>
      <c r="X146">
        <v>3</v>
      </c>
      <c r="Y146">
        <v>4</v>
      </c>
      <c r="AG146">
        <v>1</v>
      </c>
      <c r="AM146">
        <v>1</v>
      </c>
      <c r="AN146">
        <v>1</v>
      </c>
      <c r="AP146">
        <v>1</v>
      </c>
      <c r="AU146">
        <v>1</v>
      </c>
      <c r="AX146">
        <v>1</v>
      </c>
      <c r="BP146">
        <v>1</v>
      </c>
      <c r="BY146">
        <v>169</v>
      </c>
      <c r="BZ146">
        <v>115</v>
      </c>
    </row>
    <row r="147" spans="1:78" x14ac:dyDescent="0.25">
      <c r="A147" s="1">
        <v>42404</v>
      </c>
      <c r="B147" t="s">
        <v>320</v>
      </c>
      <c r="C147" t="s">
        <v>125</v>
      </c>
      <c r="E147">
        <v>2</v>
      </c>
      <c r="F147">
        <v>21</v>
      </c>
      <c r="G147">
        <v>26</v>
      </c>
      <c r="H147">
        <v>34</v>
      </c>
      <c r="I147">
        <v>39</v>
      </c>
      <c r="J147">
        <v>49</v>
      </c>
      <c r="K147">
        <v>3</v>
      </c>
      <c r="M147">
        <v>2</v>
      </c>
      <c r="N147">
        <v>0</v>
      </c>
      <c r="O147">
        <v>2</v>
      </c>
      <c r="P147">
        <v>2</v>
      </c>
      <c r="Q147">
        <v>1</v>
      </c>
      <c r="S147">
        <v>174</v>
      </c>
      <c r="U147">
        <v>4</v>
      </c>
      <c r="V147">
        <v>3</v>
      </c>
      <c r="X147">
        <v>4</v>
      </c>
      <c r="Y147">
        <v>3</v>
      </c>
      <c r="AB147">
        <v>1</v>
      </c>
      <c r="AC147">
        <v>1</v>
      </c>
      <c r="AU147">
        <v>1</v>
      </c>
      <c r="AZ147">
        <v>1</v>
      </c>
      <c r="BH147">
        <v>1</v>
      </c>
      <c r="BM147">
        <v>1</v>
      </c>
      <c r="BW147">
        <v>1</v>
      </c>
      <c r="BY147">
        <v>200</v>
      </c>
      <c r="BZ147">
        <v>145</v>
      </c>
    </row>
    <row r="148" spans="1:78" x14ac:dyDescent="0.25">
      <c r="A148" s="1">
        <v>42401</v>
      </c>
      <c r="B148" t="s">
        <v>271</v>
      </c>
      <c r="C148" t="s">
        <v>126</v>
      </c>
      <c r="E148">
        <v>9</v>
      </c>
      <c r="F148">
        <v>10</v>
      </c>
      <c r="G148">
        <v>11</v>
      </c>
      <c r="H148">
        <v>22</v>
      </c>
      <c r="I148">
        <v>23</v>
      </c>
      <c r="J148">
        <v>32</v>
      </c>
      <c r="K148">
        <v>6</v>
      </c>
      <c r="M148">
        <v>2</v>
      </c>
      <c r="N148">
        <v>2</v>
      </c>
      <c r="O148">
        <v>2</v>
      </c>
      <c r="P148">
        <v>1</v>
      </c>
      <c r="Q148">
        <v>0</v>
      </c>
      <c r="S148">
        <v>113</v>
      </c>
      <c r="U148">
        <v>1</v>
      </c>
      <c r="V148">
        <v>6</v>
      </c>
      <c r="X148">
        <v>3</v>
      </c>
      <c r="Y148">
        <v>4</v>
      </c>
      <c r="AF148">
        <v>1</v>
      </c>
      <c r="AI148">
        <v>1</v>
      </c>
      <c r="AJ148">
        <v>1</v>
      </c>
      <c r="AK148">
        <v>1</v>
      </c>
      <c r="AV148">
        <v>1</v>
      </c>
      <c r="AW148">
        <v>1</v>
      </c>
      <c r="BF148">
        <v>1</v>
      </c>
      <c r="BY148">
        <v>150</v>
      </c>
      <c r="BZ148">
        <v>95</v>
      </c>
    </row>
    <row r="149" spans="1:78" x14ac:dyDescent="0.25">
      <c r="A149" s="1">
        <v>42397</v>
      </c>
      <c r="B149" t="s">
        <v>347</v>
      </c>
      <c r="C149" t="s">
        <v>127</v>
      </c>
      <c r="E149">
        <v>4</v>
      </c>
      <c r="F149">
        <v>20</v>
      </c>
      <c r="G149">
        <v>22</v>
      </c>
      <c r="H149">
        <v>40</v>
      </c>
      <c r="I149">
        <v>41</v>
      </c>
      <c r="J149">
        <v>48</v>
      </c>
      <c r="K149">
        <v>21</v>
      </c>
      <c r="M149">
        <v>1</v>
      </c>
      <c r="N149">
        <v>0</v>
      </c>
      <c r="O149">
        <v>3</v>
      </c>
      <c r="P149">
        <v>0</v>
      </c>
      <c r="Q149">
        <v>3</v>
      </c>
      <c r="S149">
        <v>196</v>
      </c>
      <c r="U149">
        <v>3</v>
      </c>
      <c r="V149">
        <v>4</v>
      </c>
      <c r="X149">
        <v>2</v>
      </c>
      <c r="Y149">
        <v>5</v>
      </c>
      <c r="AD149">
        <v>1</v>
      </c>
      <c r="AT149">
        <v>1</v>
      </c>
      <c r="AU149">
        <v>1</v>
      </c>
      <c r="AV149">
        <v>1</v>
      </c>
      <c r="BN149">
        <v>1</v>
      </c>
      <c r="BO149">
        <v>1</v>
      </c>
      <c r="BV149">
        <v>1</v>
      </c>
      <c r="BY149">
        <v>237</v>
      </c>
      <c r="BZ149">
        <v>187</v>
      </c>
    </row>
    <row r="150" spans="1:78" x14ac:dyDescent="0.25">
      <c r="A150" s="1">
        <v>42394</v>
      </c>
      <c r="B150" t="s">
        <v>334</v>
      </c>
      <c r="C150" t="s">
        <v>128</v>
      </c>
      <c r="E150">
        <v>16</v>
      </c>
      <c r="F150">
        <v>17</v>
      </c>
      <c r="G150">
        <v>19</v>
      </c>
      <c r="H150">
        <v>35</v>
      </c>
      <c r="I150">
        <v>40</v>
      </c>
      <c r="J150">
        <v>48</v>
      </c>
      <c r="K150">
        <v>37</v>
      </c>
      <c r="M150">
        <v>0</v>
      </c>
      <c r="N150">
        <v>3</v>
      </c>
      <c r="O150">
        <v>0</v>
      </c>
      <c r="P150">
        <v>2</v>
      </c>
      <c r="Q150">
        <v>2</v>
      </c>
      <c r="S150">
        <v>212</v>
      </c>
      <c r="U150">
        <v>4</v>
      </c>
      <c r="V150">
        <v>3</v>
      </c>
      <c r="X150">
        <v>4</v>
      </c>
      <c r="Y150">
        <v>3</v>
      </c>
      <c r="AP150">
        <v>1</v>
      </c>
      <c r="AQ150">
        <v>1</v>
      </c>
      <c r="AS150">
        <v>1</v>
      </c>
      <c r="BI150">
        <v>1</v>
      </c>
      <c r="BK150">
        <v>1</v>
      </c>
      <c r="BN150">
        <v>1</v>
      </c>
      <c r="BV150">
        <v>1</v>
      </c>
      <c r="BY150">
        <v>228</v>
      </c>
      <c r="BZ150">
        <v>175</v>
      </c>
    </row>
    <row r="151" spans="1:78" x14ac:dyDescent="0.25">
      <c r="A151" s="1">
        <v>42390</v>
      </c>
      <c r="B151" t="s">
        <v>348</v>
      </c>
      <c r="C151" t="s">
        <v>129</v>
      </c>
      <c r="E151">
        <v>2</v>
      </c>
      <c r="F151">
        <v>11</v>
      </c>
      <c r="G151">
        <v>23</v>
      </c>
      <c r="H151">
        <v>24</v>
      </c>
      <c r="I151">
        <v>33</v>
      </c>
      <c r="J151">
        <v>44</v>
      </c>
      <c r="K151">
        <v>28</v>
      </c>
      <c r="M151">
        <v>1</v>
      </c>
      <c r="N151">
        <v>1</v>
      </c>
      <c r="O151">
        <v>3</v>
      </c>
      <c r="P151">
        <v>1</v>
      </c>
      <c r="Q151">
        <v>1</v>
      </c>
      <c r="S151">
        <v>165</v>
      </c>
      <c r="U151">
        <v>3</v>
      </c>
      <c r="V151">
        <v>4</v>
      </c>
      <c r="X151">
        <v>3</v>
      </c>
      <c r="Y151">
        <v>4</v>
      </c>
      <c r="AB151">
        <v>1</v>
      </c>
      <c r="AK151">
        <v>1</v>
      </c>
      <c r="AW151">
        <v>1</v>
      </c>
      <c r="AX151">
        <v>1</v>
      </c>
      <c r="BB151">
        <v>1</v>
      </c>
      <c r="BG151">
        <v>1</v>
      </c>
      <c r="BR151">
        <v>1</v>
      </c>
      <c r="BY151">
        <v>200</v>
      </c>
      <c r="BZ151">
        <v>144</v>
      </c>
    </row>
    <row r="152" spans="1:78" x14ac:dyDescent="0.25">
      <c r="A152" s="1">
        <v>42387</v>
      </c>
      <c r="B152" t="s">
        <v>349</v>
      </c>
      <c r="C152" t="s">
        <v>130</v>
      </c>
      <c r="E152">
        <v>4</v>
      </c>
      <c r="F152">
        <v>11</v>
      </c>
      <c r="G152">
        <v>40</v>
      </c>
      <c r="H152">
        <v>43</v>
      </c>
      <c r="I152">
        <v>48</v>
      </c>
      <c r="J152">
        <v>49</v>
      </c>
      <c r="K152">
        <v>17</v>
      </c>
      <c r="M152">
        <v>1</v>
      </c>
      <c r="N152">
        <v>2</v>
      </c>
      <c r="O152">
        <v>0</v>
      </c>
      <c r="P152">
        <v>0</v>
      </c>
      <c r="Q152">
        <v>4</v>
      </c>
      <c r="S152">
        <v>212</v>
      </c>
      <c r="U152">
        <v>4</v>
      </c>
      <c r="V152">
        <v>3</v>
      </c>
      <c r="X152">
        <v>4</v>
      </c>
      <c r="Y152">
        <v>3</v>
      </c>
      <c r="AD152">
        <v>1</v>
      </c>
      <c r="AK152">
        <v>1</v>
      </c>
      <c r="AQ152">
        <v>1</v>
      </c>
      <c r="BN152">
        <v>1</v>
      </c>
      <c r="BQ152">
        <v>1</v>
      </c>
      <c r="BV152">
        <v>1</v>
      </c>
      <c r="BW152">
        <v>1</v>
      </c>
      <c r="BY152">
        <v>236</v>
      </c>
      <c r="BZ152">
        <v>188</v>
      </c>
    </row>
    <row r="153" spans="1:78" x14ac:dyDescent="0.25">
      <c r="A153" s="1">
        <v>42383</v>
      </c>
      <c r="B153" t="s">
        <v>350</v>
      </c>
      <c r="C153" t="s">
        <v>131</v>
      </c>
      <c r="E153">
        <v>1</v>
      </c>
      <c r="F153">
        <v>2</v>
      </c>
      <c r="G153">
        <v>4</v>
      </c>
      <c r="H153">
        <v>7</v>
      </c>
      <c r="I153">
        <v>28</v>
      </c>
      <c r="J153">
        <v>41</v>
      </c>
      <c r="K153">
        <v>18</v>
      </c>
      <c r="M153">
        <v>4</v>
      </c>
      <c r="N153">
        <v>1</v>
      </c>
      <c r="O153">
        <v>1</v>
      </c>
      <c r="P153">
        <v>0</v>
      </c>
      <c r="Q153">
        <v>1</v>
      </c>
      <c r="S153">
        <v>101</v>
      </c>
      <c r="U153">
        <v>2</v>
      </c>
      <c r="V153">
        <v>5</v>
      </c>
      <c r="X153">
        <v>3</v>
      </c>
      <c r="Y153">
        <v>4</v>
      </c>
      <c r="AA153">
        <v>1</v>
      </c>
      <c r="AB153">
        <v>1</v>
      </c>
      <c r="AD153">
        <v>1</v>
      </c>
      <c r="AG153">
        <v>1</v>
      </c>
      <c r="AR153">
        <v>1</v>
      </c>
      <c r="BB153">
        <v>1</v>
      </c>
      <c r="BO153">
        <v>1</v>
      </c>
      <c r="BY153">
        <v>127</v>
      </c>
      <c r="BZ153">
        <v>80</v>
      </c>
    </row>
    <row r="154" spans="1:78" x14ac:dyDescent="0.25">
      <c r="A154" s="1">
        <v>42380</v>
      </c>
      <c r="B154" t="s">
        <v>351</v>
      </c>
      <c r="C154" t="s">
        <v>132</v>
      </c>
      <c r="E154">
        <v>13</v>
      </c>
      <c r="F154">
        <v>20</v>
      </c>
      <c r="G154">
        <v>22</v>
      </c>
      <c r="H154">
        <v>29</v>
      </c>
      <c r="I154">
        <v>36</v>
      </c>
      <c r="J154">
        <v>37</v>
      </c>
      <c r="K154">
        <v>33</v>
      </c>
      <c r="M154">
        <v>0</v>
      </c>
      <c r="N154">
        <v>1</v>
      </c>
      <c r="O154">
        <v>3</v>
      </c>
      <c r="P154">
        <v>3</v>
      </c>
      <c r="Q154">
        <v>0</v>
      </c>
      <c r="S154">
        <v>190</v>
      </c>
      <c r="U154">
        <v>4</v>
      </c>
      <c r="V154">
        <v>3</v>
      </c>
      <c r="X154">
        <v>4</v>
      </c>
      <c r="Y154">
        <v>3</v>
      </c>
      <c r="AM154">
        <v>1</v>
      </c>
      <c r="AT154">
        <v>1</v>
      </c>
      <c r="AV154">
        <v>1</v>
      </c>
      <c r="BC154">
        <v>1</v>
      </c>
      <c r="BG154">
        <v>1</v>
      </c>
      <c r="BJ154">
        <v>1</v>
      </c>
      <c r="BK154">
        <v>1</v>
      </c>
      <c r="BY154">
        <v>217</v>
      </c>
      <c r="BZ154">
        <v>166</v>
      </c>
    </row>
    <row r="155" spans="1:78" x14ac:dyDescent="0.25">
      <c r="A155" s="1">
        <v>42376</v>
      </c>
      <c r="B155" t="s">
        <v>309</v>
      </c>
      <c r="C155" t="s">
        <v>133</v>
      </c>
      <c r="E155">
        <v>3</v>
      </c>
      <c r="F155">
        <v>5</v>
      </c>
      <c r="G155">
        <v>6</v>
      </c>
      <c r="H155">
        <v>20</v>
      </c>
      <c r="I155">
        <v>21</v>
      </c>
      <c r="J155">
        <v>45</v>
      </c>
      <c r="K155">
        <v>33</v>
      </c>
      <c r="M155">
        <v>3</v>
      </c>
      <c r="N155">
        <v>0</v>
      </c>
      <c r="O155">
        <v>2</v>
      </c>
      <c r="P155">
        <v>1</v>
      </c>
      <c r="Q155">
        <v>1</v>
      </c>
      <c r="S155">
        <v>133</v>
      </c>
      <c r="U155">
        <v>2</v>
      </c>
      <c r="V155">
        <v>5</v>
      </c>
      <c r="X155">
        <v>5</v>
      </c>
      <c r="Y155">
        <v>2</v>
      </c>
      <c r="AC155">
        <v>1</v>
      </c>
      <c r="AE155">
        <v>1</v>
      </c>
      <c r="AF155">
        <v>1</v>
      </c>
      <c r="AT155">
        <v>1</v>
      </c>
      <c r="AU155">
        <v>1</v>
      </c>
      <c r="BG155">
        <v>1</v>
      </c>
      <c r="BS155">
        <v>1</v>
      </c>
      <c r="BY155">
        <v>169</v>
      </c>
      <c r="BZ155">
        <v>117</v>
      </c>
    </row>
    <row r="156" spans="1:78" x14ac:dyDescent="0.25">
      <c r="A156" s="1">
        <v>42373</v>
      </c>
      <c r="B156" t="s">
        <v>263</v>
      </c>
      <c r="C156" t="s">
        <v>134</v>
      </c>
      <c r="E156">
        <v>3</v>
      </c>
      <c r="F156">
        <v>9</v>
      </c>
      <c r="G156">
        <v>18</v>
      </c>
      <c r="H156">
        <v>28</v>
      </c>
      <c r="I156">
        <v>31</v>
      </c>
      <c r="J156">
        <v>46</v>
      </c>
      <c r="K156">
        <v>32</v>
      </c>
      <c r="M156">
        <v>2</v>
      </c>
      <c r="N156">
        <v>1</v>
      </c>
      <c r="O156">
        <v>1</v>
      </c>
      <c r="P156">
        <v>2</v>
      </c>
      <c r="Q156">
        <v>1</v>
      </c>
      <c r="S156">
        <v>167</v>
      </c>
      <c r="U156">
        <v>4</v>
      </c>
      <c r="V156">
        <v>3</v>
      </c>
      <c r="X156">
        <v>3</v>
      </c>
      <c r="Y156">
        <v>4</v>
      </c>
      <c r="AC156">
        <v>1</v>
      </c>
      <c r="AI156">
        <v>1</v>
      </c>
      <c r="AR156">
        <v>1</v>
      </c>
      <c r="BB156">
        <v>1</v>
      </c>
      <c r="BE156">
        <v>1</v>
      </c>
      <c r="BF156">
        <v>1</v>
      </c>
      <c r="BT156">
        <v>1</v>
      </c>
      <c r="BY156">
        <v>191</v>
      </c>
      <c r="BZ156">
        <v>134</v>
      </c>
    </row>
    <row r="157" spans="1:78" x14ac:dyDescent="0.25">
      <c r="A157" s="1">
        <v>42369</v>
      </c>
      <c r="B157" t="s">
        <v>332</v>
      </c>
      <c r="C157" t="s">
        <v>135</v>
      </c>
      <c r="E157">
        <v>9</v>
      </c>
      <c r="F157">
        <v>21</v>
      </c>
      <c r="G157">
        <v>23</v>
      </c>
      <c r="H157">
        <v>35</v>
      </c>
      <c r="I157">
        <v>38</v>
      </c>
      <c r="J157">
        <v>41</v>
      </c>
      <c r="K157">
        <v>36</v>
      </c>
      <c r="M157">
        <v>1</v>
      </c>
      <c r="N157">
        <v>0</v>
      </c>
      <c r="O157">
        <v>2</v>
      </c>
      <c r="P157">
        <v>3</v>
      </c>
      <c r="Q157">
        <v>1</v>
      </c>
      <c r="S157">
        <v>203</v>
      </c>
      <c r="U157">
        <v>4</v>
      </c>
      <c r="V157">
        <v>3</v>
      </c>
      <c r="X157">
        <v>5</v>
      </c>
      <c r="Y157">
        <v>2</v>
      </c>
      <c r="AI157">
        <v>1</v>
      </c>
      <c r="AU157">
        <v>1</v>
      </c>
      <c r="AW157">
        <v>1</v>
      </c>
      <c r="BI157">
        <v>1</v>
      </c>
      <c r="BJ157">
        <v>1</v>
      </c>
      <c r="BL157">
        <v>1</v>
      </c>
      <c r="BO157">
        <v>1</v>
      </c>
      <c r="BY157">
        <v>229</v>
      </c>
      <c r="BZ157">
        <v>175</v>
      </c>
    </row>
    <row r="158" spans="1:78" x14ac:dyDescent="0.25">
      <c r="A158" s="1">
        <v>42366</v>
      </c>
      <c r="B158" t="s">
        <v>352</v>
      </c>
      <c r="C158" t="s">
        <v>136</v>
      </c>
      <c r="E158">
        <v>7</v>
      </c>
      <c r="F158">
        <v>15</v>
      </c>
      <c r="G158">
        <v>16</v>
      </c>
      <c r="H158">
        <v>17</v>
      </c>
      <c r="I158">
        <v>35</v>
      </c>
      <c r="J158">
        <v>47</v>
      </c>
      <c r="K158">
        <v>41</v>
      </c>
      <c r="M158">
        <v>1</v>
      </c>
      <c r="N158">
        <v>3</v>
      </c>
      <c r="O158">
        <v>0</v>
      </c>
      <c r="P158">
        <v>1</v>
      </c>
      <c r="Q158">
        <v>2</v>
      </c>
      <c r="S158">
        <v>178</v>
      </c>
      <c r="U158">
        <v>3</v>
      </c>
      <c r="V158">
        <v>4</v>
      </c>
      <c r="X158">
        <v>6</v>
      </c>
      <c r="Y158">
        <v>1</v>
      </c>
      <c r="AG158">
        <v>1</v>
      </c>
      <c r="AO158">
        <v>1</v>
      </c>
      <c r="AP158">
        <v>1</v>
      </c>
      <c r="AQ158">
        <v>1</v>
      </c>
      <c r="BI158">
        <v>1</v>
      </c>
      <c r="BO158">
        <v>1</v>
      </c>
      <c r="BU158">
        <v>1</v>
      </c>
      <c r="BY158">
        <v>199</v>
      </c>
      <c r="BZ158">
        <v>145</v>
      </c>
    </row>
    <row r="159" spans="1:78" x14ac:dyDescent="0.25">
      <c r="A159" s="1">
        <v>42362</v>
      </c>
      <c r="B159" t="s">
        <v>353</v>
      </c>
      <c r="C159" t="s">
        <v>137</v>
      </c>
      <c r="E159">
        <v>10</v>
      </c>
      <c r="F159">
        <v>20</v>
      </c>
      <c r="G159">
        <v>21</v>
      </c>
      <c r="H159">
        <v>27</v>
      </c>
      <c r="I159">
        <v>33</v>
      </c>
      <c r="J159">
        <v>46</v>
      </c>
      <c r="K159">
        <v>37</v>
      </c>
      <c r="M159">
        <v>0</v>
      </c>
      <c r="N159">
        <v>1</v>
      </c>
      <c r="O159">
        <v>3</v>
      </c>
      <c r="P159">
        <v>2</v>
      </c>
      <c r="Q159">
        <v>1</v>
      </c>
      <c r="S159">
        <v>194</v>
      </c>
      <c r="U159">
        <v>4</v>
      </c>
      <c r="V159">
        <v>3</v>
      </c>
      <c r="X159">
        <v>4</v>
      </c>
      <c r="Y159">
        <v>3</v>
      </c>
      <c r="AJ159">
        <v>1</v>
      </c>
      <c r="AT159">
        <v>1</v>
      </c>
      <c r="AU159">
        <v>1</v>
      </c>
      <c r="BA159">
        <v>1</v>
      </c>
      <c r="BG159">
        <v>1</v>
      </c>
      <c r="BK159">
        <v>1</v>
      </c>
      <c r="BT159">
        <v>1</v>
      </c>
      <c r="BY159">
        <v>229</v>
      </c>
      <c r="BZ159">
        <v>174</v>
      </c>
    </row>
    <row r="160" spans="1:78" x14ac:dyDescent="0.25">
      <c r="A160" s="1">
        <v>42359</v>
      </c>
      <c r="B160" t="s">
        <v>354</v>
      </c>
      <c r="C160" t="s">
        <v>138</v>
      </c>
      <c r="E160">
        <v>11</v>
      </c>
      <c r="F160">
        <v>14</v>
      </c>
      <c r="G160">
        <v>18</v>
      </c>
      <c r="H160">
        <v>22</v>
      </c>
      <c r="I160">
        <v>35</v>
      </c>
      <c r="J160">
        <v>43</v>
      </c>
      <c r="K160">
        <v>28</v>
      </c>
      <c r="M160">
        <v>0</v>
      </c>
      <c r="N160">
        <v>3</v>
      </c>
      <c r="O160">
        <v>2</v>
      </c>
      <c r="P160">
        <v>1</v>
      </c>
      <c r="Q160">
        <v>1</v>
      </c>
      <c r="S160">
        <v>171</v>
      </c>
      <c r="U160">
        <v>3</v>
      </c>
      <c r="V160">
        <v>4</v>
      </c>
      <c r="X160">
        <v>3</v>
      </c>
      <c r="Y160">
        <v>4</v>
      </c>
      <c r="AK160">
        <v>1</v>
      </c>
      <c r="AN160">
        <v>1</v>
      </c>
      <c r="AR160">
        <v>1</v>
      </c>
      <c r="AV160">
        <v>1</v>
      </c>
      <c r="BB160">
        <v>1</v>
      </c>
      <c r="BI160">
        <v>1</v>
      </c>
      <c r="BQ160">
        <v>1</v>
      </c>
      <c r="BY160">
        <v>199</v>
      </c>
      <c r="BZ160">
        <v>144</v>
      </c>
    </row>
    <row r="161" spans="1:78" x14ac:dyDescent="0.25">
      <c r="A161" s="1">
        <v>42355</v>
      </c>
      <c r="B161" t="s">
        <v>316</v>
      </c>
      <c r="C161" t="s">
        <v>139</v>
      </c>
      <c r="E161">
        <v>2</v>
      </c>
      <c r="F161">
        <v>12</v>
      </c>
      <c r="G161">
        <v>17</v>
      </c>
      <c r="H161">
        <v>19</v>
      </c>
      <c r="I161">
        <v>20</v>
      </c>
      <c r="J161">
        <v>33</v>
      </c>
      <c r="K161">
        <v>27</v>
      </c>
      <c r="M161">
        <v>1</v>
      </c>
      <c r="N161">
        <v>3</v>
      </c>
      <c r="O161">
        <v>2</v>
      </c>
      <c r="P161">
        <v>1</v>
      </c>
      <c r="Q161">
        <v>0</v>
      </c>
      <c r="S161">
        <v>130</v>
      </c>
      <c r="U161">
        <v>2</v>
      </c>
      <c r="V161">
        <v>5</v>
      </c>
      <c r="X161">
        <v>4</v>
      </c>
      <c r="Y161">
        <v>3</v>
      </c>
      <c r="AB161">
        <v>1</v>
      </c>
      <c r="AL161">
        <v>1</v>
      </c>
      <c r="AQ161">
        <v>1</v>
      </c>
      <c r="AS161">
        <v>1</v>
      </c>
      <c r="AT161">
        <v>1</v>
      </c>
      <c r="BA161">
        <v>1</v>
      </c>
      <c r="BG161">
        <v>1</v>
      </c>
      <c r="BY161">
        <v>159</v>
      </c>
      <c r="BZ161">
        <v>105</v>
      </c>
    </row>
    <row r="162" spans="1:78" x14ac:dyDescent="0.25">
      <c r="A162" s="1">
        <v>42352</v>
      </c>
      <c r="B162" t="s">
        <v>355</v>
      </c>
      <c r="C162" t="s">
        <v>140</v>
      </c>
      <c r="E162">
        <v>6</v>
      </c>
      <c r="F162">
        <v>21</v>
      </c>
      <c r="G162">
        <v>25</v>
      </c>
      <c r="H162">
        <v>29</v>
      </c>
      <c r="I162">
        <v>33</v>
      </c>
      <c r="J162">
        <v>40</v>
      </c>
      <c r="K162">
        <v>31</v>
      </c>
      <c r="M162">
        <v>1</v>
      </c>
      <c r="N162">
        <v>0</v>
      </c>
      <c r="O162">
        <v>3</v>
      </c>
      <c r="P162">
        <v>2</v>
      </c>
      <c r="Q162">
        <v>1</v>
      </c>
      <c r="S162">
        <v>185</v>
      </c>
      <c r="U162">
        <v>5</v>
      </c>
      <c r="V162">
        <v>2</v>
      </c>
      <c r="X162">
        <v>5</v>
      </c>
      <c r="Y162">
        <v>2</v>
      </c>
      <c r="AF162">
        <v>1</v>
      </c>
      <c r="AU162">
        <v>1</v>
      </c>
      <c r="AY162">
        <v>1</v>
      </c>
      <c r="BC162">
        <v>1</v>
      </c>
      <c r="BE162">
        <v>1</v>
      </c>
      <c r="BG162">
        <v>1</v>
      </c>
      <c r="BN162">
        <v>1</v>
      </c>
      <c r="BY162">
        <v>219</v>
      </c>
      <c r="BZ162">
        <v>165</v>
      </c>
    </row>
    <row r="163" spans="1:78" x14ac:dyDescent="0.25">
      <c r="A163" s="1">
        <v>42348</v>
      </c>
      <c r="B163" t="s">
        <v>314</v>
      </c>
      <c r="C163" t="s">
        <v>141</v>
      </c>
      <c r="E163">
        <v>4</v>
      </c>
      <c r="F163">
        <v>8</v>
      </c>
      <c r="G163">
        <v>11</v>
      </c>
      <c r="H163">
        <v>39</v>
      </c>
      <c r="I163">
        <v>44</v>
      </c>
      <c r="J163">
        <v>46</v>
      </c>
      <c r="K163">
        <v>29</v>
      </c>
      <c r="M163">
        <v>2</v>
      </c>
      <c r="N163">
        <v>1</v>
      </c>
      <c r="O163">
        <v>1</v>
      </c>
      <c r="P163">
        <v>1</v>
      </c>
      <c r="Q163">
        <v>2</v>
      </c>
      <c r="S163">
        <v>181</v>
      </c>
      <c r="U163">
        <v>4</v>
      </c>
      <c r="V163">
        <v>3</v>
      </c>
      <c r="X163">
        <v>3</v>
      </c>
      <c r="Y163">
        <v>4</v>
      </c>
      <c r="AD163">
        <v>1</v>
      </c>
      <c r="AH163">
        <v>1</v>
      </c>
      <c r="AK163">
        <v>1</v>
      </c>
      <c r="BC163">
        <v>1</v>
      </c>
      <c r="BM163">
        <v>1</v>
      </c>
      <c r="BR163">
        <v>1</v>
      </c>
      <c r="BT163">
        <v>1</v>
      </c>
      <c r="BY163">
        <v>201</v>
      </c>
      <c r="BZ163">
        <v>144</v>
      </c>
    </row>
    <row r="164" spans="1:78" x14ac:dyDescent="0.25">
      <c r="A164" s="1">
        <v>42345</v>
      </c>
      <c r="B164" t="s">
        <v>284</v>
      </c>
      <c r="C164" t="s">
        <v>142</v>
      </c>
      <c r="E164">
        <v>5</v>
      </c>
      <c r="F164">
        <v>24</v>
      </c>
      <c r="G164">
        <v>26</v>
      </c>
      <c r="H164">
        <v>36</v>
      </c>
      <c r="I164">
        <v>44</v>
      </c>
      <c r="J164">
        <v>49</v>
      </c>
      <c r="K164">
        <v>19</v>
      </c>
      <c r="M164">
        <v>1</v>
      </c>
      <c r="N164">
        <v>1</v>
      </c>
      <c r="O164">
        <v>2</v>
      </c>
      <c r="P164">
        <v>1</v>
      </c>
      <c r="Q164">
        <v>2</v>
      </c>
      <c r="S164">
        <v>203</v>
      </c>
      <c r="U164">
        <v>4</v>
      </c>
      <c r="V164">
        <v>3</v>
      </c>
      <c r="X164">
        <v>3</v>
      </c>
      <c r="Y164">
        <v>4</v>
      </c>
      <c r="AE164">
        <v>1</v>
      </c>
      <c r="AS164">
        <v>1</v>
      </c>
      <c r="AX164">
        <v>1</v>
      </c>
      <c r="AZ164">
        <v>1</v>
      </c>
      <c r="BJ164">
        <v>1</v>
      </c>
      <c r="BR164">
        <v>1</v>
      </c>
      <c r="BW164">
        <v>1</v>
      </c>
      <c r="BY164">
        <v>221</v>
      </c>
      <c r="BZ164">
        <v>163</v>
      </c>
    </row>
    <row r="165" spans="1:78" x14ac:dyDescent="0.25">
      <c r="A165" s="1">
        <v>42341</v>
      </c>
      <c r="B165" t="s">
        <v>356</v>
      </c>
      <c r="C165" t="s">
        <v>143</v>
      </c>
      <c r="E165">
        <v>17</v>
      </c>
      <c r="F165">
        <v>20</v>
      </c>
      <c r="G165">
        <v>34</v>
      </c>
      <c r="H165">
        <v>37</v>
      </c>
      <c r="I165">
        <v>43</v>
      </c>
      <c r="J165">
        <v>48</v>
      </c>
      <c r="K165">
        <v>32</v>
      </c>
      <c r="M165">
        <v>0</v>
      </c>
      <c r="N165">
        <v>1</v>
      </c>
      <c r="O165">
        <v>1</v>
      </c>
      <c r="P165">
        <v>3</v>
      </c>
      <c r="Q165">
        <v>2</v>
      </c>
      <c r="S165">
        <v>231</v>
      </c>
      <c r="U165">
        <v>5</v>
      </c>
      <c r="V165">
        <v>2</v>
      </c>
      <c r="X165">
        <v>3</v>
      </c>
      <c r="Y165">
        <v>4</v>
      </c>
      <c r="AQ165">
        <v>1</v>
      </c>
      <c r="AT165">
        <v>1</v>
      </c>
      <c r="BF165">
        <v>1</v>
      </c>
      <c r="BH165">
        <v>1</v>
      </c>
      <c r="BK165">
        <v>1</v>
      </c>
      <c r="BQ165">
        <v>1</v>
      </c>
      <c r="BV165">
        <v>1</v>
      </c>
      <c r="BY165">
        <v>259</v>
      </c>
      <c r="BZ165">
        <v>204</v>
      </c>
    </row>
    <row r="166" spans="1:78" x14ac:dyDescent="0.25">
      <c r="A166" s="1">
        <v>42338</v>
      </c>
      <c r="B166" t="s">
        <v>357</v>
      </c>
      <c r="C166" t="s">
        <v>144</v>
      </c>
      <c r="E166">
        <v>11</v>
      </c>
      <c r="F166">
        <v>31</v>
      </c>
      <c r="G166">
        <v>35</v>
      </c>
      <c r="H166">
        <v>37</v>
      </c>
      <c r="I166">
        <v>44</v>
      </c>
      <c r="J166">
        <v>46</v>
      </c>
      <c r="K166">
        <v>42</v>
      </c>
      <c r="M166">
        <v>0</v>
      </c>
      <c r="N166">
        <v>1</v>
      </c>
      <c r="O166">
        <v>0</v>
      </c>
      <c r="P166">
        <v>3</v>
      </c>
      <c r="Q166">
        <v>3</v>
      </c>
      <c r="S166">
        <v>246</v>
      </c>
      <c r="U166">
        <v>6</v>
      </c>
      <c r="V166">
        <v>1</v>
      </c>
      <c r="X166">
        <v>4</v>
      </c>
      <c r="Y166">
        <v>3</v>
      </c>
      <c r="AK166">
        <v>1</v>
      </c>
      <c r="BE166">
        <v>1</v>
      </c>
      <c r="BI166">
        <v>1</v>
      </c>
      <c r="BK166">
        <v>1</v>
      </c>
      <c r="BP166">
        <v>1</v>
      </c>
      <c r="BR166">
        <v>1</v>
      </c>
      <c r="BT166">
        <v>1</v>
      </c>
      <c r="BY166">
        <v>277</v>
      </c>
      <c r="BZ166">
        <v>226</v>
      </c>
    </row>
    <row r="167" spans="1:78" x14ac:dyDescent="0.25">
      <c r="A167" s="1">
        <v>42334</v>
      </c>
      <c r="B167" t="s">
        <v>268</v>
      </c>
      <c r="C167" t="s">
        <v>145</v>
      </c>
      <c r="E167">
        <v>2</v>
      </c>
      <c r="F167">
        <v>24</v>
      </c>
      <c r="G167">
        <v>34</v>
      </c>
      <c r="H167">
        <v>43</v>
      </c>
      <c r="I167">
        <v>44</v>
      </c>
      <c r="J167">
        <v>46</v>
      </c>
      <c r="K167">
        <v>28</v>
      </c>
      <c r="M167">
        <v>1</v>
      </c>
      <c r="N167">
        <v>0</v>
      </c>
      <c r="O167">
        <v>2</v>
      </c>
      <c r="P167">
        <v>1</v>
      </c>
      <c r="Q167">
        <v>3</v>
      </c>
      <c r="S167">
        <v>221</v>
      </c>
      <c r="U167">
        <v>5</v>
      </c>
      <c r="V167">
        <v>2</v>
      </c>
      <c r="X167">
        <v>1</v>
      </c>
      <c r="Y167">
        <v>6</v>
      </c>
      <c r="AB167">
        <v>1</v>
      </c>
      <c r="AX167">
        <v>1</v>
      </c>
      <c r="BB167">
        <v>1</v>
      </c>
      <c r="BH167">
        <v>1</v>
      </c>
      <c r="BQ167">
        <v>1</v>
      </c>
      <c r="BR167">
        <v>1</v>
      </c>
      <c r="BT167">
        <v>1</v>
      </c>
      <c r="BY167">
        <v>249</v>
      </c>
      <c r="BZ167">
        <v>195</v>
      </c>
    </row>
    <row r="168" spans="1:78" x14ac:dyDescent="0.25">
      <c r="A168" s="1">
        <v>42331</v>
      </c>
      <c r="B168" t="s">
        <v>358</v>
      </c>
      <c r="C168" t="s">
        <v>146</v>
      </c>
      <c r="E168">
        <v>5</v>
      </c>
      <c r="F168">
        <v>31</v>
      </c>
      <c r="G168">
        <v>36</v>
      </c>
      <c r="H168">
        <v>39</v>
      </c>
      <c r="I168">
        <v>44</v>
      </c>
      <c r="J168">
        <v>46</v>
      </c>
      <c r="K168">
        <v>43</v>
      </c>
      <c r="M168">
        <v>1</v>
      </c>
      <c r="N168">
        <v>0</v>
      </c>
      <c r="O168">
        <v>0</v>
      </c>
      <c r="P168">
        <v>3</v>
      </c>
      <c r="Q168">
        <v>3</v>
      </c>
      <c r="S168">
        <v>244</v>
      </c>
      <c r="U168">
        <v>6</v>
      </c>
      <c r="V168">
        <v>1</v>
      </c>
      <c r="X168">
        <v>4</v>
      </c>
      <c r="Y168">
        <v>3</v>
      </c>
      <c r="AE168">
        <v>1</v>
      </c>
      <c r="BE168">
        <v>1</v>
      </c>
      <c r="BJ168">
        <v>1</v>
      </c>
      <c r="BM168">
        <v>1</v>
      </c>
      <c r="BQ168">
        <v>1</v>
      </c>
      <c r="BR168">
        <v>1</v>
      </c>
      <c r="BT168">
        <v>1</v>
      </c>
      <c r="BY168">
        <v>267</v>
      </c>
      <c r="BZ168">
        <v>217</v>
      </c>
    </row>
    <row r="169" spans="1:78" x14ac:dyDescent="0.25">
      <c r="A169" s="1">
        <v>42327</v>
      </c>
      <c r="B169" t="s">
        <v>346</v>
      </c>
      <c r="C169" t="s">
        <v>147</v>
      </c>
      <c r="E169">
        <v>1</v>
      </c>
      <c r="F169">
        <v>14</v>
      </c>
      <c r="G169">
        <v>19</v>
      </c>
      <c r="H169">
        <v>37</v>
      </c>
      <c r="I169">
        <v>40</v>
      </c>
      <c r="J169">
        <v>47</v>
      </c>
      <c r="K169">
        <v>9</v>
      </c>
      <c r="M169">
        <v>2</v>
      </c>
      <c r="N169">
        <v>2</v>
      </c>
      <c r="O169">
        <v>0</v>
      </c>
      <c r="P169">
        <v>1</v>
      </c>
      <c r="Q169">
        <v>2</v>
      </c>
      <c r="S169">
        <v>167</v>
      </c>
      <c r="U169">
        <v>3</v>
      </c>
      <c r="V169">
        <v>4</v>
      </c>
      <c r="X169">
        <v>5</v>
      </c>
      <c r="Y169">
        <v>2</v>
      </c>
      <c r="AA169">
        <v>1</v>
      </c>
      <c r="AI169">
        <v>1</v>
      </c>
      <c r="AN169">
        <v>1</v>
      </c>
      <c r="AS169">
        <v>1</v>
      </c>
      <c r="BK169">
        <v>1</v>
      </c>
      <c r="BN169">
        <v>1</v>
      </c>
      <c r="BU169">
        <v>1</v>
      </c>
      <c r="BY169">
        <v>190</v>
      </c>
      <c r="BZ169">
        <v>135</v>
      </c>
    </row>
    <row r="170" spans="1:78" x14ac:dyDescent="0.25">
      <c r="A170" s="1">
        <v>42324</v>
      </c>
      <c r="B170" t="s">
        <v>359</v>
      </c>
      <c r="C170" t="s">
        <v>148</v>
      </c>
      <c r="E170">
        <v>3</v>
      </c>
      <c r="F170">
        <v>5</v>
      </c>
      <c r="G170">
        <v>18</v>
      </c>
      <c r="H170">
        <v>41</v>
      </c>
      <c r="I170">
        <v>46</v>
      </c>
      <c r="J170">
        <v>48</v>
      </c>
      <c r="K170">
        <v>40</v>
      </c>
      <c r="M170">
        <v>2</v>
      </c>
      <c r="N170">
        <v>1</v>
      </c>
      <c r="O170">
        <v>0</v>
      </c>
      <c r="P170">
        <v>0</v>
      </c>
      <c r="Q170">
        <v>4</v>
      </c>
      <c r="S170">
        <v>201</v>
      </c>
      <c r="U170">
        <v>4</v>
      </c>
      <c r="V170">
        <v>3</v>
      </c>
      <c r="X170">
        <v>3</v>
      </c>
      <c r="Y170">
        <v>4</v>
      </c>
      <c r="AC170">
        <v>1</v>
      </c>
      <c r="AE170">
        <v>1</v>
      </c>
      <c r="AR170">
        <v>1</v>
      </c>
      <c r="BN170">
        <v>1</v>
      </c>
      <c r="BO170">
        <v>1</v>
      </c>
      <c r="BT170">
        <v>1</v>
      </c>
      <c r="BV170">
        <v>1</v>
      </c>
      <c r="BY170">
        <v>226</v>
      </c>
      <c r="BZ170">
        <v>179</v>
      </c>
    </row>
    <row r="171" spans="1:78" x14ac:dyDescent="0.25">
      <c r="A171" s="1">
        <v>42320</v>
      </c>
      <c r="B171" t="s">
        <v>326</v>
      </c>
      <c r="C171" t="s">
        <v>149</v>
      </c>
      <c r="E171">
        <v>8</v>
      </c>
      <c r="F171">
        <v>10</v>
      </c>
      <c r="G171">
        <v>11</v>
      </c>
      <c r="H171">
        <v>12</v>
      </c>
      <c r="I171">
        <v>33</v>
      </c>
      <c r="J171">
        <v>41</v>
      </c>
      <c r="K171">
        <v>1</v>
      </c>
      <c r="M171">
        <v>2</v>
      </c>
      <c r="N171">
        <v>3</v>
      </c>
      <c r="O171">
        <v>0</v>
      </c>
      <c r="P171">
        <v>1</v>
      </c>
      <c r="Q171">
        <v>1</v>
      </c>
      <c r="S171">
        <v>116</v>
      </c>
      <c r="U171">
        <v>2</v>
      </c>
      <c r="V171">
        <v>5</v>
      </c>
      <c r="X171">
        <v>4</v>
      </c>
      <c r="Y171">
        <v>3</v>
      </c>
      <c r="AA171">
        <v>1</v>
      </c>
      <c r="AH171">
        <v>1</v>
      </c>
      <c r="AJ171">
        <v>1</v>
      </c>
      <c r="AK171">
        <v>1</v>
      </c>
      <c r="AL171">
        <v>1</v>
      </c>
      <c r="BG171">
        <v>1</v>
      </c>
      <c r="BO171">
        <v>1</v>
      </c>
      <c r="BY171">
        <v>159</v>
      </c>
      <c r="BZ171">
        <v>106</v>
      </c>
    </row>
    <row r="172" spans="1:78" x14ac:dyDescent="0.25">
      <c r="A172" s="1">
        <v>42317</v>
      </c>
      <c r="B172" t="s">
        <v>360</v>
      </c>
      <c r="C172" t="s">
        <v>150</v>
      </c>
      <c r="E172">
        <v>3</v>
      </c>
      <c r="F172">
        <v>17</v>
      </c>
      <c r="G172">
        <v>36</v>
      </c>
      <c r="H172">
        <v>40</v>
      </c>
      <c r="I172">
        <v>48</v>
      </c>
      <c r="J172">
        <v>49</v>
      </c>
      <c r="K172">
        <v>12</v>
      </c>
      <c r="M172">
        <v>1</v>
      </c>
      <c r="N172">
        <v>2</v>
      </c>
      <c r="O172">
        <v>0</v>
      </c>
      <c r="P172">
        <v>1</v>
      </c>
      <c r="Q172">
        <v>3</v>
      </c>
      <c r="S172">
        <v>205</v>
      </c>
      <c r="U172">
        <v>4</v>
      </c>
      <c r="V172">
        <v>3</v>
      </c>
      <c r="X172">
        <v>3</v>
      </c>
      <c r="Y172">
        <v>4</v>
      </c>
      <c r="AC172">
        <v>1</v>
      </c>
      <c r="AL172">
        <v>1</v>
      </c>
      <c r="AQ172">
        <v>1</v>
      </c>
      <c r="BJ172">
        <v>1</v>
      </c>
      <c r="BN172">
        <v>1</v>
      </c>
      <c r="BV172">
        <v>1</v>
      </c>
      <c r="BW172">
        <v>1</v>
      </c>
      <c r="BY172">
        <v>229</v>
      </c>
      <c r="BZ172">
        <v>175</v>
      </c>
    </row>
    <row r="173" spans="1:78" x14ac:dyDescent="0.25">
      <c r="A173" s="1">
        <v>42313</v>
      </c>
      <c r="B173" t="s">
        <v>348</v>
      </c>
      <c r="C173" t="s">
        <v>151</v>
      </c>
      <c r="E173">
        <v>2</v>
      </c>
      <c r="F173">
        <v>26</v>
      </c>
      <c r="G173">
        <v>27</v>
      </c>
      <c r="H173">
        <v>28</v>
      </c>
      <c r="I173">
        <v>37</v>
      </c>
      <c r="J173">
        <v>47</v>
      </c>
      <c r="K173">
        <v>17</v>
      </c>
      <c r="M173">
        <v>1</v>
      </c>
      <c r="N173">
        <v>1</v>
      </c>
      <c r="O173">
        <v>3</v>
      </c>
      <c r="P173">
        <v>1</v>
      </c>
      <c r="Q173">
        <v>1</v>
      </c>
      <c r="S173">
        <v>184</v>
      </c>
      <c r="U173">
        <v>5</v>
      </c>
      <c r="V173">
        <v>2</v>
      </c>
      <c r="X173">
        <v>4</v>
      </c>
      <c r="Y173">
        <v>3</v>
      </c>
      <c r="AB173">
        <v>1</v>
      </c>
      <c r="AQ173">
        <v>1</v>
      </c>
      <c r="AZ173">
        <v>1</v>
      </c>
      <c r="BA173">
        <v>1</v>
      </c>
      <c r="BB173">
        <v>1</v>
      </c>
      <c r="BK173">
        <v>1</v>
      </c>
      <c r="BU173">
        <v>1</v>
      </c>
      <c r="BY173">
        <v>200</v>
      </c>
      <c r="BZ173">
        <v>144</v>
      </c>
    </row>
    <row r="174" spans="1:78" x14ac:dyDescent="0.25">
      <c r="A174" s="1">
        <v>42310</v>
      </c>
      <c r="B174" t="s">
        <v>280</v>
      </c>
      <c r="C174" t="s">
        <v>152</v>
      </c>
      <c r="E174">
        <v>1</v>
      </c>
      <c r="F174">
        <v>10</v>
      </c>
      <c r="G174">
        <v>18</v>
      </c>
      <c r="H174">
        <v>27</v>
      </c>
      <c r="I174">
        <v>35</v>
      </c>
      <c r="J174">
        <v>48</v>
      </c>
      <c r="K174">
        <v>30</v>
      </c>
      <c r="M174">
        <v>1</v>
      </c>
      <c r="N174">
        <v>2</v>
      </c>
      <c r="O174">
        <v>1</v>
      </c>
      <c r="P174">
        <v>2</v>
      </c>
      <c r="Q174">
        <v>1</v>
      </c>
      <c r="S174">
        <v>169</v>
      </c>
      <c r="U174">
        <v>4</v>
      </c>
      <c r="V174">
        <v>3</v>
      </c>
      <c r="X174">
        <v>3</v>
      </c>
      <c r="Y174">
        <v>4</v>
      </c>
      <c r="AA174">
        <v>1</v>
      </c>
      <c r="AJ174">
        <v>1</v>
      </c>
      <c r="AR174">
        <v>1</v>
      </c>
      <c r="BA174">
        <v>1</v>
      </c>
      <c r="BD174">
        <v>1</v>
      </c>
      <c r="BI174">
        <v>1</v>
      </c>
      <c r="BV174">
        <v>1</v>
      </c>
      <c r="BY174">
        <v>201</v>
      </c>
      <c r="BZ174">
        <v>143</v>
      </c>
    </row>
    <row r="175" spans="1:78" x14ac:dyDescent="0.25">
      <c r="A175" s="1">
        <v>42306</v>
      </c>
      <c r="B175" t="s">
        <v>314</v>
      </c>
      <c r="C175" t="s">
        <v>153</v>
      </c>
      <c r="E175">
        <v>7</v>
      </c>
      <c r="F175">
        <v>9</v>
      </c>
      <c r="G175">
        <v>18</v>
      </c>
      <c r="H175">
        <v>26</v>
      </c>
      <c r="I175">
        <v>36</v>
      </c>
      <c r="J175">
        <v>46</v>
      </c>
      <c r="K175">
        <v>43</v>
      </c>
      <c r="M175">
        <v>2</v>
      </c>
      <c r="N175">
        <v>1</v>
      </c>
      <c r="O175">
        <v>1</v>
      </c>
      <c r="P175">
        <v>1</v>
      </c>
      <c r="Q175">
        <v>2</v>
      </c>
      <c r="S175">
        <v>185</v>
      </c>
      <c r="U175">
        <v>4</v>
      </c>
      <c r="V175">
        <v>3</v>
      </c>
      <c r="X175">
        <v>3</v>
      </c>
      <c r="Y175">
        <v>4</v>
      </c>
      <c r="AG175">
        <v>1</v>
      </c>
      <c r="AI175">
        <v>1</v>
      </c>
      <c r="AR175">
        <v>1</v>
      </c>
      <c r="AZ175">
        <v>1</v>
      </c>
      <c r="BJ175">
        <v>1</v>
      </c>
      <c r="BQ175">
        <v>1</v>
      </c>
      <c r="BT175">
        <v>1</v>
      </c>
      <c r="BY175">
        <v>201</v>
      </c>
      <c r="BZ175">
        <v>144</v>
      </c>
    </row>
    <row r="176" spans="1:78" x14ac:dyDescent="0.25">
      <c r="A176" s="1">
        <v>42303</v>
      </c>
      <c r="B176" t="s">
        <v>277</v>
      </c>
      <c r="C176" t="s">
        <v>154</v>
      </c>
      <c r="E176">
        <v>1</v>
      </c>
      <c r="F176">
        <v>5</v>
      </c>
      <c r="G176">
        <v>22</v>
      </c>
      <c r="H176">
        <v>28</v>
      </c>
      <c r="I176">
        <v>48</v>
      </c>
      <c r="J176">
        <v>49</v>
      </c>
      <c r="K176">
        <v>8</v>
      </c>
      <c r="M176">
        <v>3</v>
      </c>
      <c r="N176">
        <v>0</v>
      </c>
      <c r="O176">
        <v>2</v>
      </c>
      <c r="P176">
        <v>0</v>
      </c>
      <c r="Q176">
        <v>2</v>
      </c>
      <c r="S176">
        <v>161</v>
      </c>
      <c r="U176">
        <v>3</v>
      </c>
      <c r="V176">
        <v>4</v>
      </c>
      <c r="X176">
        <v>3</v>
      </c>
      <c r="Y176">
        <v>4</v>
      </c>
      <c r="AA176">
        <v>1</v>
      </c>
      <c r="AE176">
        <v>1</v>
      </c>
      <c r="AH176">
        <v>1</v>
      </c>
      <c r="AV176">
        <v>1</v>
      </c>
      <c r="BB176">
        <v>1</v>
      </c>
      <c r="BV176">
        <v>1</v>
      </c>
      <c r="BW176">
        <v>1</v>
      </c>
      <c r="BY176">
        <v>178</v>
      </c>
      <c r="BZ176">
        <v>128</v>
      </c>
    </row>
    <row r="177" spans="1:78" x14ac:dyDescent="0.25">
      <c r="A177" s="1">
        <v>42299</v>
      </c>
      <c r="B177" t="s">
        <v>361</v>
      </c>
      <c r="C177" t="s">
        <v>155</v>
      </c>
      <c r="E177">
        <v>5</v>
      </c>
      <c r="F177">
        <v>16</v>
      </c>
      <c r="G177">
        <v>22</v>
      </c>
      <c r="H177">
        <v>29</v>
      </c>
      <c r="I177">
        <v>48</v>
      </c>
      <c r="J177">
        <v>49</v>
      </c>
      <c r="K177">
        <v>27</v>
      </c>
      <c r="M177">
        <v>1</v>
      </c>
      <c r="N177">
        <v>1</v>
      </c>
      <c r="O177">
        <v>3</v>
      </c>
      <c r="P177">
        <v>0</v>
      </c>
      <c r="Q177">
        <v>2</v>
      </c>
      <c r="S177">
        <v>196</v>
      </c>
      <c r="U177">
        <v>4</v>
      </c>
      <c r="V177">
        <v>3</v>
      </c>
      <c r="X177">
        <v>4</v>
      </c>
      <c r="Y177">
        <v>3</v>
      </c>
      <c r="AE177">
        <v>1</v>
      </c>
      <c r="AP177">
        <v>1</v>
      </c>
      <c r="AV177">
        <v>1</v>
      </c>
      <c r="BA177">
        <v>1</v>
      </c>
      <c r="BC177">
        <v>1</v>
      </c>
      <c r="BV177">
        <v>1</v>
      </c>
      <c r="BW177">
        <v>1</v>
      </c>
      <c r="BY177">
        <v>209</v>
      </c>
      <c r="BZ177">
        <v>155</v>
      </c>
    </row>
    <row r="178" spans="1:78" x14ac:dyDescent="0.25">
      <c r="A178" s="1">
        <v>42296</v>
      </c>
      <c r="B178" t="s">
        <v>306</v>
      </c>
      <c r="C178" t="s">
        <v>156</v>
      </c>
      <c r="E178">
        <v>10</v>
      </c>
      <c r="F178">
        <v>13</v>
      </c>
      <c r="G178">
        <v>27</v>
      </c>
      <c r="H178">
        <v>36</v>
      </c>
      <c r="I178">
        <v>39</v>
      </c>
      <c r="J178">
        <v>45</v>
      </c>
      <c r="K178">
        <v>47</v>
      </c>
      <c r="M178">
        <v>0</v>
      </c>
      <c r="N178">
        <v>2</v>
      </c>
      <c r="O178">
        <v>1</v>
      </c>
      <c r="P178">
        <v>2</v>
      </c>
      <c r="Q178">
        <v>2</v>
      </c>
      <c r="S178">
        <v>217</v>
      </c>
      <c r="U178">
        <v>5</v>
      </c>
      <c r="V178">
        <v>2</v>
      </c>
      <c r="X178">
        <v>5</v>
      </c>
      <c r="Y178">
        <v>2</v>
      </c>
      <c r="AJ178">
        <v>1</v>
      </c>
      <c r="AM178">
        <v>1</v>
      </c>
      <c r="BA178">
        <v>1</v>
      </c>
      <c r="BJ178">
        <v>1</v>
      </c>
      <c r="BM178">
        <v>1</v>
      </c>
      <c r="BS178">
        <v>1</v>
      </c>
      <c r="BU178">
        <v>1</v>
      </c>
      <c r="BY178">
        <v>240</v>
      </c>
      <c r="BZ178">
        <v>183</v>
      </c>
    </row>
    <row r="179" spans="1:78" x14ac:dyDescent="0.25">
      <c r="A179" s="1">
        <v>42292</v>
      </c>
      <c r="B179" t="s">
        <v>328</v>
      </c>
      <c r="C179" t="s">
        <v>157</v>
      </c>
      <c r="E179">
        <v>7</v>
      </c>
      <c r="F179">
        <v>14</v>
      </c>
      <c r="G179">
        <v>23</v>
      </c>
      <c r="H179">
        <v>25</v>
      </c>
      <c r="I179">
        <v>28</v>
      </c>
      <c r="J179">
        <v>33</v>
      </c>
      <c r="K179">
        <v>31</v>
      </c>
      <c r="M179">
        <v>1</v>
      </c>
      <c r="N179">
        <v>1</v>
      </c>
      <c r="O179">
        <v>3</v>
      </c>
      <c r="P179">
        <v>2</v>
      </c>
      <c r="Q179">
        <v>0</v>
      </c>
      <c r="S179">
        <v>161</v>
      </c>
      <c r="U179">
        <v>4</v>
      </c>
      <c r="V179">
        <v>3</v>
      </c>
      <c r="X179">
        <v>5</v>
      </c>
      <c r="Y179">
        <v>2</v>
      </c>
      <c r="AG179">
        <v>1</v>
      </c>
      <c r="AN179">
        <v>1</v>
      </c>
      <c r="AW179">
        <v>1</v>
      </c>
      <c r="AY179">
        <v>1</v>
      </c>
      <c r="BB179">
        <v>1</v>
      </c>
      <c r="BE179">
        <v>1</v>
      </c>
      <c r="BG179">
        <v>1</v>
      </c>
      <c r="BY179">
        <v>189</v>
      </c>
      <c r="BZ179">
        <v>135</v>
      </c>
    </row>
    <row r="180" spans="1:78" x14ac:dyDescent="0.25">
      <c r="A180" s="1">
        <v>42289</v>
      </c>
      <c r="B180" t="s">
        <v>362</v>
      </c>
      <c r="C180" t="s">
        <v>158</v>
      </c>
      <c r="E180">
        <v>6</v>
      </c>
      <c r="F180">
        <v>11</v>
      </c>
      <c r="G180">
        <v>17</v>
      </c>
      <c r="H180">
        <v>28</v>
      </c>
      <c r="I180">
        <v>41</v>
      </c>
      <c r="J180">
        <v>48</v>
      </c>
      <c r="K180">
        <v>19</v>
      </c>
      <c r="M180">
        <v>1</v>
      </c>
      <c r="N180">
        <v>3</v>
      </c>
      <c r="O180">
        <v>1</v>
      </c>
      <c r="P180">
        <v>0</v>
      </c>
      <c r="Q180">
        <v>2</v>
      </c>
      <c r="S180">
        <v>170</v>
      </c>
      <c r="U180">
        <v>3</v>
      </c>
      <c r="V180">
        <v>4</v>
      </c>
      <c r="X180">
        <v>4</v>
      </c>
      <c r="Y180">
        <v>3</v>
      </c>
      <c r="AF180">
        <v>1</v>
      </c>
      <c r="AK180">
        <v>1</v>
      </c>
      <c r="AQ180">
        <v>1</v>
      </c>
      <c r="AS180">
        <v>1</v>
      </c>
      <c r="BB180">
        <v>1</v>
      </c>
      <c r="BO180">
        <v>1</v>
      </c>
      <c r="BV180">
        <v>1</v>
      </c>
      <c r="BY180">
        <v>189</v>
      </c>
      <c r="BZ180">
        <v>135</v>
      </c>
    </row>
    <row r="181" spans="1:78" x14ac:dyDescent="0.25">
      <c r="A181" s="1">
        <v>42285</v>
      </c>
      <c r="B181" t="s">
        <v>363</v>
      </c>
      <c r="C181" t="s">
        <v>159</v>
      </c>
      <c r="E181">
        <v>6</v>
      </c>
      <c r="F181">
        <v>8</v>
      </c>
      <c r="G181">
        <v>15</v>
      </c>
      <c r="H181">
        <v>20</v>
      </c>
      <c r="I181">
        <v>25</v>
      </c>
      <c r="J181">
        <v>45</v>
      </c>
      <c r="K181">
        <v>22</v>
      </c>
      <c r="M181">
        <v>2</v>
      </c>
      <c r="N181">
        <v>1</v>
      </c>
      <c r="O181">
        <v>3</v>
      </c>
      <c r="P181">
        <v>0</v>
      </c>
      <c r="Q181">
        <v>1</v>
      </c>
      <c r="S181">
        <v>141</v>
      </c>
      <c r="U181">
        <v>2</v>
      </c>
      <c r="V181">
        <v>5</v>
      </c>
      <c r="X181">
        <v>3</v>
      </c>
      <c r="Y181">
        <v>4</v>
      </c>
      <c r="AF181">
        <v>1</v>
      </c>
      <c r="AH181">
        <v>1</v>
      </c>
      <c r="AO181">
        <v>1</v>
      </c>
      <c r="AT181">
        <v>1</v>
      </c>
      <c r="AV181">
        <v>1</v>
      </c>
      <c r="AY181">
        <v>1</v>
      </c>
      <c r="BS181">
        <v>1</v>
      </c>
      <c r="BY181">
        <v>169</v>
      </c>
      <c r="BZ181">
        <v>116</v>
      </c>
    </row>
    <row r="182" spans="1:78" x14ac:dyDescent="0.25">
      <c r="A182" s="1">
        <v>42282</v>
      </c>
      <c r="B182" t="s">
        <v>364</v>
      </c>
      <c r="C182" t="s">
        <v>160</v>
      </c>
      <c r="E182">
        <v>1</v>
      </c>
      <c r="F182">
        <v>4</v>
      </c>
      <c r="G182">
        <v>7</v>
      </c>
      <c r="H182">
        <v>20</v>
      </c>
      <c r="I182">
        <v>26</v>
      </c>
      <c r="J182">
        <v>28</v>
      </c>
      <c r="K182">
        <v>18</v>
      </c>
      <c r="M182">
        <v>3</v>
      </c>
      <c r="N182">
        <v>1</v>
      </c>
      <c r="O182">
        <v>3</v>
      </c>
      <c r="P182">
        <v>0</v>
      </c>
      <c r="Q182">
        <v>0</v>
      </c>
      <c r="S182">
        <v>104</v>
      </c>
      <c r="U182">
        <v>2</v>
      </c>
      <c r="V182">
        <v>5</v>
      </c>
      <c r="X182">
        <v>2</v>
      </c>
      <c r="Y182">
        <v>5</v>
      </c>
      <c r="AA182">
        <v>1</v>
      </c>
      <c r="AD182">
        <v>1</v>
      </c>
      <c r="AG182">
        <v>1</v>
      </c>
      <c r="AR182">
        <v>1</v>
      </c>
      <c r="AT182">
        <v>1</v>
      </c>
      <c r="AZ182">
        <v>1</v>
      </c>
      <c r="BB182">
        <v>1</v>
      </c>
      <c r="BY182">
        <v>127</v>
      </c>
      <c r="BZ182">
        <v>79</v>
      </c>
    </row>
    <row r="183" spans="1:78" x14ac:dyDescent="0.25">
      <c r="A183" s="1">
        <v>42278</v>
      </c>
      <c r="B183" t="s">
        <v>314</v>
      </c>
      <c r="C183" t="s">
        <v>161</v>
      </c>
      <c r="E183">
        <v>3</v>
      </c>
      <c r="F183">
        <v>6</v>
      </c>
      <c r="G183">
        <v>15</v>
      </c>
      <c r="H183">
        <v>27</v>
      </c>
      <c r="I183">
        <v>36</v>
      </c>
      <c r="J183">
        <v>41</v>
      </c>
      <c r="K183">
        <v>49</v>
      </c>
      <c r="M183">
        <v>2</v>
      </c>
      <c r="N183">
        <v>1</v>
      </c>
      <c r="O183">
        <v>1</v>
      </c>
      <c r="P183">
        <v>1</v>
      </c>
      <c r="Q183">
        <v>2</v>
      </c>
      <c r="S183">
        <v>177</v>
      </c>
      <c r="U183">
        <v>4</v>
      </c>
      <c r="V183">
        <v>3</v>
      </c>
      <c r="X183">
        <v>5</v>
      </c>
      <c r="Y183">
        <v>2</v>
      </c>
      <c r="AC183">
        <v>1</v>
      </c>
      <c r="AF183">
        <v>1</v>
      </c>
      <c r="AO183">
        <v>1</v>
      </c>
      <c r="BA183">
        <v>1</v>
      </c>
      <c r="BJ183">
        <v>1</v>
      </c>
      <c r="BO183">
        <v>1</v>
      </c>
      <c r="BW183">
        <v>1</v>
      </c>
      <c r="BY183">
        <v>201</v>
      </c>
      <c r="BZ183">
        <v>144</v>
      </c>
    </row>
    <row r="184" spans="1:78" x14ac:dyDescent="0.25">
      <c r="A184" s="1">
        <v>42275</v>
      </c>
      <c r="B184" t="s">
        <v>365</v>
      </c>
      <c r="C184" t="s">
        <v>162</v>
      </c>
      <c r="E184">
        <v>12</v>
      </c>
      <c r="F184">
        <v>32</v>
      </c>
      <c r="G184">
        <v>35</v>
      </c>
      <c r="H184">
        <v>40</v>
      </c>
      <c r="I184">
        <v>41</v>
      </c>
      <c r="J184">
        <v>47</v>
      </c>
      <c r="K184">
        <v>25</v>
      </c>
      <c r="M184">
        <v>0</v>
      </c>
      <c r="N184">
        <v>1</v>
      </c>
      <c r="O184">
        <v>1</v>
      </c>
      <c r="P184">
        <v>2</v>
      </c>
      <c r="Q184">
        <v>3</v>
      </c>
      <c r="S184">
        <v>232</v>
      </c>
      <c r="U184">
        <v>6</v>
      </c>
      <c r="V184">
        <v>1</v>
      </c>
      <c r="X184">
        <v>4</v>
      </c>
      <c r="Y184">
        <v>3</v>
      </c>
      <c r="AL184">
        <v>1</v>
      </c>
      <c r="AY184">
        <v>1</v>
      </c>
      <c r="BF184">
        <v>1</v>
      </c>
      <c r="BI184">
        <v>1</v>
      </c>
      <c r="BN184">
        <v>1</v>
      </c>
      <c r="BO184">
        <v>1</v>
      </c>
      <c r="BU184">
        <v>1</v>
      </c>
      <c r="BY184">
        <v>269</v>
      </c>
      <c r="BZ184">
        <v>214</v>
      </c>
    </row>
    <row r="185" spans="1:78" x14ac:dyDescent="0.25">
      <c r="A185" s="1">
        <v>42271</v>
      </c>
      <c r="B185" t="s">
        <v>262</v>
      </c>
      <c r="C185" t="s">
        <v>163</v>
      </c>
      <c r="E185">
        <v>8</v>
      </c>
      <c r="F185">
        <v>16</v>
      </c>
      <c r="G185">
        <v>25</v>
      </c>
      <c r="H185">
        <v>29</v>
      </c>
      <c r="I185">
        <v>31</v>
      </c>
      <c r="J185">
        <v>40</v>
      </c>
      <c r="K185">
        <v>11</v>
      </c>
      <c r="M185">
        <v>1</v>
      </c>
      <c r="N185">
        <v>2</v>
      </c>
      <c r="O185">
        <v>2</v>
      </c>
      <c r="P185">
        <v>1</v>
      </c>
      <c r="Q185">
        <v>1</v>
      </c>
      <c r="S185">
        <v>160</v>
      </c>
      <c r="U185">
        <v>4</v>
      </c>
      <c r="V185">
        <v>3</v>
      </c>
      <c r="X185">
        <v>4</v>
      </c>
      <c r="Y185">
        <v>3</v>
      </c>
      <c r="AH185">
        <v>1</v>
      </c>
      <c r="AK185">
        <v>1</v>
      </c>
      <c r="AP185">
        <v>1</v>
      </c>
      <c r="AY185">
        <v>1</v>
      </c>
      <c r="BC185">
        <v>1</v>
      </c>
      <c r="BE185">
        <v>1</v>
      </c>
      <c r="BN185">
        <v>1</v>
      </c>
      <c r="BY185">
        <v>191</v>
      </c>
      <c r="BZ185">
        <v>133</v>
      </c>
    </row>
    <row r="186" spans="1:78" x14ac:dyDescent="0.25">
      <c r="A186" s="1">
        <v>42268</v>
      </c>
      <c r="B186" t="s">
        <v>271</v>
      </c>
      <c r="C186" t="s">
        <v>164</v>
      </c>
      <c r="E186">
        <v>8</v>
      </c>
      <c r="F186">
        <v>9</v>
      </c>
      <c r="G186">
        <v>10</v>
      </c>
      <c r="H186">
        <v>19</v>
      </c>
      <c r="I186">
        <v>28</v>
      </c>
      <c r="J186">
        <v>33</v>
      </c>
      <c r="K186">
        <v>24</v>
      </c>
      <c r="M186">
        <v>2</v>
      </c>
      <c r="N186">
        <v>2</v>
      </c>
      <c r="O186">
        <v>2</v>
      </c>
      <c r="P186">
        <v>1</v>
      </c>
      <c r="Q186">
        <v>0</v>
      </c>
      <c r="S186">
        <v>131</v>
      </c>
      <c r="U186">
        <v>2</v>
      </c>
      <c r="V186">
        <v>5</v>
      </c>
      <c r="X186">
        <v>3</v>
      </c>
      <c r="Y186">
        <v>4</v>
      </c>
      <c r="AH186">
        <v>1</v>
      </c>
      <c r="AI186">
        <v>1</v>
      </c>
      <c r="AJ186">
        <v>1</v>
      </c>
      <c r="AS186">
        <v>1</v>
      </c>
      <c r="AX186">
        <v>1</v>
      </c>
      <c r="BB186">
        <v>1</v>
      </c>
      <c r="BG186">
        <v>1</v>
      </c>
      <c r="BY186">
        <v>150</v>
      </c>
      <c r="BZ186">
        <v>95</v>
      </c>
    </row>
    <row r="187" spans="1:78" x14ac:dyDescent="0.25">
      <c r="A187" s="1">
        <v>42264</v>
      </c>
      <c r="B187" t="s">
        <v>263</v>
      </c>
      <c r="C187" t="s">
        <v>165</v>
      </c>
      <c r="E187">
        <v>5</v>
      </c>
      <c r="F187">
        <v>8</v>
      </c>
      <c r="G187">
        <v>20</v>
      </c>
      <c r="H187">
        <v>30</v>
      </c>
      <c r="I187">
        <v>35</v>
      </c>
      <c r="J187">
        <v>49</v>
      </c>
      <c r="K187">
        <v>12</v>
      </c>
      <c r="M187">
        <v>2</v>
      </c>
      <c r="N187">
        <v>1</v>
      </c>
      <c r="O187">
        <v>1</v>
      </c>
      <c r="P187">
        <v>2</v>
      </c>
      <c r="Q187">
        <v>1</v>
      </c>
      <c r="S187">
        <v>159</v>
      </c>
      <c r="U187">
        <v>3</v>
      </c>
      <c r="V187">
        <v>4</v>
      </c>
      <c r="X187">
        <v>3</v>
      </c>
      <c r="Y187">
        <v>4</v>
      </c>
      <c r="AE187">
        <v>1</v>
      </c>
      <c r="AH187">
        <v>1</v>
      </c>
      <c r="AL187">
        <v>1</v>
      </c>
      <c r="AT187">
        <v>1</v>
      </c>
      <c r="BD187">
        <v>1</v>
      </c>
      <c r="BI187">
        <v>1</v>
      </c>
      <c r="BW187">
        <v>1</v>
      </c>
      <c r="BY187">
        <v>191</v>
      </c>
      <c r="BZ187">
        <v>134</v>
      </c>
    </row>
    <row r="188" spans="1:78" x14ac:dyDescent="0.25">
      <c r="A188" s="1">
        <v>42261</v>
      </c>
      <c r="B188" t="s">
        <v>366</v>
      </c>
      <c r="C188" t="s">
        <v>166</v>
      </c>
      <c r="E188">
        <v>3</v>
      </c>
      <c r="F188">
        <v>13</v>
      </c>
      <c r="G188">
        <v>14</v>
      </c>
      <c r="H188">
        <v>19</v>
      </c>
      <c r="I188">
        <v>25</v>
      </c>
      <c r="J188">
        <v>31</v>
      </c>
      <c r="K188">
        <v>47</v>
      </c>
      <c r="M188">
        <v>1</v>
      </c>
      <c r="N188">
        <v>3</v>
      </c>
      <c r="O188">
        <v>1</v>
      </c>
      <c r="P188">
        <v>1</v>
      </c>
      <c r="Q188">
        <v>1</v>
      </c>
      <c r="S188">
        <v>152</v>
      </c>
      <c r="U188">
        <v>3</v>
      </c>
      <c r="V188">
        <v>4</v>
      </c>
      <c r="X188">
        <v>6</v>
      </c>
      <c r="Y188">
        <v>1</v>
      </c>
      <c r="AC188">
        <v>1</v>
      </c>
      <c r="AM188">
        <v>1</v>
      </c>
      <c r="AN188">
        <v>1</v>
      </c>
      <c r="AS188">
        <v>1</v>
      </c>
      <c r="AY188">
        <v>1</v>
      </c>
      <c r="BE188">
        <v>1</v>
      </c>
      <c r="BU188">
        <v>1</v>
      </c>
      <c r="BY188">
        <v>180</v>
      </c>
      <c r="BZ188">
        <v>124</v>
      </c>
    </row>
    <row r="189" spans="1:78" x14ac:dyDescent="0.25">
      <c r="A189" s="1">
        <v>42257</v>
      </c>
      <c r="B189" t="s">
        <v>367</v>
      </c>
      <c r="C189" t="s">
        <v>167</v>
      </c>
      <c r="E189">
        <v>27</v>
      </c>
      <c r="F189">
        <v>33</v>
      </c>
      <c r="G189">
        <v>38</v>
      </c>
      <c r="H189">
        <v>39</v>
      </c>
      <c r="I189">
        <v>41</v>
      </c>
      <c r="J189">
        <v>47</v>
      </c>
      <c r="K189">
        <v>35</v>
      </c>
      <c r="M189">
        <v>0</v>
      </c>
      <c r="N189">
        <v>0</v>
      </c>
      <c r="O189">
        <v>1</v>
      </c>
      <c r="P189">
        <v>4</v>
      </c>
      <c r="Q189">
        <v>2</v>
      </c>
      <c r="S189">
        <v>260</v>
      </c>
      <c r="U189">
        <v>7</v>
      </c>
      <c r="V189">
        <v>0</v>
      </c>
      <c r="X189">
        <v>6</v>
      </c>
      <c r="Y189">
        <v>1</v>
      </c>
      <c r="BA189">
        <v>1</v>
      </c>
      <c r="BG189">
        <v>1</v>
      </c>
      <c r="BI189">
        <v>1</v>
      </c>
      <c r="BL189">
        <v>1</v>
      </c>
      <c r="BM189">
        <v>1</v>
      </c>
      <c r="BO189">
        <v>1</v>
      </c>
      <c r="BU189">
        <v>1</v>
      </c>
      <c r="BY189">
        <v>276</v>
      </c>
      <c r="BZ189">
        <v>227</v>
      </c>
    </row>
    <row r="190" spans="1:78" x14ac:dyDescent="0.25">
      <c r="A190" s="1">
        <v>42254</v>
      </c>
      <c r="B190" t="s">
        <v>313</v>
      </c>
      <c r="C190" t="s">
        <v>168</v>
      </c>
      <c r="E190">
        <v>1</v>
      </c>
      <c r="F190">
        <v>3</v>
      </c>
      <c r="G190">
        <v>12</v>
      </c>
      <c r="H190">
        <v>15</v>
      </c>
      <c r="I190">
        <v>26</v>
      </c>
      <c r="J190">
        <v>31</v>
      </c>
      <c r="K190">
        <v>16</v>
      </c>
      <c r="M190">
        <v>2</v>
      </c>
      <c r="N190">
        <v>3</v>
      </c>
      <c r="O190">
        <v>1</v>
      </c>
      <c r="P190">
        <v>1</v>
      </c>
      <c r="Q190">
        <v>0</v>
      </c>
      <c r="S190">
        <v>104</v>
      </c>
      <c r="U190">
        <v>2</v>
      </c>
      <c r="V190">
        <v>5</v>
      </c>
      <c r="X190">
        <v>4</v>
      </c>
      <c r="Y190">
        <v>3</v>
      </c>
      <c r="AA190">
        <v>1</v>
      </c>
      <c r="AC190">
        <v>1</v>
      </c>
      <c r="AL190">
        <v>1</v>
      </c>
      <c r="AO190">
        <v>1</v>
      </c>
      <c r="AP190">
        <v>1</v>
      </c>
      <c r="AZ190">
        <v>1</v>
      </c>
      <c r="BE190">
        <v>1</v>
      </c>
      <c r="BY190">
        <v>139</v>
      </c>
      <c r="BZ190">
        <v>86</v>
      </c>
    </row>
    <row r="191" spans="1:78" x14ac:dyDescent="0.25">
      <c r="A191" s="1">
        <v>42250</v>
      </c>
      <c r="B191" t="s">
        <v>368</v>
      </c>
      <c r="C191" t="s">
        <v>169</v>
      </c>
      <c r="E191">
        <v>1</v>
      </c>
      <c r="F191">
        <v>9</v>
      </c>
      <c r="G191">
        <v>10</v>
      </c>
      <c r="H191">
        <v>23</v>
      </c>
      <c r="I191">
        <v>24</v>
      </c>
      <c r="J191">
        <v>32</v>
      </c>
      <c r="K191">
        <v>5</v>
      </c>
      <c r="M191">
        <v>3</v>
      </c>
      <c r="N191">
        <v>1</v>
      </c>
      <c r="O191">
        <v>2</v>
      </c>
      <c r="P191">
        <v>1</v>
      </c>
      <c r="Q191">
        <v>0</v>
      </c>
      <c r="S191">
        <v>104</v>
      </c>
      <c r="U191">
        <v>1</v>
      </c>
      <c r="V191">
        <v>6</v>
      </c>
      <c r="X191">
        <v>4</v>
      </c>
      <c r="Y191">
        <v>3</v>
      </c>
      <c r="AA191">
        <v>1</v>
      </c>
      <c r="AE191">
        <v>1</v>
      </c>
      <c r="AI191">
        <v>1</v>
      </c>
      <c r="AJ191">
        <v>1</v>
      </c>
      <c r="AW191">
        <v>1</v>
      </c>
      <c r="AX191">
        <v>1</v>
      </c>
      <c r="BF191">
        <v>1</v>
      </c>
      <c r="BY191">
        <v>139</v>
      </c>
      <c r="BZ191">
        <v>87</v>
      </c>
    </row>
    <row r="192" spans="1:78" x14ac:dyDescent="0.25">
      <c r="A192" s="1">
        <v>42247</v>
      </c>
      <c r="B192" t="s">
        <v>273</v>
      </c>
      <c r="C192" t="s">
        <v>170</v>
      </c>
      <c r="E192">
        <v>5</v>
      </c>
      <c r="F192">
        <v>8</v>
      </c>
      <c r="G192">
        <v>9</v>
      </c>
      <c r="H192">
        <v>12</v>
      </c>
      <c r="I192">
        <v>18</v>
      </c>
      <c r="J192">
        <v>48</v>
      </c>
      <c r="K192">
        <v>24</v>
      </c>
      <c r="M192">
        <v>3</v>
      </c>
      <c r="N192">
        <v>2</v>
      </c>
      <c r="O192">
        <v>1</v>
      </c>
      <c r="P192">
        <v>0</v>
      </c>
      <c r="Q192">
        <v>1</v>
      </c>
      <c r="S192">
        <v>124</v>
      </c>
      <c r="U192">
        <v>1</v>
      </c>
      <c r="V192">
        <v>6</v>
      </c>
      <c r="X192">
        <v>2</v>
      </c>
      <c r="Y192">
        <v>5</v>
      </c>
      <c r="AE192">
        <v>1</v>
      </c>
      <c r="AH192">
        <v>1</v>
      </c>
      <c r="AI192">
        <v>1</v>
      </c>
      <c r="AL192">
        <v>1</v>
      </c>
      <c r="AR192">
        <v>1</v>
      </c>
      <c r="AX192">
        <v>1</v>
      </c>
      <c r="BV192">
        <v>1</v>
      </c>
      <c r="BY192">
        <v>139</v>
      </c>
      <c r="BZ192">
        <v>87</v>
      </c>
    </row>
    <row r="193" spans="1:78" x14ac:dyDescent="0.25">
      <c r="A193" s="1">
        <v>42243</v>
      </c>
      <c r="B193" t="s">
        <v>369</v>
      </c>
      <c r="C193" t="s">
        <v>171</v>
      </c>
      <c r="E193">
        <v>13</v>
      </c>
      <c r="F193">
        <v>16</v>
      </c>
      <c r="G193">
        <v>19</v>
      </c>
      <c r="H193">
        <v>23</v>
      </c>
      <c r="I193">
        <v>25</v>
      </c>
      <c r="J193">
        <v>48</v>
      </c>
      <c r="K193">
        <v>11</v>
      </c>
      <c r="M193">
        <v>0</v>
      </c>
      <c r="N193">
        <v>4</v>
      </c>
      <c r="O193">
        <v>2</v>
      </c>
      <c r="P193">
        <v>0</v>
      </c>
      <c r="Q193">
        <v>1</v>
      </c>
      <c r="S193">
        <v>155</v>
      </c>
      <c r="U193">
        <v>2</v>
      </c>
      <c r="V193">
        <v>5</v>
      </c>
      <c r="X193">
        <v>5</v>
      </c>
      <c r="Y193">
        <v>2</v>
      </c>
      <c r="AK193">
        <v>1</v>
      </c>
      <c r="AM193">
        <v>1</v>
      </c>
      <c r="AP193">
        <v>1</v>
      </c>
      <c r="AS193">
        <v>1</v>
      </c>
      <c r="AW193">
        <v>1</v>
      </c>
      <c r="AY193">
        <v>1</v>
      </c>
      <c r="BV193">
        <v>1</v>
      </c>
      <c r="BY193">
        <v>176</v>
      </c>
      <c r="BZ193">
        <v>127</v>
      </c>
    </row>
    <row r="194" spans="1:78" x14ac:dyDescent="0.25">
      <c r="A194" s="1">
        <v>42240</v>
      </c>
      <c r="B194" t="s">
        <v>309</v>
      </c>
      <c r="C194" t="s">
        <v>172</v>
      </c>
      <c r="E194">
        <v>5</v>
      </c>
      <c r="F194">
        <v>7</v>
      </c>
      <c r="G194">
        <v>8</v>
      </c>
      <c r="H194">
        <v>23</v>
      </c>
      <c r="I194">
        <v>29</v>
      </c>
      <c r="J194">
        <v>33</v>
      </c>
      <c r="K194">
        <v>42</v>
      </c>
      <c r="M194">
        <v>3</v>
      </c>
      <c r="N194">
        <v>0</v>
      </c>
      <c r="O194">
        <v>2</v>
      </c>
      <c r="P194">
        <v>1</v>
      </c>
      <c r="Q194">
        <v>1</v>
      </c>
      <c r="S194">
        <v>147</v>
      </c>
      <c r="U194">
        <v>3</v>
      </c>
      <c r="V194">
        <v>4</v>
      </c>
      <c r="X194">
        <v>5</v>
      </c>
      <c r="Y194">
        <v>2</v>
      </c>
      <c r="AE194">
        <v>1</v>
      </c>
      <c r="AG194">
        <v>1</v>
      </c>
      <c r="AH194">
        <v>1</v>
      </c>
      <c r="AW194">
        <v>1</v>
      </c>
      <c r="BC194">
        <v>1</v>
      </c>
      <c r="BG194">
        <v>1</v>
      </c>
      <c r="BP194">
        <v>1</v>
      </c>
      <c r="BY194">
        <v>169</v>
      </c>
      <c r="BZ194">
        <v>117</v>
      </c>
    </row>
    <row r="195" spans="1:78" x14ac:dyDescent="0.25">
      <c r="A195" s="1">
        <v>42236</v>
      </c>
      <c r="B195" t="s">
        <v>280</v>
      </c>
      <c r="C195" t="s">
        <v>173</v>
      </c>
      <c r="E195">
        <v>3</v>
      </c>
      <c r="F195">
        <v>14</v>
      </c>
      <c r="G195">
        <v>19</v>
      </c>
      <c r="H195">
        <v>33</v>
      </c>
      <c r="I195">
        <v>38</v>
      </c>
      <c r="J195">
        <v>41</v>
      </c>
      <c r="K195">
        <v>22</v>
      </c>
      <c r="M195">
        <v>1</v>
      </c>
      <c r="N195">
        <v>2</v>
      </c>
      <c r="O195">
        <v>1</v>
      </c>
      <c r="P195">
        <v>2</v>
      </c>
      <c r="Q195">
        <v>1</v>
      </c>
      <c r="S195">
        <v>170</v>
      </c>
      <c r="U195">
        <v>3</v>
      </c>
      <c r="V195">
        <v>4</v>
      </c>
      <c r="X195">
        <v>4</v>
      </c>
      <c r="Y195">
        <v>3</v>
      </c>
      <c r="AC195">
        <v>1</v>
      </c>
      <c r="AN195">
        <v>1</v>
      </c>
      <c r="AS195">
        <v>1</v>
      </c>
      <c r="AV195">
        <v>1</v>
      </c>
      <c r="BG195">
        <v>1</v>
      </c>
      <c r="BL195">
        <v>1</v>
      </c>
      <c r="BO195">
        <v>1</v>
      </c>
      <c r="BY195">
        <v>201</v>
      </c>
      <c r="BZ195">
        <v>143</v>
      </c>
    </row>
    <row r="196" spans="1:78" x14ac:dyDescent="0.25">
      <c r="A196" s="1">
        <v>42233</v>
      </c>
      <c r="B196" t="s">
        <v>370</v>
      </c>
      <c r="C196" t="s">
        <v>174</v>
      </c>
      <c r="E196">
        <v>2</v>
      </c>
      <c r="F196">
        <v>6</v>
      </c>
      <c r="G196">
        <v>20</v>
      </c>
      <c r="H196">
        <v>21</v>
      </c>
      <c r="I196">
        <v>27</v>
      </c>
      <c r="J196">
        <v>36</v>
      </c>
      <c r="K196">
        <v>31</v>
      </c>
      <c r="M196">
        <v>2</v>
      </c>
      <c r="N196">
        <v>0</v>
      </c>
      <c r="O196">
        <v>3</v>
      </c>
      <c r="P196">
        <v>2</v>
      </c>
      <c r="Q196">
        <v>0</v>
      </c>
      <c r="S196">
        <v>143</v>
      </c>
      <c r="U196">
        <v>3</v>
      </c>
      <c r="V196">
        <v>4</v>
      </c>
      <c r="X196">
        <v>3</v>
      </c>
      <c r="Y196">
        <v>4</v>
      </c>
      <c r="AB196">
        <v>1</v>
      </c>
      <c r="AF196">
        <v>1</v>
      </c>
      <c r="AT196">
        <v>1</v>
      </c>
      <c r="AU196">
        <v>1</v>
      </c>
      <c r="BA196">
        <v>1</v>
      </c>
      <c r="BE196">
        <v>1</v>
      </c>
      <c r="BJ196">
        <v>1</v>
      </c>
      <c r="BY196">
        <v>178</v>
      </c>
      <c r="BZ196">
        <v>127</v>
      </c>
    </row>
    <row r="197" spans="1:78" x14ac:dyDescent="0.25">
      <c r="A197" s="1">
        <v>42229</v>
      </c>
      <c r="B197" t="s">
        <v>300</v>
      </c>
      <c r="C197" t="s">
        <v>175</v>
      </c>
      <c r="E197">
        <v>8</v>
      </c>
      <c r="F197">
        <v>10</v>
      </c>
      <c r="G197">
        <v>12</v>
      </c>
      <c r="H197">
        <v>34</v>
      </c>
      <c r="I197">
        <v>38</v>
      </c>
      <c r="J197">
        <v>48</v>
      </c>
      <c r="K197">
        <v>19</v>
      </c>
      <c r="M197">
        <v>1</v>
      </c>
      <c r="N197">
        <v>3</v>
      </c>
      <c r="O197">
        <v>0</v>
      </c>
      <c r="P197">
        <v>2</v>
      </c>
      <c r="Q197">
        <v>1</v>
      </c>
      <c r="S197">
        <v>169</v>
      </c>
      <c r="U197">
        <v>3</v>
      </c>
      <c r="V197">
        <v>4</v>
      </c>
      <c r="X197">
        <v>1</v>
      </c>
      <c r="Y197">
        <v>6</v>
      </c>
      <c r="AH197">
        <v>1</v>
      </c>
      <c r="AJ197">
        <v>1</v>
      </c>
      <c r="AL197">
        <v>1</v>
      </c>
      <c r="AS197">
        <v>1</v>
      </c>
      <c r="BH197">
        <v>1</v>
      </c>
      <c r="BL197">
        <v>1</v>
      </c>
      <c r="BV197">
        <v>1</v>
      </c>
      <c r="BY197">
        <v>189</v>
      </c>
      <c r="BZ197">
        <v>135</v>
      </c>
    </row>
    <row r="198" spans="1:78" x14ac:dyDescent="0.25">
      <c r="A198" s="1">
        <v>42226</v>
      </c>
      <c r="B198" t="s">
        <v>371</v>
      </c>
      <c r="C198" t="s">
        <v>176</v>
      </c>
      <c r="E198">
        <v>6</v>
      </c>
      <c r="F198">
        <v>7</v>
      </c>
      <c r="G198">
        <v>8</v>
      </c>
      <c r="H198">
        <v>12</v>
      </c>
      <c r="I198">
        <v>37</v>
      </c>
      <c r="J198">
        <v>45</v>
      </c>
      <c r="K198">
        <v>1</v>
      </c>
      <c r="M198">
        <v>4</v>
      </c>
      <c r="N198">
        <v>1</v>
      </c>
      <c r="O198">
        <v>0</v>
      </c>
      <c r="P198">
        <v>1</v>
      </c>
      <c r="Q198">
        <v>1</v>
      </c>
      <c r="S198">
        <v>116</v>
      </c>
      <c r="U198">
        <v>2</v>
      </c>
      <c r="V198">
        <v>5</v>
      </c>
      <c r="X198">
        <v>4</v>
      </c>
      <c r="Y198">
        <v>3</v>
      </c>
      <c r="AA198">
        <v>1</v>
      </c>
      <c r="AF198">
        <v>1</v>
      </c>
      <c r="AG198">
        <v>1</v>
      </c>
      <c r="AH198">
        <v>1</v>
      </c>
      <c r="AL198">
        <v>1</v>
      </c>
      <c r="BK198">
        <v>1</v>
      </c>
      <c r="BS198">
        <v>1</v>
      </c>
      <c r="BY198">
        <v>137</v>
      </c>
      <c r="BZ198">
        <v>90</v>
      </c>
    </row>
    <row r="199" spans="1:78" x14ac:dyDescent="0.25">
      <c r="A199" s="1">
        <v>42222</v>
      </c>
      <c r="B199" t="s">
        <v>280</v>
      </c>
      <c r="C199" t="s">
        <v>177</v>
      </c>
      <c r="E199">
        <v>11</v>
      </c>
      <c r="F199">
        <v>15</v>
      </c>
      <c r="G199">
        <v>20</v>
      </c>
      <c r="H199">
        <v>33</v>
      </c>
      <c r="I199">
        <v>38</v>
      </c>
      <c r="J199">
        <v>40</v>
      </c>
      <c r="K199">
        <v>8</v>
      </c>
      <c r="M199">
        <v>1</v>
      </c>
      <c r="N199">
        <v>2</v>
      </c>
      <c r="O199">
        <v>1</v>
      </c>
      <c r="P199">
        <v>2</v>
      </c>
      <c r="Q199">
        <v>1</v>
      </c>
      <c r="S199">
        <v>165</v>
      </c>
      <c r="U199">
        <v>3</v>
      </c>
      <c r="V199">
        <v>4</v>
      </c>
      <c r="X199">
        <v>3</v>
      </c>
      <c r="Y199">
        <v>4</v>
      </c>
      <c r="AH199">
        <v>1</v>
      </c>
      <c r="AK199">
        <v>1</v>
      </c>
      <c r="AO199">
        <v>1</v>
      </c>
      <c r="AT199">
        <v>1</v>
      </c>
      <c r="BG199">
        <v>1</v>
      </c>
      <c r="BL199">
        <v>1</v>
      </c>
      <c r="BN199">
        <v>1</v>
      </c>
      <c r="BY199">
        <v>201</v>
      </c>
      <c r="BZ199">
        <v>143</v>
      </c>
    </row>
    <row r="200" spans="1:78" x14ac:dyDescent="0.25">
      <c r="A200" s="1">
        <v>42219</v>
      </c>
      <c r="B200" t="s">
        <v>372</v>
      </c>
      <c r="C200" t="s">
        <v>178</v>
      </c>
      <c r="E200">
        <v>18</v>
      </c>
      <c r="F200">
        <v>21</v>
      </c>
      <c r="G200">
        <v>23</v>
      </c>
      <c r="H200">
        <v>25</v>
      </c>
      <c r="I200">
        <v>26</v>
      </c>
      <c r="J200">
        <v>41</v>
      </c>
      <c r="K200">
        <v>40</v>
      </c>
      <c r="M200">
        <v>0</v>
      </c>
      <c r="N200">
        <v>1</v>
      </c>
      <c r="O200">
        <v>4</v>
      </c>
      <c r="P200">
        <v>0</v>
      </c>
      <c r="Q200">
        <v>2</v>
      </c>
      <c r="S200">
        <v>194</v>
      </c>
      <c r="U200">
        <v>4</v>
      </c>
      <c r="V200">
        <v>3</v>
      </c>
      <c r="X200">
        <v>4</v>
      </c>
      <c r="Y200">
        <v>3</v>
      </c>
      <c r="AR200">
        <v>1</v>
      </c>
      <c r="AU200">
        <v>1</v>
      </c>
      <c r="AW200">
        <v>1</v>
      </c>
      <c r="AY200">
        <v>1</v>
      </c>
      <c r="AZ200">
        <v>1</v>
      </c>
      <c r="BN200">
        <v>1</v>
      </c>
      <c r="BO200">
        <v>1</v>
      </c>
      <c r="BY200">
        <v>226</v>
      </c>
      <c r="BZ200">
        <v>177</v>
      </c>
    </row>
    <row r="201" spans="1:78" x14ac:dyDescent="0.25">
      <c r="A201" s="1">
        <v>42215</v>
      </c>
      <c r="B201" t="s">
        <v>298</v>
      </c>
      <c r="C201" t="s">
        <v>179</v>
      </c>
      <c r="E201">
        <v>2</v>
      </c>
      <c r="F201">
        <v>10</v>
      </c>
      <c r="G201">
        <v>13</v>
      </c>
      <c r="H201">
        <v>21</v>
      </c>
      <c r="I201">
        <v>25</v>
      </c>
      <c r="J201">
        <v>49</v>
      </c>
      <c r="K201">
        <v>7</v>
      </c>
      <c r="M201">
        <v>2</v>
      </c>
      <c r="N201">
        <v>2</v>
      </c>
      <c r="O201">
        <v>2</v>
      </c>
      <c r="P201">
        <v>0</v>
      </c>
      <c r="Q201">
        <v>1</v>
      </c>
      <c r="S201">
        <v>127</v>
      </c>
      <c r="U201">
        <v>2</v>
      </c>
      <c r="V201">
        <v>5</v>
      </c>
      <c r="X201">
        <v>5</v>
      </c>
      <c r="Y201">
        <v>2</v>
      </c>
      <c r="AB201">
        <v>1</v>
      </c>
      <c r="AG201">
        <v>1</v>
      </c>
      <c r="AJ201">
        <v>1</v>
      </c>
      <c r="AM201">
        <v>1</v>
      </c>
      <c r="AU201">
        <v>1</v>
      </c>
      <c r="AY201">
        <v>1</v>
      </c>
      <c r="BW201">
        <v>1</v>
      </c>
      <c r="BY201">
        <v>160</v>
      </c>
      <c r="BZ201">
        <v>105</v>
      </c>
    </row>
    <row r="202" spans="1:78" x14ac:dyDescent="0.25">
      <c r="A202" s="1">
        <v>42212</v>
      </c>
      <c r="B202" t="s">
        <v>373</v>
      </c>
      <c r="C202" t="s">
        <v>180</v>
      </c>
      <c r="E202">
        <v>6</v>
      </c>
      <c r="F202">
        <v>9</v>
      </c>
      <c r="G202">
        <v>40</v>
      </c>
      <c r="H202">
        <v>42</v>
      </c>
      <c r="I202">
        <v>43</v>
      </c>
      <c r="J202">
        <v>46</v>
      </c>
      <c r="K202">
        <v>37</v>
      </c>
      <c r="M202">
        <v>2</v>
      </c>
      <c r="N202">
        <v>0</v>
      </c>
      <c r="O202">
        <v>0</v>
      </c>
      <c r="P202">
        <v>1</v>
      </c>
      <c r="Q202">
        <v>4</v>
      </c>
      <c r="S202">
        <v>223</v>
      </c>
      <c r="U202">
        <v>5</v>
      </c>
      <c r="V202">
        <v>2</v>
      </c>
      <c r="X202">
        <v>3</v>
      </c>
      <c r="Y202">
        <v>4</v>
      </c>
      <c r="AF202">
        <v>1</v>
      </c>
      <c r="AI202">
        <v>1</v>
      </c>
      <c r="BK202">
        <v>1</v>
      </c>
      <c r="BN202">
        <v>1</v>
      </c>
      <c r="BP202">
        <v>1</v>
      </c>
      <c r="BQ202">
        <v>1</v>
      </c>
      <c r="BT202">
        <v>1</v>
      </c>
      <c r="BY202">
        <v>246</v>
      </c>
      <c r="BZ202">
        <v>199</v>
      </c>
    </row>
    <row r="203" spans="1:78" x14ac:dyDescent="0.25">
      <c r="A203" s="1">
        <v>42208</v>
      </c>
      <c r="B203" t="s">
        <v>280</v>
      </c>
      <c r="C203" t="s">
        <v>181</v>
      </c>
      <c r="E203">
        <v>4</v>
      </c>
      <c r="F203">
        <v>13</v>
      </c>
      <c r="G203">
        <v>18</v>
      </c>
      <c r="H203">
        <v>24</v>
      </c>
      <c r="I203">
        <v>34</v>
      </c>
      <c r="J203">
        <v>37</v>
      </c>
      <c r="K203">
        <v>48</v>
      </c>
      <c r="M203">
        <v>1</v>
      </c>
      <c r="N203">
        <v>2</v>
      </c>
      <c r="O203">
        <v>1</v>
      </c>
      <c r="P203">
        <v>2</v>
      </c>
      <c r="Q203">
        <v>1</v>
      </c>
      <c r="S203">
        <v>178</v>
      </c>
      <c r="U203">
        <v>3</v>
      </c>
      <c r="V203">
        <v>4</v>
      </c>
      <c r="X203">
        <v>2</v>
      </c>
      <c r="Y203">
        <v>5</v>
      </c>
      <c r="AD203">
        <v>1</v>
      </c>
      <c r="AM203">
        <v>1</v>
      </c>
      <c r="AR203">
        <v>1</v>
      </c>
      <c r="AX203">
        <v>1</v>
      </c>
      <c r="BH203">
        <v>1</v>
      </c>
      <c r="BK203">
        <v>1</v>
      </c>
      <c r="BV203">
        <v>1</v>
      </c>
      <c r="BY203">
        <v>201</v>
      </c>
      <c r="BZ203">
        <v>143</v>
      </c>
    </row>
    <row r="204" spans="1:78" x14ac:dyDescent="0.25">
      <c r="A204" s="1">
        <v>42205</v>
      </c>
      <c r="B204" t="s">
        <v>348</v>
      </c>
      <c r="C204" t="s">
        <v>182</v>
      </c>
      <c r="E204">
        <v>3</v>
      </c>
      <c r="F204">
        <v>17</v>
      </c>
      <c r="G204">
        <v>25</v>
      </c>
      <c r="H204">
        <v>28</v>
      </c>
      <c r="I204">
        <v>34</v>
      </c>
      <c r="J204">
        <v>46</v>
      </c>
      <c r="K204">
        <v>27</v>
      </c>
      <c r="M204">
        <v>1</v>
      </c>
      <c r="N204">
        <v>1</v>
      </c>
      <c r="O204">
        <v>3</v>
      </c>
      <c r="P204">
        <v>1</v>
      </c>
      <c r="Q204">
        <v>1</v>
      </c>
      <c r="S204">
        <v>180</v>
      </c>
      <c r="U204">
        <v>5</v>
      </c>
      <c r="V204">
        <v>2</v>
      </c>
      <c r="X204">
        <v>4</v>
      </c>
      <c r="Y204">
        <v>3</v>
      </c>
      <c r="AC204">
        <v>1</v>
      </c>
      <c r="AQ204">
        <v>1</v>
      </c>
      <c r="AY204">
        <v>1</v>
      </c>
      <c r="BA204">
        <v>1</v>
      </c>
      <c r="BB204">
        <v>1</v>
      </c>
      <c r="BH204">
        <v>1</v>
      </c>
      <c r="BT204">
        <v>1</v>
      </c>
      <c r="BY204">
        <v>200</v>
      </c>
      <c r="BZ204">
        <v>144</v>
      </c>
    </row>
    <row r="205" spans="1:78" x14ac:dyDescent="0.25">
      <c r="A205" s="1">
        <v>42201</v>
      </c>
      <c r="B205" t="s">
        <v>327</v>
      </c>
      <c r="C205" t="s">
        <v>183</v>
      </c>
      <c r="E205">
        <v>2</v>
      </c>
      <c r="F205">
        <v>10</v>
      </c>
      <c r="G205">
        <v>30</v>
      </c>
      <c r="H205">
        <v>32</v>
      </c>
      <c r="I205">
        <v>42</v>
      </c>
      <c r="J205">
        <v>48</v>
      </c>
      <c r="K205">
        <v>19</v>
      </c>
      <c r="M205">
        <v>1</v>
      </c>
      <c r="N205">
        <v>2</v>
      </c>
      <c r="O205">
        <v>0</v>
      </c>
      <c r="P205">
        <v>2</v>
      </c>
      <c r="Q205">
        <v>2</v>
      </c>
      <c r="S205">
        <v>183</v>
      </c>
      <c r="U205">
        <v>4</v>
      </c>
      <c r="V205">
        <v>3</v>
      </c>
      <c r="X205">
        <v>1</v>
      </c>
      <c r="Y205">
        <v>6</v>
      </c>
      <c r="AB205">
        <v>1</v>
      </c>
      <c r="AJ205">
        <v>1</v>
      </c>
      <c r="AS205">
        <v>1</v>
      </c>
      <c r="BD205">
        <v>1</v>
      </c>
      <c r="BF205">
        <v>1</v>
      </c>
      <c r="BP205">
        <v>1</v>
      </c>
      <c r="BV205">
        <v>1</v>
      </c>
      <c r="BY205">
        <v>220</v>
      </c>
      <c r="BZ205">
        <v>164</v>
      </c>
    </row>
    <row r="206" spans="1:78" x14ac:dyDescent="0.25">
      <c r="A206" s="1">
        <v>42198</v>
      </c>
      <c r="B206" t="s">
        <v>374</v>
      </c>
      <c r="C206" t="s">
        <v>184</v>
      </c>
      <c r="E206">
        <v>31</v>
      </c>
      <c r="F206">
        <v>33</v>
      </c>
      <c r="G206">
        <v>34</v>
      </c>
      <c r="H206">
        <v>35</v>
      </c>
      <c r="I206">
        <v>37</v>
      </c>
      <c r="J206">
        <v>42</v>
      </c>
      <c r="K206">
        <v>6</v>
      </c>
      <c r="M206">
        <v>1</v>
      </c>
      <c r="N206">
        <v>0</v>
      </c>
      <c r="O206">
        <v>0</v>
      </c>
      <c r="P206">
        <v>5</v>
      </c>
      <c r="Q206">
        <v>1</v>
      </c>
      <c r="S206">
        <v>218</v>
      </c>
      <c r="U206">
        <v>6</v>
      </c>
      <c r="V206">
        <v>1</v>
      </c>
      <c r="X206">
        <v>4</v>
      </c>
      <c r="Y206">
        <v>3</v>
      </c>
      <c r="AF206">
        <v>1</v>
      </c>
      <c r="BE206">
        <v>1</v>
      </c>
      <c r="BG206">
        <v>1</v>
      </c>
      <c r="BH206">
        <v>1</v>
      </c>
      <c r="BI206">
        <v>1</v>
      </c>
      <c r="BK206">
        <v>1</v>
      </c>
      <c r="BP206">
        <v>1</v>
      </c>
      <c r="BY206">
        <v>243</v>
      </c>
      <c r="BZ206">
        <v>201</v>
      </c>
    </row>
    <row r="207" spans="1:78" x14ac:dyDescent="0.25">
      <c r="A207" s="1">
        <v>42194</v>
      </c>
      <c r="B207" t="s">
        <v>270</v>
      </c>
      <c r="C207" t="s">
        <v>185</v>
      </c>
      <c r="E207">
        <v>5</v>
      </c>
      <c r="F207">
        <v>24</v>
      </c>
      <c r="G207">
        <v>33</v>
      </c>
      <c r="H207">
        <v>38</v>
      </c>
      <c r="I207">
        <v>42</v>
      </c>
      <c r="J207">
        <v>44</v>
      </c>
      <c r="K207">
        <v>49</v>
      </c>
      <c r="M207">
        <v>1</v>
      </c>
      <c r="N207">
        <v>0</v>
      </c>
      <c r="O207">
        <v>1</v>
      </c>
      <c r="P207">
        <v>2</v>
      </c>
      <c r="Q207">
        <v>3</v>
      </c>
      <c r="S207">
        <v>235</v>
      </c>
      <c r="U207">
        <v>5</v>
      </c>
      <c r="V207">
        <v>2</v>
      </c>
      <c r="X207">
        <v>3</v>
      </c>
      <c r="Y207">
        <v>4</v>
      </c>
      <c r="AE207">
        <v>1</v>
      </c>
      <c r="AX207">
        <v>1</v>
      </c>
      <c r="BG207">
        <v>1</v>
      </c>
      <c r="BL207">
        <v>1</v>
      </c>
      <c r="BP207">
        <v>1</v>
      </c>
      <c r="BR207">
        <v>1</v>
      </c>
      <c r="BW207">
        <v>1</v>
      </c>
      <c r="BY207">
        <v>259</v>
      </c>
      <c r="BZ207">
        <v>205</v>
      </c>
    </row>
    <row r="208" spans="1:78" x14ac:dyDescent="0.25">
      <c r="A208" s="1">
        <v>42191</v>
      </c>
      <c r="B208" t="s">
        <v>368</v>
      </c>
      <c r="C208" t="s">
        <v>186</v>
      </c>
      <c r="E208">
        <v>1</v>
      </c>
      <c r="F208">
        <v>6</v>
      </c>
      <c r="G208">
        <v>9</v>
      </c>
      <c r="H208">
        <v>18</v>
      </c>
      <c r="I208">
        <v>21</v>
      </c>
      <c r="J208">
        <v>35</v>
      </c>
      <c r="K208">
        <v>26</v>
      </c>
      <c r="M208">
        <v>3</v>
      </c>
      <c r="N208">
        <v>1</v>
      </c>
      <c r="O208">
        <v>2</v>
      </c>
      <c r="P208">
        <v>1</v>
      </c>
      <c r="Q208">
        <v>0</v>
      </c>
      <c r="S208">
        <v>116</v>
      </c>
      <c r="U208">
        <v>2</v>
      </c>
      <c r="V208">
        <v>5</v>
      </c>
      <c r="X208">
        <v>4</v>
      </c>
      <c r="Y208">
        <v>3</v>
      </c>
      <c r="AA208">
        <v>1</v>
      </c>
      <c r="AF208">
        <v>1</v>
      </c>
      <c r="AI208">
        <v>1</v>
      </c>
      <c r="AR208">
        <v>1</v>
      </c>
      <c r="AU208">
        <v>1</v>
      </c>
      <c r="AZ208">
        <v>1</v>
      </c>
      <c r="BI208">
        <v>1</v>
      </c>
      <c r="BY208">
        <v>139</v>
      </c>
      <c r="BZ208">
        <v>87</v>
      </c>
    </row>
    <row r="209" spans="1:78" x14ac:dyDescent="0.25">
      <c r="A209" s="1">
        <v>42187</v>
      </c>
      <c r="B209" t="s">
        <v>296</v>
      </c>
      <c r="C209" t="s">
        <v>187</v>
      </c>
      <c r="E209">
        <v>7</v>
      </c>
      <c r="F209">
        <v>12</v>
      </c>
      <c r="G209">
        <v>13</v>
      </c>
      <c r="H209">
        <v>21</v>
      </c>
      <c r="I209">
        <v>30</v>
      </c>
      <c r="J209">
        <v>32</v>
      </c>
      <c r="K209">
        <v>5</v>
      </c>
      <c r="M209">
        <v>2</v>
      </c>
      <c r="N209">
        <v>2</v>
      </c>
      <c r="O209">
        <v>1</v>
      </c>
      <c r="P209">
        <v>2</v>
      </c>
      <c r="Q209">
        <v>0</v>
      </c>
      <c r="S209">
        <v>120</v>
      </c>
      <c r="U209">
        <v>2</v>
      </c>
      <c r="V209">
        <v>5</v>
      </c>
      <c r="X209">
        <v>4</v>
      </c>
      <c r="Y209">
        <v>3</v>
      </c>
      <c r="AE209">
        <v>1</v>
      </c>
      <c r="AG209">
        <v>1</v>
      </c>
      <c r="AL209">
        <v>1</v>
      </c>
      <c r="AM209">
        <v>1</v>
      </c>
      <c r="AU209">
        <v>1</v>
      </c>
      <c r="BD209">
        <v>1</v>
      </c>
      <c r="BF209">
        <v>1</v>
      </c>
      <c r="BY209">
        <v>160</v>
      </c>
      <c r="BZ209">
        <v>105</v>
      </c>
    </row>
    <row r="210" spans="1:78" x14ac:dyDescent="0.25">
      <c r="A210" s="1">
        <v>42184</v>
      </c>
      <c r="B210" t="s">
        <v>271</v>
      </c>
      <c r="C210" t="s">
        <v>188</v>
      </c>
      <c r="E210">
        <v>2</v>
      </c>
      <c r="F210">
        <v>14</v>
      </c>
      <c r="G210">
        <v>15</v>
      </c>
      <c r="H210">
        <v>26</v>
      </c>
      <c r="I210">
        <v>29</v>
      </c>
      <c r="J210">
        <v>31</v>
      </c>
      <c r="K210">
        <v>8</v>
      </c>
      <c r="M210">
        <v>2</v>
      </c>
      <c r="N210">
        <v>2</v>
      </c>
      <c r="O210">
        <v>2</v>
      </c>
      <c r="P210">
        <v>1</v>
      </c>
      <c r="Q210">
        <v>0</v>
      </c>
      <c r="S210">
        <v>125</v>
      </c>
      <c r="U210">
        <v>3</v>
      </c>
      <c r="V210">
        <v>4</v>
      </c>
      <c r="X210">
        <v>3</v>
      </c>
      <c r="Y210">
        <v>4</v>
      </c>
      <c r="AB210">
        <v>1</v>
      </c>
      <c r="AH210">
        <v>1</v>
      </c>
      <c r="AN210">
        <v>1</v>
      </c>
      <c r="AO210">
        <v>1</v>
      </c>
      <c r="AZ210">
        <v>1</v>
      </c>
      <c r="BC210">
        <v>1</v>
      </c>
      <c r="BE210">
        <v>1</v>
      </c>
      <c r="BY210">
        <v>150</v>
      </c>
      <c r="BZ210">
        <v>95</v>
      </c>
    </row>
    <row r="211" spans="1:78" x14ac:dyDescent="0.25">
      <c r="A211" s="1">
        <v>42180</v>
      </c>
      <c r="B211" t="s">
        <v>342</v>
      </c>
      <c r="C211" t="s">
        <v>189</v>
      </c>
      <c r="E211">
        <v>14</v>
      </c>
      <c r="F211">
        <v>29</v>
      </c>
      <c r="G211">
        <v>36</v>
      </c>
      <c r="H211">
        <v>38</v>
      </c>
      <c r="I211">
        <v>39</v>
      </c>
      <c r="J211">
        <v>41</v>
      </c>
      <c r="K211">
        <v>20</v>
      </c>
      <c r="M211">
        <v>0</v>
      </c>
      <c r="N211">
        <v>1</v>
      </c>
      <c r="O211">
        <v>2</v>
      </c>
      <c r="P211">
        <v>3</v>
      </c>
      <c r="Q211">
        <v>1</v>
      </c>
      <c r="S211">
        <v>217</v>
      </c>
      <c r="U211">
        <v>5</v>
      </c>
      <c r="V211">
        <v>2</v>
      </c>
      <c r="X211">
        <v>3</v>
      </c>
      <c r="Y211">
        <v>4</v>
      </c>
      <c r="AN211">
        <v>1</v>
      </c>
      <c r="AT211">
        <v>1</v>
      </c>
      <c r="BC211">
        <v>1</v>
      </c>
      <c r="BJ211">
        <v>1</v>
      </c>
      <c r="BL211">
        <v>1</v>
      </c>
      <c r="BM211">
        <v>1</v>
      </c>
      <c r="BO211">
        <v>1</v>
      </c>
      <c r="BY211">
        <v>239</v>
      </c>
      <c r="BZ211">
        <v>184</v>
      </c>
    </row>
    <row r="212" spans="1:78" x14ac:dyDescent="0.25">
      <c r="A212" s="1">
        <v>42177</v>
      </c>
      <c r="B212" t="s">
        <v>314</v>
      </c>
      <c r="C212" t="s">
        <v>190</v>
      </c>
      <c r="E212">
        <v>3</v>
      </c>
      <c r="F212">
        <v>18</v>
      </c>
      <c r="G212">
        <v>22</v>
      </c>
      <c r="H212">
        <v>33</v>
      </c>
      <c r="I212">
        <v>47</v>
      </c>
      <c r="J212">
        <v>49</v>
      </c>
      <c r="K212">
        <v>9</v>
      </c>
      <c r="M212">
        <v>2</v>
      </c>
      <c r="N212">
        <v>1</v>
      </c>
      <c r="O212">
        <v>1</v>
      </c>
      <c r="P212">
        <v>1</v>
      </c>
      <c r="Q212">
        <v>2</v>
      </c>
      <c r="S212">
        <v>181</v>
      </c>
      <c r="U212">
        <v>3</v>
      </c>
      <c r="V212">
        <v>4</v>
      </c>
      <c r="X212">
        <v>5</v>
      </c>
      <c r="Y212">
        <v>2</v>
      </c>
      <c r="AC212">
        <v>1</v>
      </c>
      <c r="AI212">
        <v>1</v>
      </c>
      <c r="AR212">
        <v>1</v>
      </c>
      <c r="AV212">
        <v>1</v>
      </c>
      <c r="BG212">
        <v>1</v>
      </c>
      <c r="BU212">
        <v>1</v>
      </c>
      <c r="BW212">
        <v>1</v>
      </c>
      <c r="BY212">
        <v>201</v>
      </c>
      <c r="BZ212">
        <v>144</v>
      </c>
    </row>
    <row r="213" spans="1:78" x14ac:dyDescent="0.25">
      <c r="A213" s="1">
        <v>42173</v>
      </c>
      <c r="B213" t="s">
        <v>274</v>
      </c>
      <c r="C213" t="s">
        <v>191</v>
      </c>
      <c r="E213">
        <v>5</v>
      </c>
      <c r="F213">
        <v>20</v>
      </c>
      <c r="G213">
        <v>28</v>
      </c>
      <c r="H213">
        <v>35</v>
      </c>
      <c r="I213">
        <v>39</v>
      </c>
      <c r="J213">
        <v>46</v>
      </c>
      <c r="K213">
        <v>15</v>
      </c>
      <c r="M213">
        <v>1</v>
      </c>
      <c r="N213">
        <v>1</v>
      </c>
      <c r="O213">
        <v>2</v>
      </c>
      <c r="P213">
        <v>2</v>
      </c>
      <c r="Q213">
        <v>1</v>
      </c>
      <c r="S213">
        <v>188</v>
      </c>
      <c r="U213">
        <v>4</v>
      </c>
      <c r="V213">
        <v>3</v>
      </c>
      <c r="X213">
        <v>4</v>
      </c>
      <c r="Y213">
        <v>3</v>
      </c>
      <c r="AE213">
        <v>1</v>
      </c>
      <c r="AO213">
        <v>1</v>
      </c>
      <c r="AT213">
        <v>1</v>
      </c>
      <c r="BB213">
        <v>1</v>
      </c>
      <c r="BI213">
        <v>1</v>
      </c>
      <c r="BM213">
        <v>1</v>
      </c>
      <c r="BT213">
        <v>1</v>
      </c>
      <c r="BY213">
        <v>211</v>
      </c>
      <c r="BZ213">
        <v>153</v>
      </c>
    </row>
    <row r="214" spans="1:78" x14ac:dyDescent="0.25">
      <c r="A214" s="1">
        <v>42170</v>
      </c>
      <c r="B214" t="s">
        <v>375</v>
      </c>
      <c r="C214" t="s">
        <v>192</v>
      </c>
      <c r="E214">
        <v>9</v>
      </c>
      <c r="F214">
        <v>21</v>
      </c>
      <c r="G214">
        <v>26</v>
      </c>
      <c r="H214">
        <v>27</v>
      </c>
      <c r="I214">
        <v>29</v>
      </c>
      <c r="J214">
        <v>48</v>
      </c>
      <c r="K214">
        <v>20</v>
      </c>
      <c r="M214">
        <v>1</v>
      </c>
      <c r="N214">
        <v>0</v>
      </c>
      <c r="O214">
        <v>5</v>
      </c>
      <c r="P214">
        <v>0</v>
      </c>
      <c r="Q214">
        <v>1</v>
      </c>
      <c r="S214">
        <v>180</v>
      </c>
      <c r="U214">
        <v>4</v>
      </c>
      <c r="V214">
        <v>3</v>
      </c>
      <c r="X214">
        <v>4</v>
      </c>
      <c r="Y214">
        <v>3</v>
      </c>
      <c r="AI214">
        <v>1</v>
      </c>
      <c r="AT214">
        <v>1</v>
      </c>
      <c r="AU214">
        <v>1</v>
      </c>
      <c r="AZ214">
        <v>1</v>
      </c>
      <c r="BA214">
        <v>1</v>
      </c>
      <c r="BC214">
        <v>1</v>
      </c>
      <c r="BV214">
        <v>1</v>
      </c>
      <c r="BY214">
        <v>193</v>
      </c>
      <c r="BZ214">
        <v>151</v>
      </c>
    </row>
    <row r="215" spans="1:78" x14ac:dyDescent="0.25">
      <c r="A215" s="1">
        <v>42166</v>
      </c>
      <c r="B215" t="s">
        <v>352</v>
      </c>
      <c r="C215" t="s">
        <v>193</v>
      </c>
      <c r="E215">
        <v>7</v>
      </c>
      <c r="F215">
        <v>11</v>
      </c>
      <c r="G215">
        <v>13</v>
      </c>
      <c r="H215">
        <v>16</v>
      </c>
      <c r="I215">
        <v>38</v>
      </c>
      <c r="J215">
        <v>46</v>
      </c>
      <c r="K215">
        <v>41</v>
      </c>
      <c r="M215">
        <v>1</v>
      </c>
      <c r="N215">
        <v>3</v>
      </c>
      <c r="O215">
        <v>0</v>
      </c>
      <c r="P215">
        <v>1</v>
      </c>
      <c r="Q215">
        <v>2</v>
      </c>
      <c r="S215">
        <v>172</v>
      </c>
      <c r="U215">
        <v>3</v>
      </c>
      <c r="V215">
        <v>4</v>
      </c>
      <c r="X215">
        <v>4</v>
      </c>
      <c r="Y215">
        <v>3</v>
      </c>
      <c r="AG215">
        <v>1</v>
      </c>
      <c r="AK215">
        <v>1</v>
      </c>
      <c r="AM215">
        <v>1</v>
      </c>
      <c r="AP215">
        <v>1</v>
      </c>
      <c r="BL215">
        <v>1</v>
      </c>
      <c r="BO215">
        <v>1</v>
      </c>
      <c r="BT215">
        <v>1</v>
      </c>
      <c r="BY215">
        <v>199</v>
      </c>
      <c r="BZ215">
        <v>145</v>
      </c>
    </row>
    <row r="216" spans="1:78" x14ac:dyDescent="0.25">
      <c r="A216" s="1">
        <v>42163</v>
      </c>
      <c r="B216" t="s">
        <v>376</v>
      </c>
      <c r="C216" t="s">
        <v>194</v>
      </c>
      <c r="E216">
        <v>20</v>
      </c>
      <c r="F216">
        <v>31</v>
      </c>
      <c r="G216">
        <v>35</v>
      </c>
      <c r="H216">
        <v>38</v>
      </c>
      <c r="I216">
        <v>42</v>
      </c>
      <c r="J216">
        <v>49</v>
      </c>
      <c r="K216">
        <v>46</v>
      </c>
      <c r="M216">
        <v>0</v>
      </c>
      <c r="N216">
        <v>0</v>
      </c>
      <c r="O216">
        <v>1</v>
      </c>
      <c r="P216">
        <v>3</v>
      </c>
      <c r="Q216">
        <v>3</v>
      </c>
      <c r="S216">
        <v>261</v>
      </c>
      <c r="U216">
        <v>6</v>
      </c>
      <c r="V216">
        <v>1</v>
      </c>
      <c r="X216">
        <v>3</v>
      </c>
      <c r="Y216">
        <v>4</v>
      </c>
      <c r="AT216">
        <v>1</v>
      </c>
      <c r="BE216">
        <v>1</v>
      </c>
      <c r="BI216">
        <v>1</v>
      </c>
      <c r="BL216">
        <v>1</v>
      </c>
      <c r="BP216">
        <v>1</v>
      </c>
      <c r="BT216">
        <v>1</v>
      </c>
      <c r="BW216">
        <v>1</v>
      </c>
      <c r="BY216">
        <v>287</v>
      </c>
      <c r="BZ216">
        <v>236</v>
      </c>
    </row>
    <row r="217" spans="1:78" x14ac:dyDescent="0.25">
      <c r="A217" s="1">
        <v>42159</v>
      </c>
      <c r="B217" t="s">
        <v>377</v>
      </c>
      <c r="C217" t="s">
        <v>195</v>
      </c>
      <c r="E217">
        <v>3</v>
      </c>
      <c r="F217">
        <v>6</v>
      </c>
      <c r="G217">
        <v>8</v>
      </c>
      <c r="H217">
        <v>14</v>
      </c>
      <c r="I217">
        <v>18</v>
      </c>
      <c r="J217">
        <v>41</v>
      </c>
      <c r="K217">
        <v>31</v>
      </c>
      <c r="M217">
        <v>3</v>
      </c>
      <c r="N217">
        <v>2</v>
      </c>
      <c r="O217">
        <v>0</v>
      </c>
      <c r="P217">
        <v>1</v>
      </c>
      <c r="Q217">
        <v>1</v>
      </c>
      <c r="S217">
        <v>121</v>
      </c>
      <c r="U217">
        <v>2</v>
      </c>
      <c r="V217">
        <v>5</v>
      </c>
      <c r="X217">
        <v>3</v>
      </c>
      <c r="Y217">
        <v>4</v>
      </c>
      <c r="AC217">
        <v>1</v>
      </c>
      <c r="AF217">
        <v>1</v>
      </c>
      <c r="AH217">
        <v>1</v>
      </c>
      <c r="AN217">
        <v>1</v>
      </c>
      <c r="AR217">
        <v>1</v>
      </c>
      <c r="BE217">
        <v>1</v>
      </c>
      <c r="BO217">
        <v>1</v>
      </c>
      <c r="BY217">
        <v>149</v>
      </c>
      <c r="BZ217">
        <v>97</v>
      </c>
    </row>
    <row r="218" spans="1:78" x14ac:dyDescent="0.25">
      <c r="A218" s="1">
        <v>42156</v>
      </c>
      <c r="B218" t="s">
        <v>336</v>
      </c>
      <c r="C218" t="s">
        <v>196</v>
      </c>
      <c r="E218">
        <v>5</v>
      </c>
      <c r="F218">
        <v>9</v>
      </c>
      <c r="G218">
        <v>14</v>
      </c>
      <c r="H218">
        <v>29</v>
      </c>
      <c r="I218">
        <v>32</v>
      </c>
      <c r="J218">
        <v>36</v>
      </c>
      <c r="K218">
        <v>28</v>
      </c>
      <c r="M218">
        <v>2</v>
      </c>
      <c r="N218">
        <v>1</v>
      </c>
      <c r="O218">
        <v>2</v>
      </c>
      <c r="P218">
        <v>2</v>
      </c>
      <c r="Q218">
        <v>0</v>
      </c>
      <c r="S218">
        <v>153</v>
      </c>
      <c r="U218">
        <v>4</v>
      </c>
      <c r="V218">
        <v>3</v>
      </c>
      <c r="X218">
        <v>3</v>
      </c>
      <c r="Y218">
        <v>4</v>
      </c>
      <c r="AE218">
        <v>1</v>
      </c>
      <c r="AI218">
        <v>1</v>
      </c>
      <c r="AN218">
        <v>1</v>
      </c>
      <c r="BB218">
        <v>1</v>
      </c>
      <c r="BC218">
        <v>1</v>
      </c>
      <c r="BF218">
        <v>1</v>
      </c>
      <c r="BJ218">
        <v>1</v>
      </c>
      <c r="BY218">
        <v>170</v>
      </c>
      <c r="BZ218">
        <v>115</v>
      </c>
    </row>
    <row r="219" spans="1:78" x14ac:dyDescent="0.25">
      <c r="A219" s="1">
        <v>42152</v>
      </c>
      <c r="B219" t="s">
        <v>336</v>
      </c>
      <c r="C219" t="s">
        <v>197</v>
      </c>
      <c r="E219">
        <v>5</v>
      </c>
      <c r="F219">
        <v>13</v>
      </c>
      <c r="G219">
        <v>20</v>
      </c>
      <c r="H219">
        <v>26</v>
      </c>
      <c r="I219">
        <v>31</v>
      </c>
      <c r="J219">
        <v>38</v>
      </c>
      <c r="K219">
        <v>6</v>
      </c>
      <c r="M219">
        <v>2</v>
      </c>
      <c r="N219">
        <v>1</v>
      </c>
      <c r="O219">
        <v>2</v>
      </c>
      <c r="P219">
        <v>2</v>
      </c>
      <c r="Q219">
        <v>0</v>
      </c>
      <c r="S219">
        <v>139</v>
      </c>
      <c r="U219">
        <v>3</v>
      </c>
      <c r="V219">
        <v>4</v>
      </c>
      <c r="X219">
        <v>3</v>
      </c>
      <c r="Y219">
        <v>4</v>
      </c>
      <c r="AE219">
        <v>1</v>
      </c>
      <c r="AF219">
        <v>1</v>
      </c>
      <c r="AM219">
        <v>1</v>
      </c>
      <c r="AT219">
        <v>1</v>
      </c>
      <c r="AZ219">
        <v>1</v>
      </c>
      <c r="BE219">
        <v>1</v>
      </c>
      <c r="BL219">
        <v>1</v>
      </c>
      <c r="BY219">
        <v>170</v>
      </c>
      <c r="BZ219">
        <v>115</v>
      </c>
    </row>
    <row r="220" spans="1:78" x14ac:dyDescent="0.25">
      <c r="A220" s="1">
        <v>42149</v>
      </c>
      <c r="B220" t="s">
        <v>378</v>
      </c>
      <c r="C220" t="s">
        <v>198</v>
      </c>
      <c r="E220">
        <v>13</v>
      </c>
      <c r="F220">
        <v>17</v>
      </c>
      <c r="G220">
        <v>19</v>
      </c>
      <c r="H220">
        <v>24</v>
      </c>
      <c r="I220">
        <v>26</v>
      </c>
      <c r="J220">
        <v>43</v>
      </c>
      <c r="K220">
        <v>25</v>
      </c>
      <c r="M220">
        <v>0</v>
      </c>
      <c r="N220">
        <v>3</v>
      </c>
      <c r="O220">
        <v>3</v>
      </c>
      <c r="P220">
        <v>0</v>
      </c>
      <c r="Q220">
        <v>1</v>
      </c>
      <c r="S220">
        <v>167</v>
      </c>
      <c r="U220">
        <v>3</v>
      </c>
      <c r="V220">
        <v>4</v>
      </c>
      <c r="X220">
        <v>5</v>
      </c>
      <c r="Y220">
        <v>2</v>
      </c>
      <c r="AM220">
        <v>1</v>
      </c>
      <c r="AQ220">
        <v>1</v>
      </c>
      <c r="AS220">
        <v>1</v>
      </c>
      <c r="AX220">
        <v>1</v>
      </c>
      <c r="AY220">
        <v>1</v>
      </c>
      <c r="AZ220">
        <v>1</v>
      </c>
      <c r="BQ220">
        <v>1</v>
      </c>
      <c r="BY220">
        <v>187</v>
      </c>
      <c r="BZ220">
        <v>136</v>
      </c>
    </row>
    <row r="221" spans="1:78" x14ac:dyDescent="0.25">
      <c r="A221" s="1">
        <v>42145</v>
      </c>
      <c r="B221" t="s">
        <v>320</v>
      </c>
      <c r="C221" t="s">
        <v>199</v>
      </c>
      <c r="E221">
        <v>6</v>
      </c>
      <c r="F221">
        <v>20</v>
      </c>
      <c r="G221">
        <v>22</v>
      </c>
      <c r="H221">
        <v>35</v>
      </c>
      <c r="I221">
        <v>36</v>
      </c>
      <c r="J221">
        <v>41</v>
      </c>
      <c r="K221">
        <v>8</v>
      </c>
      <c r="M221">
        <v>2</v>
      </c>
      <c r="N221">
        <v>0</v>
      </c>
      <c r="O221">
        <v>2</v>
      </c>
      <c r="P221">
        <v>2</v>
      </c>
      <c r="Q221">
        <v>1</v>
      </c>
      <c r="S221">
        <v>168</v>
      </c>
      <c r="U221">
        <v>3</v>
      </c>
      <c r="V221">
        <v>4</v>
      </c>
      <c r="X221">
        <v>2</v>
      </c>
      <c r="Y221">
        <v>5</v>
      </c>
      <c r="AF221">
        <v>1</v>
      </c>
      <c r="AH221">
        <v>1</v>
      </c>
      <c r="AT221">
        <v>1</v>
      </c>
      <c r="AV221">
        <v>1</v>
      </c>
      <c r="BI221">
        <v>1</v>
      </c>
      <c r="BJ221">
        <v>1</v>
      </c>
      <c r="BO221">
        <v>1</v>
      </c>
      <c r="BY221">
        <v>200</v>
      </c>
      <c r="BZ221">
        <v>145</v>
      </c>
    </row>
    <row r="222" spans="1:78" x14ac:dyDescent="0.25">
      <c r="A222" s="1">
        <v>42142</v>
      </c>
      <c r="B222" t="s">
        <v>306</v>
      </c>
      <c r="C222" t="s">
        <v>200</v>
      </c>
      <c r="E222">
        <v>17</v>
      </c>
      <c r="F222">
        <v>23</v>
      </c>
      <c r="G222">
        <v>32</v>
      </c>
      <c r="H222">
        <v>33</v>
      </c>
      <c r="I222">
        <v>41</v>
      </c>
      <c r="J222">
        <v>45</v>
      </c>
      <c r="K222">
        <v>15</v>
      </c>
      <c r="M222">
        <v>0</v>
      </c>
      <c r="N222">
        <v>2</v>
      </c>
      <c r="O222">
        <v>1</v>
      </c>
      <c r="P222">
        <v>2</v>
      </c>
      <c r="Q222">
        <v>2</v>
      </c>
      <c r="S222">
        <v>206</v>
      </c>
      <c r="U222">
        <v>4</v>
      </c>
      <c r="V222">
        <v>3</v>
      </c>
      <c r="X222">
        <v>6</v>
      </c>
      <c r="Y222">
        <v>1</v>
      </c>
      <c r="AO222">
        <v>1</v>
      </c>
      <c r="AQ222">
        <v>1</v>
      </c>
      <c r="AW222">
        <v>1</v>
      </c>
      <c r="BF222">
        <v>1</v>
      </c>
      <c r="BG222">
        <v>1</v>
      </c>
      <c r="BO222">
        <v>1</v>
      </c>
      <c r="BS222">
        <v>1</v>
      </c>
      <c r="BY222">
        <v>240</v>
      </c>
      <c r="BZ222">
        <v>183</v>
      </c>
    </row>
    <row r="223" spans="1:78" x14ac:dyDescent="0.25">
      <c r="A223" s="1">
        <v>42138</v>
      </c>
      <c r="B223" t="s">
        <v>337</v>
      </c>
      <c r="C223" t="s">
        <v>201</v>
      </c>
      <c r="E223">
        <v>8</v>
      </c>
      <c r="F223">
        <v>17</v>
      </c>
      <c r="G223">
        <v>19</v>
      </c>
      <c r="H223">
        <v>45</v>
      </c>
      <c r="I223">
        <v>47</v>
      </c>
      <c r="J223">
        <v>48</v>
      </c>
      <c r="K223">
        <v>14</v>
      </c>
      <c r="M223">
        <v>1</v>
      </c>
      <c r="N223">
        <v>3</v>
      </c>
      <c r="O223">
        <v>0</v>
      </c>
      <c r="P223">
        <v>0</v>
      </c>
      <c r="Q223">
        <v>3</v>
      </c>
      <c r="S223">
        <v>198</v>
      </c>
      <c r="U223">
        <v>3</v>
      </c>
      <c r="V223">
        <v>4</v>
      </c>
      <c r="X223">
        <v>4</v>
      </c>
      <c r="Y223">
        <v>3</v>
      </c>
      <c r="AH223">
        <v>1</v>
      </c>
      <c r="AN223">
        <v>1</v>
      </c>
      <c r="AQ223">
        <v>1</v>
      </c>
      <c r="AS223">
        <v>1</v>
      </c>
      <c r="BS223">
        <v>1</v>
      </c>
      <c r="BU223">
        <v>1</v>
      </c>
      <c r="BV223">
        <v>1</v>
      </c>
      <c r="BY223">
        <v>207</v>
      </c>
      <c r="BZ223">
        <v>157</v>
      </c>
    </row>
    <row r="224" spans="1:78" x14ac:dyDescent="0.25">
      <c r="A224" s="1">
        <v>42135</v>
      </c>
      <c r="B224" t="s">
        <v>379</v>
      </c>
      <c r="C224" t="s">
        <v>202</v>
      </c>
      <c r="E224">
        <v>3</v>
      </c>
      <c r="F224">
        <v>6</v>
      </c>
      <c r="G224">
        <v>7</v>
      </c>
      <c r="H224">
        <v>20</v>
      </c>
      <c r="I224">
        <v>21</v>
      </c>
      <c r="J224">
        <v>23</v>
      </c>
      <c r="K224">
        <v>33</v>
      </c>
      <c r="M224">
        <v>3</v>
      </c>
      <c r="N224">
        <v>0</v>
      </c>
      <c r="O224">
        <v>3</v>
      </c>
      <c r="P224">
        <v>1</v>
      </c>
      <c r="Q224">
        <v>0</v>
      </c>
      <c r="S224">
        <v>113</v>
      </c>
      <c r="U224">
        <v>1</v>
      </c>
      <c r="V224">
        <v>6</v>
      </c>
      <c r="X224">
        <v>5</v>
      </c>
      <c r="Y224">
        <v>2</v>
      </c>
      <c r="AC224">
        <v>1</v>
      </c>
      <c r="AF224">
        <v>1</v>
      </c>
      <c r="AG224">
        <v>1</v>
      </c>
      <c r="AT224">
        <v>1</v>
      </c>
      <c r="AU224">
        <v>1</v>
      </c>
      <c r="AW224">
        <v>1</v>
      </c>
      <c r="BG224">
        <v>1</v>
      </c>
      <c r="BY224">
        <v>147</v>
      </c>
      <c r="BZ224">
        <v>99</v>
      </c>
    </row>
    <row r="225" spans="1:78" x14ac:dyDescent="0.25">
      <c r="A225" s="1">
        <v>42131</v>
      </c>
      <c r="B225" t="s">
        <v>262</v>
      </c>
      <c r="C225" t="s">
        <v>203</v>
      </c>
      <c r="E225">
        <v>8</v>
      </c>
      <c r="F225">
        <v>10</v>
      </c>
      <c r="G225">
        <v>17</v>
      </c>
      <c r="H225">
        <v>24</v>
      </c>
      <c r="I225">
        <v>32</v>
      </c>
      <c r="J225">
        <v>43</v>
      </c>
      <c r="K225">
        <v>26</v>
      </c>
      <c r="M225">
        <v>1</v>
      </c>
      <c r="N225">
        <v>2</v>
      </c>
      <c r="O225">
        <v>2</v>
      </c>
      <c r="P225">
        <v>1</v>
      </c>
      <c r="Q225">
        <v>1</v>
      </c>
      <c r="S225">
        <v>160</v>
      </c>
      <c r="U225">
        <v>3</v>
      </c>
      <c r="V225">
        <v>4</v>
      </c>
      <c r="X225">
        <v>2</v>
      </c>
      <c r="Y225">
        <v>5</v>
      </c>
      <c r="AH225">
        <v>1</v>
      </c>
      <c r="AJ225">
        <v>1</v>
      </c>
      <c r="AQ225">
        <v>1</v>
      </c>
      <c r="AX225">
        <v>1</v>
      </c>
      <c r="AZ225">
        <v>1</v>
      </c>
      <c r="BF225">
        <v>1</v>
      </c>
      <c r="BQ225">
        <v>1</v>
      </c>
      <c r="BY225">
        <v>191</v>
      </c>
      <c r="BZ225">
        <v>133</v>
      </c>
    </row>
    <row r="226" spans="1:78" x14ac:dyDescent="0.25">
      <c r="A226" s="1">
        <v>42128</v>
      </c>
      <c r="B226" t="s">
        <v>262</v>
      </c>
      <c r="C226" t="s">
        <v>204</v>
      </c>
      <c r="E226">
        <v>6</v>
      </c>
      <c r="F226">
        <v>11</v>
      </c>
      <c r="G226">
        <v>17</v>
      </c>
      <c r="H226">
        <v>22</v>
      </c>
      <c r="I226">
        <v>25</v>
      </c>
      <c r="J226">
        <v>36</v>
      </c>
      <c r="K226">
        <v>42</v>
      </c>
      <c r="M226">
        <v>1</v>
      </c>
      <c r="N226">
        <v>2</v>
      </c>
      <c r="O226">
        <v>2</v>
      </c>
      <c r="P226">
        <v>1</v>
      </c>
      <c r="Q226">
        <v>1</v>
      </c>
      <c r="S226">
        <v>159</v>
      </c>
      <c r="U226">
        <v>3</v>
      </c>
      <c r="V226">
        <v>4</v>
      </c>
      <c r="X226">
        <v>3</v>
      </c>
      <c r="Y226">
        <v>4</v>
      </c>
      <c r="AF226">
        <v>1</v>
      </c>
      <c r="AK226">
        <v>1</v>
      </c>
      <c r="AQ226">
        <v>1</v>
      </c>
      <c r="AV226">
        <v>1</v>
      </c>
      <c r="AY226">
        <v>1</v>
      </c>
      <c r="BJ226">
        <v>1</v>
      </c>
      <c r="BP226">
        <v>1</v>
      </c>
      <c r="BY226">
        <v>191</v>
      </c>
      <c r="BZ226">
        <v>133</v>
      </c>
    </row>
    <row r="227" spans="1:78" x14ac:dyDescent="0.25">
      <c r="A227" s="1">
        <v>42121</v>
      </c>
      <c r="B227" t="s">
        <v>327</v>
      </c>
      <c r="C227" t="s">
        <v>205</v>
      </c>
      <c r="E227">
        <v>2</v>
      </c>
      <c r="F227">
        <v>14</v>
      </c>
      <c r="G227">
        <v>30</v>
      </c>
      <c r="H227">
        <v>31</v>
      </c>
      <c r="I227">
        <v>46</v>
      </c>
      <c r="J227">
        <v>47</v>
      </c>
      <c r="K227">
        <v>12</v>
      </c>
      <c r="M227">
        <v>1</v>
      </c>
      <c r="N227">
        <v>2</v>
      </c>
      <c r="O227">
        <v>0</v>
      </c>
      <c r="P227">
        <v>2</v>
      </c>
      <c r="Q227">
        <v>2</v>
      </c>
      <c r="S227">
        <v>182</v>
      </c>
      <c r="U227">
        <v>4</v>
      </c>
      <c r="V227">
        <v>3</v>
      </c>
      <c r="X227">
        <v>2</v>
      </c>
      <c r="Y227">
        <v>5</v>
      </c>
      <c r="AB227">
        <v>1</v>
      </c>
      <c r="AL227">
        <v>1</v>
      </c>
      <c r="AN227">
        <v>1</v>
      </c>
      <c r="BD227">
        <v>1</v>
      </c>
      <c r="BE227">
        <v>1</v>
      </c>
      <c r="BT227">
        <v>1</v>
      </c>
      <c r="BU227">
        <v>1</v>
      </c>
      <c r="BY227">
        <v>220</v>
      </c>
      <c r="BZ227">
        <v>164</v>
      </c>
    </row>
    <row r="228" spans="1:78" x14ac:dyDescent="0.25">
      <c r="A228" s="1">
        <v>42117</v>
      </c>
      <c r="B228" t="s">
        <v>287</v>
      </c>
      <c r="C228" t="s">
        <v>206</v>
      </c>
      <c r="E228">
        <v>1</v>
      </c>
      <c r="F228">
        <v>9</v>
      </c>
      <c r="G228">
        <v>15</v>
      </c>
      <c r="H228">
        <v>28</v>
      </c>
      <c r="I228">
        <v>42</v>
      </c>
      <c r="J228">
        <v>45</v>
      </c>
      <c r="K228">
        <v>40</v>
      </c>
      <c r="M228">
        <v>2</v>
      </c>
      <c r="N228">
        <v>1</v>
      </c>
      <c r="O228">
        <v>1</v>
      </c>
      <c r="P228">
        <v>0</v>
      </c>
      <c r="Q228">
        <v>3</v>
      </c>
      <c r="S228">
        <v>180</v>
      </c>
      <c r="U228">
        <v>4</v>
      </c>
      <c r="V228">
        <v>3</v>
      </c>
      <c r="X228">
        <v>4</v>
      </c>
      <c r="Y228">
        <v>3</v>
      </c>
      <c r="AA228">
        <v>1</v>
      </c>
      <c r="AI228">
        <v>1</v>
      </c>
      <c r="AO228">
        <v>1</v>
      </c>
      <c r="BB228">
        <v>1</v>
      </c>
      <c r="BN228">
        <v>1</v>
      </c>
      <c r="BP228">
        <v>1</v>
      </c>
      <c r="BS228">
        <v>1</v>
      </c>
      <c r="BY228">
        <v>209</v>
      </c>
      <c r="BZ228">
        <v>156</v>
      </c>
    </row>
    <row r="229" spans="1:78" x14ac:dyDescent="0.25">
      <c r="A229" s="1">
        <v>42114</v>
      </c>
      <c r="B229" t="s">
        <v>271</v>
      </c>
      <c r="C229" t="s">
        <v>207</v>
      </c>
      <c r="E229">
        <v>9</v>
      </c>
      <c r="F229">
        <v>16</v>
      </c>
      <c r="G229">
        <v>17</v>
      </c>
      <c r="H229">
        <v>25</v>
      </c>
      <c r="I229">
        <v>27</v>
      </c>
      <c r="J229">
        <v>36</v>
      </c>
      <c r="K229">
        <v>7</v>
      </c>
      <c r="M229">
        <v>2</v>
      </c>
      <c r="N229">
        <v>2</v>
      </c>
      <c r="O229">
        <v>2</v>
      </c>
      <c r="P229">
        <v>1</v>
      </c>
      <c r="Q229">
        <v>0</v>
      </c>
      <c r="S229">
        <v>137</v>
      </c>
      <c r="U229">
        <v>3</v>
      </c>
      <c r="V229">
        <v>4</v>
      </c>
      <c r="X229">
        <v>5</v>
      </c>
      <c r="Y229">
        <v>2</v>
      </c>
      <c r="AG229">
        <v>1</v>
      </c>
      <c r="AI229">
        <v>1</v>
      </c>
      <c r="AP229">
        <v>1</v>
      </c>
      <c r="AQ229">
        <v>1</v>
      </c>
      <c r="AY229">
        <v>1</v>
      </c>
      <c r="BA229">
        <v>1</v>
      </c>
      <c r="BJ229">
        <v>1</v>
      </c>
      <c r="BY229">
        <v>150</v>
      </c>
      <c r="BZ229">
        <v>95</v>
      </c>
    </row>
    <row r="230" spans="1:78" x14ac:dyDescent="0.25">
      <c r="A230" s="1">
        <v>42110</v>
      </c>
      <c r="B230" t="s">
        <v>380</v>
      </c>
      <c r="C230" t="s">
        <v>208</v>
      </c>
      <c r="E230">
        <v>3</v>
      </c>
      <c r="F230">
        <v>4</v>
      </c>
      <c r="G230">
        <v>18</v>
      </c>
      <c r="H230">
        <v>32</v>
      </c>
      <c r="I230">
        <v>35</v>
      </c>
      <c r="J230">
        <v>48</v>
      </c>
      <c r="K230">
        <v>6</v>
      </c>
      <c r="M230">
        <v>3</v>
      </c>
      <c r="N230">
        <v>1</v>
      </c>
      <c r="O230">
        <v>0</v>
      </c>
      <c r="P230">
        <v>2</v>
      </c>
      <c r="Q230">
        <v>1</v>
      </c>
      <c r="S230">
        <v>146</v>
      </c>
      <c r="U230">
        <v>3</v>
      </c>
      <c r="V230">
        <v>4</v>
      </c>
      <c r="X230">
        <v>2</v>
      </c>
      <c r="Y230">
        <v>5</v>
      </c>
      <c r="AC230">
        <v>1</v>
      </c>
      <c r="AD230">
        <v>1</v>
      </c>
      <c r="AF230">
        <v>1</v>
      </c>
      <c r="AR230">
        <v>1</v>
      </c>
      <c r="BF230">
        <v>1</v>
      </c>
      <c r="BI230">
        <v>1</v>
      </c>
      <c r="BV230">
        <v>1</v>
      </c>
      <c r="BY230">
        <v>169</v>
      </c>
      <c r="BZ230">
        <v>117</v>
      </c>
    </row>
    <row r="231" spans="1:78" x14ac:dyDescent="0.25">
      <c r="A231" s="1">
        <v>42107</v>
      </c>
      <c r="B231" t="s">
        <v>290</v>
      </c>
      <c r="C231" t="s">
        <v>209</v>
      </c>
      <c r="E231">
        <v>6</v>
      </c>
      <c r="F231">
        <v>13</v>
      </c>
      <c r="G231">
        <v>31</v>
      </c>
      <c r="H231">
        <v>32</v>
      </c>
      <c r="I231">
        <v>40</v>
      </c>
      <c r="J231">
        <v>43</v>
      </c>
      <c r="K231">
        <v>3</v>
      </c>
      <c r="M231">
        <v>2</v>
      </c>
      <c r="N231">
        <v>1</v>
      </c>
      <c r="O231">
        <v>0</v>
      </c>
      <c r="P231">
        <v>2</v>
      </c>
      <c r="Q231">
        <v>2</v>
      </c>
      <c r="S231">
        <v>168</v>
      </c>
      <c r="U231">
        <v>4</v>
      </c>
      <c r="V231">
        <v>3</v>
      </c>
      <c r="X231">
        <v>4</v>
      </c>
      <c r="Y231">
        <v>3</v>
      </c>
      <c r="AC231">
        <v>1</v>
      </c>
      <c r="AF231">
        <v>1</v>
      </c>
      <c r="AM231">
        <v>1</v>
      </c>
      <c r="BE231">
        <v>1</v>
      </c>
      <c r="BF231">
        <v>1</v>
      </c>
      <c r="BN231">
        <v>1</v>
      </c>
      <c r="BQ231">
        <v>1</v>
      </c>
      <c r="BY231">
        <v>210</v>
      </c>
      <c r="BZ231">
        <v>155</v>
      </c>
    </row>
    <row r="232" spans="1:78" x14ac:dyDescent="0.25">
      <c r="A232" s="1">
        <v>42103</v>
      </c>
      <c r="B232" t="s">
        <v>381</v>
      </c>
      <c r="C232" t="s">
        <v>210</v>
      </c>
      <c r="E232">
        <v>6</v>
      </c>
      <c r="F232">
        <v>12</v>
      </c>
      <c r="G232">
        <v>21</v>
      </c>
      <c r="H232">
        <v>24</v>
      </c>
      <c r="I232">
        <v>25</v>
      </c>
      <c r="J232">
        <v>43</v>
      </c>
      <c r="K232">
        <v>29</v>
      </c>
      <c r="M232">
        <v>1</v>
      </c>
      <c r="N232">
        <v>1</v>
      </c>
      <c r="O232">
        <v>4</v>
      </c>
      <c r="P232">
        <v>0</v>
      </c>
      <c r="Q232">
        <v>1</v>
      </c>
      <c r="S232">
        <v>160</v>
      </c>
      <c r="U232">
        <v>3</v>
      </c>
      <c r="V232">
        <v>4</v>
      </c>
      <c r="X232">
        <v>4</v>
      </c>
      <c r="Y232">
        <v>3</v>
      </c>
      <c r="AF232">
        <v>1</v>
      </c>
      <c r="AL232">
        <v>1</v>
      </c>
      <c r="AU232">
        <v>1</v>
      </c>
      <c r="AX232">
        <v>1</v>
      </c>
      <c r="AY232">
        <v>1</v>
      </c>
      <c r="BC232">
        <v>1</v>
      </c>
      <c r="BQ232">
        <v>1</v>
      </c>
      <c r="BY232">
        <v>187</v>
      </c>
      <c r="BZ232">
        <v>137</v>
      </c>
    </row>
    <row r="233" spans="1:78" x14ac:dyDescent="0.25">
      <c r="A233" s="1">
        <v>42100</v>
      </c>
      <c r="B233" t="s">
        <v>302</v>
      </c>
      <c r="C233" t="s">
        <v>211</v>
      </c>
      <c r="E233">
        <v>3</v>
      </c>
      <c r="F233">
        <v>18</v>
      </c>
      <c r="G233">
        <v>21</v>
      </c>
      <c r="H233">
        <v>42</v>
      </c>
      <c r="I233">
        <v>45</v>
      </c>
      <c r="J233">
        <v>49</v>
      </c>
      <c r="K233">
        <v>25</v>
      </c>
      <c r="M233">
        <v>1</v>
      </c>
      <c r="N233">
        <v>1</v>
      </c>
      <c r="O233">
        <v>2</v>
      </c>
      <c r="P233">
        <v>0</v>
      </c>
      <c r="Q233">
        <v>3</v>
      </c>
      <c r="S233">
        <v>203</v>
      </c>
      <c r="U233">
        <v>4</v>
      </c>
      <c r="V233">
        <v>3</v>
      </c>
      <c r="X233">
        <v>5</v>
      </c>
      <c r="Y233">
        <v>2</v>
      </c>
      <c r="AC233">
        <v>1</v>
      </c>
      <c r="AR233">
        <v>1</v>
      </c>
      <c r="AU233">
        <v>1</v>
      </c>
      <c r="AY233">
        <v>1</v>
      </c>
      <c r="BP233">
        <v>1</v>
      </c>
      <c r="BS233">
        <v>1</v>
      </c>
      <c r="BW233">
        <v>1</v>
      </c>
      <c r="BY233">
        <v>229</v>
      </c>
      <c r="BZ233">
        <v>175</v>
      </c>
    </row>
    <row r="234" spans="1:78" x14ac:dyDescent="0.25">
      <c r="A234" s="1">
        <v>42096</v>
      </c>
      <c r="B234" t="s">
        <v>382</v>
      </c>
      <c r="C234" t="s">
        <v>212</v>
      </c>
      <c r="E234">
        <v>11</v>
      </c>
      <c r="F234">
        <v>19</v>
      </c>
      <c r="G234">
        <v>22</v>
      </c>
      <c r="H234">
        <v>29</v>
      </c>
      <c r="I234">
        <v>42</v>
      </c>
      <c r="J234">
        <v>46</v>
      </c>
      <c r="K234">
        <v>2</v>
      </c>
      <c r="M234">
        <v>1</v>
      </c>
      <c r="N234">
        <v>2</v>
      </c>
      <c r="O234">
        <v>2</v>
      </c>
      <c r="P234">
        <v>0</v>
      </c>
      <c r="Q234">
        <v>2</v>
      </c>
      <c r="S234">
        <v>171</v>
      </c>
      <c r="U234">
        <v>3</v>
      </c>
      <c r="V234">
        <v>4</v>
      </c>
      <c r="X234">
        <v>3</v>
      </c>
      <c r="Y234">
        <v>4</v>
      </c>
      <c r="AB234">
        <v>1</v>
      </c>
      <c r="AK234">
        <v>1</v>
      </c>
      <c r="AS234">
        <v>1</v>
      </c>
      <c r="AV234">
        <v>1</v>
      </c>
      <c r="BC234">
        <v>1</v>
      </c>
      <c r="BP234">
        <v>1</v>
      </c>
      <c r="BT234">
        <v>1</v>
      </c>
      <c r="BY234">
        <v>200</v>
      </c>
      <c r="BZ234">
        <v>144</v>
      </c>
    </row>
    <row r="235" spans="1:78" x14ac:dyDescent="0.25">
      <c r="A235" s="1">
        <v>42093</v>
      </c>
      <c r="B235" t="s">
        <v>327</v>
      </c>
      <c r="C235" t="s">
        <v>213</v>
      </c>
      <c r="E235">
        <v>11</v>
      </c>
      <c r="F235">
        <v>12</v>
      </c>
      <c r="G235">
        <v>30</v>
      </c>
      <c r="H235">
        <v>38</v>
      </c>
      <c r="I235">
        <v>45</v>
      </c>
      <c r="J235">
        <v>47</v>
      </c>
      <c r="K235">
        <v>6</v>
      </c>
      <c r="M235">
        <v>1</v>
      </c>
      <c r="N235">
        <v>2</v>
      </c>
      <c r="O235">
        <v>0</v>
      </c>
      <c r="P235">
        <v>2</v>
      </c>
      <c r="Q235">
        <v>2</v>
      </c>
      <c r="S235">
        <v>189</v>
      </c>
      <c r="U235">
        <v>4</v>
      </c>
      <c r="V235">
        <v>3</v>
      </c>
      <c r="X235">
        <v>3</v>
      </c>
      <c r="Y235">
        <v>4</v>
      </c>
      <c r="AF235">
        <v>1</v>
      </c>
      <c r="AK235">
        <v>1</v>
      </c>
      <c r="AL235">
        <v>1</v>
      </c>
      <c r="BD235">
        <v>1</v>
      </c>
      <c r="BL235">
        <v>1</v>
      </c>
      <c r="BS235">
        <v>1</v>
      </c>
      <c r="BU235">
        <v>1</v>
      </c>
      <c r="BY235">
        <v>220</v>
      </c>
      <c r="BZ235">
        <v>164</v>
      </c>
    </row>
    <row r="236" spans="1:78" x14ac:dyDescent="0.25">
      <c r="A236" s="1">
        <v>42089</v>
      </c>
      <c r="B236" t="s">
        <v>266</v>
      </c>
      <c r="C236" t="s">
        <v>214</v>
      </c>
      <c r="E236">
        <v>5</v>
      </c>
      <c r="F236">
        <v>21</v>
      </c>
      <c r="G236">
        <v>30</v>
      </c>
      <c r="H236">
        <v>33</v>
      </c>
      <c r="I236">
        <v>39</v>
      </c>
      <c r="J236">
        <v>47</v>
      </c>
      <c r="K236">
        <v>43</v>
      </c>
      <c r="M236">
        <v>1</v>
      </c>
      <c r="N236">
        <v>0</v>
      </c>
      <c r="O236">
        <v>1</v>
      </c>
      <c r="P236">
        <v>3</v>
      </c>
      <c r="Q236">
        <v>2</v>
      </c>
      <c r="S236">
        <v>218</v>
      </c>
      <c r="U236">
        <v>5</v>
      </c>
      <c r="V236">
        <v>2</v>
      </c>
      <c r="X236">
        <v>6</v>
      </c>
      <c r="Y236">
        <v>1</v>
      </c>
      <c r="AE236">
        <v>1</v>
      </c>
      <c r="AU236">
        <v>1</v>
      </c>
      <c r="BD236">
        <v>1</v>
      </c>
      <c r="BG236">
        <v>1</v>
      </c>
      <c r="BM236">
        <v>1</v>
      </c>
      <c r="BQ236">
        <v>1</v>
      </c>
      <c r="BU236">
        <v>1</v>
      </c>
      <c r="BY236">
        <v>249</v>
      </c>
      <c r="BZ236">
        <v>195</v>
      </c>
    </row>
    <row r="237" spans="1:78" x14ac:dyDescent="0.25">
      <c r="A237" s="1">
        <v>42086</v>
      </c>
      <c r="B237" t="s">
        <v>314</v>
      </c>
      <c r="C237" t="s">
        <v>215</v>
      </c>
      <c r="E237">
        <v>1</v>
      </c>
      <c r="F237">
        <v>5</v>
      </c>
      <c r="G237">
        <v>14</v>
      </c>
      <c r="H237">
        <v>23</v>
      </c>
      <c r="I237">
        <v>40</v>
      </c>
      <c r="J237">
        <v>49</v>
      </c>
      <c r="K237">
        <v>33</v>
      </c>
      <c r="M237">
        <v>2</v>
      </c>
      <c r="N237">
        <v>1</v>
      </c>
      <c r="O237">
        <v>1</v>
      </c>
      <c r="P237">
        <v>1</v>
      </c>
      <c r="Q237">
        <v>2</v>
      </c>
      <c r="S237">
        <v>165</v>
      </c>
      <c r="U237">
        <v>3</v>
      </c>
      <c r="V237">
        <v>4</v>
      </c>
      <c r="X237">
        <v>5</v>
      </c>
      <c r="Y237">
        <v>2</v>
      </c>
      <c r="AA237">
        <v>1</v>
      </c>
      <c r="AE237">
        <v>1</v>
      </c>
      <c r="AN237">
        <v>1</v>
      </c>
      <c r="AW237">
        <v>1</v>
      </c>
      <c r="BG237">
        <v>1</v>
      </c>
      <c r="BN237">
        <v>1</v>
      </c>
      <c r="BW237">
        <v>1</v>
      </c>
      <c r="BY237">
        <v>201</v>
      </c>
      <c r="BZ237">
        <v>144</v>
      </c>
    </row>
    <row r="238" spans="1:78" x14ac:dyDescent="0.25">
      <c r="A238" s="1">
        <v>42082</v>
      </c>
      <c r="B238" t="s">
        <v>284</v>
      </c>
      <c r="C238" t="s">
        <v>216</v>
      </c>
      <c r="E238">
        <v>3</v>
      </c>
      <c r="F238">
        <v>15</v>
      </c>
      <c r="G238">
        <v>26</v>
      </c>
      <c r="H238">
        <v>29</v>
      </c>
      <c r="I238">
        <v>38</v>
      </c>
      <c r="J238">
        <v>45</v>
      </c>
      <c r="K238">
        <v>49</v>
      </c>
      <c r="M238">
        <v>1</v>
      </c>
      <c r="N238">
        <v>1</v>
      </c>
      <c r="O238">
        <v>2</v>
      </c>
      <c r="P238">
        <v>1</v>
      </c>
      <c r="Q238">
        <v>2</v>
      </c>
      <c r="S238">
        <v>205</v>
      </c>
      <c r="U238">
        <v>5</v>
      </c>
      <c r="V238">
        <v>2</v>
      </c>
      <c r="X238">
        <v>5</v>
      </c>
      <c r="Y238">
        <v>2</v>
      </c>
      <c r="AC238">
        <v>1</v>
      </c>
      <c r="AO238">
        <v>1</v>
      </c>
      <c r="AZ238">
        <v>1</v>
      </c>
      <c r="BC238">
        <v>1</v>
      </c>
      <c r="BL238">
        <v>1</v>
      </c>
      <c r="BS238">
        <v>1</v>
      </c>
      <c r="BW238">
        <v>1</v>
      </c>
      <c r="BY238">
        <v>221</v>
      </c>
      <c r="BZ238">
        <v>163</v>
      </c>
    </row>
    <row r="239" spans="1:78" x14ac:dyDescent="0.25">
      <c r="A239" s="1">
        <v>42079</v>
      </c>
      <c r="B239" t="s">
        <v>360</v>
      </c>
      <c r="C239" t="s">
        <v>217</v>
      </c>
      <c r="E239">
        <v>7</v>
      </c>
      <c r="F239">
        <v>10</v>
      </c>
      <c r="G239">
        <v>19</v>
      </c>
      <c r="H239">
        <v>41</v>
      </c>
      <c r="I239">
        <v>43</v>
      </c>
      <c r="J239">
        <v>45</v>
      </c>
      <c r="K239">
        <v>31</v>
      </c>
      <c r="M239">
        <v>1</v>
      </c>
      <c r="N239">
        <v>2</v>
      </c>
      <c r="O239">
        <v>0</v>
      </c>
      <c r="P239">
        <v>1</v>
      </c>
      <c r="Q239">
        <v>3</v>
      </c>
      <c r="S239">
        <v>196</v>
      </c>
      <c r="U239">
        <v>4</v>
      </c>
      <c r="V239">
        <v>3</v>
      </c>
      <c r="X239">
        <v>6</v>
      </c>
      <c r="Y239">
        <v>1</v>
      </c>
      <c r="AG239">
        <v>1</v>
      </c>
      <c r="AJ239">
        <v>1</v>
      </c>
      <c r="AS239">
        <v>1</v>
      </c>
      <c r="BE239">
        <v>1</v>
      </c>
      <c r="BO239">
        <v>1</v>
      </c>
      <c r="BQ239">
        <v>1</v>
      </c>
      <c r="BS239">
        <v>1</v>
      </c>
      <c r="BY239">
        <v>229</v>
      </c>
      <c r="BZ239">
        <v>175</v>
      </c>
    </row>
    <row r="240" spans="1:78" x14ac:dyDescent="0.25">
      <c r="A240" s="1">
        <v>42075</v>
      </c>
      <c r="B240" t="s">
        <v>324</v>
      </c>
      <c r="C240" t="s">
        <v>218</v>
      </c>
      <c r="E240">
        <v>14</v>
      </c>
      <c r="F240">
        <v>15</v>
      </c>
      <c r="G240">
        <v>19</v>
      </c>
      <c r="H240">
        <v>20</v>
      </c>
      <c r="I240">
        <v>36</v>
      </c>
      <c r="J240">
        <v>47</v>
      </c>
      <c r="K240">
        <v>10</v>
      </c>
      <c r="M240">
        <v>0</v>
      </c>
      <c r="N240">
        <v>4</v>
      </c>
      <c r="O240">
        <v>1</v>
      </c>
      <c r="P240">
        <v>1</v>
      </c>
      <c r="Q240">
        <v>1</v>
      </c>
      <c r="S240">
        <v>161</v>
      </c>
      <c r="U240">
        <v>2</v>
      </c>
      <c r="V240">
        <v>5</v>
      </c>
      <c r="X240">
        <v>3</v>
      </c>
      <c r="Y240">
        <v>4</v>
      </c>
      <c r="AJ240">
        <v>1</v>
      </c>
      <c r="AN240">
        <v>1</v>
      </c>
      <c r="AO240">
        <v>1</v>
      </c>
      <c r="AS240">
        <v>1</v>
      </c>
      <c r="AT240">
        <v>1</v>
      </c>
      <c r="BJ240">
        <v>1</v>
      </c>
      <c r="BU240">
        <v>1</v>
      </c>
      <c r="BY240">
        <v>187</v>
      </c>
      <c r="BZ240">
        <v>136</v>
      </c>
    </row>
    <row r="241" spans="1:78" x14ac:dyDescent="0.25">
      <c r="A241" s="1">
        <v>42072</v>
      </c>
      <c r="B241" t="s">
        <v>290</v>
      </c>
      <c r="C241" t="s">
        <v>219</v>
      </c>
      <c r="E241">
        <v>9</v>
      </c>
      <c r="F241">
        <v>11</v>
      </c>
      <c r="G241">
        <v>38</v>
      </c>
      <c r="H241">
        <v>39</v>
      </c>
      <c r="I241">
        <v>44</v>
      </c>
      <c r="J241">
        <v>47</v>
      </c>
      <c r="K241">
        <v>3</v>
      </c>
      <c r="M241">
        <v>2</v>
      </c>
      <c r="N241">
        <v>1</v>
      </c>
      <c r="O241">
        <v>0</v>
      </c>
      <c r="P241">
        <v>2</v>
      </c>
      <c r="Q241">
        <v>2</v>
      </c>
      <c r="S241">
        <v>191</v>
      </c>
      <c r="U241">
        <v>4</v>
      </c>
      <c r="V241">
        <v>3</v>
      </c>
      <c r="X241">
        <v>5</v>
      </c>
      <c r="Y241">
        <v>2</v>
      </c>
      <c r="AC241">
        <v>1</v>
      </c>
      <c r="AI241">
        <v>1</v>
      </c>
      <c r="AK241">
        <v>1</v>
      </c>
      <c r="BL241">
        <v>1</v>
      </c>
      <c r="BM241">
        <v>1</v>
      </c>
      <c r="BR241">
        <v>1</v>
      </c>
      <c r="BU241">
        <v>1</v>
      </c>
      <c r="BY241">
        <v>210</v>
      </c>
      <c r="BZ241">
        <v>155</v>
      </c>
    </row>
    <row r="242" spans="1:78" x14ac:dyDescent="0.25">
      <c r="A242" s="1">
        <v>42068</v>
      </c>
      <c r="B242" t="s">
        <v>293</v>
      </c>
      <c r="C242" t="s">
        <v>220</v>
      </c>
      <c r="E242">
        <v>5</v>
      </c>
      <c r="F242">
        <v>10</v>
      </c>
      <c r="G242">
        <v>11</v>
      </c>
      <c r="H242">
        <v>38</v>
      </c>
      <c r="I242">
        <v>44</v>
      </c>
      <c r="J242">
        <v>47</v>
      </c>
      <c r="K242">
        <v>20</v>
      </c>
      <c r="M242">
        <v>1</v>
      </c>
      <c r="N242">
        <v>2</v>
      </c>
      <c r="O242">
        <v>1</v>
      </c>
      <c r="P242">
        <v>1</v>
      </c>
      <c r="Q242">
        <v>2</v>
      </c>
      <c r="S242">
        <v>175</v>
      </c>
      <c r="U242">
        <v>3</v>
      </c>
      <c r="V242">
        <v>4</v>
      </c>
      <c r="X242">
        <v>3</v>
      </c>
      <c r="Y242">
        <v>4</v>
      </c>
      <c r="AE242">
        <v>1</v>
      </c>
      <c r="AJ242">
        <v>1</v>
      </c>
      <c r="AK242">
        <v>1</v>
      </c>
      <c r="AT242">
        <v>1</v>
      </c>
      <c r="BL242">
        <v>1</v>
      </c>
      <c r="BR242">
        <v>1</v>
      </c>
      <c r="BU242">
        <v>1</v>
      </c>
      <c r="BY242">
        <v>211</v>
      </c>
      <c r="BZ242">
        <v>153</v>
      </c>
    </row>
    <row r="243" spans="1:78" x14ac:dyDescent="0.25">
      <c r="A243" s="1">
        <v>42065</v>
      </c>
      <c r="B243" t="s">
        <v>348</v>
      </c>
      <c r="C243" t="s">
        <v>221</v>
      </c>
      <c r="E243">
        <v>7</v>
      </c>
      <c r="F243">
        <v>12</v>
      </c>
      <c r="G243">
        <v>24</v>
      </c>
      <c r="H243">
        <v>27</v>
      </c>
      <c r="I243">
        <v>35</v>
      </c>
      <c r="J243">
        <v>44</v>
      </c>
      <c r="K243">
        <v>20</v>
      </c>
      <c r="M243">
        <v>1</v>
      </c>
      <c r="N243">
        <v>1</v>
      </c>
      <c r="O243">
        <v>3</v>
      </c>
      <c r="P243">
        <v>1</v>
      </c>
      <c r="Q243">
        <v>1</v>
      </c>
      <c r="S243">
        <v>169</v>
      </c>
      <c r="U243">
        <v>3</v>
      </c>
      <c r="V243">
        <v>4</v>
      </c>
      <c r="X243">
        <v>3</v>
      </c>
      <c r="Y243">
        <v>4</v>
      </c>
      <c r="AG243">
        <v>1</v>
      </c>
      <c r="AL243">
        <v>1</v>
      </c>
      <c r="AT243">
        <v>1</v>
      </c>
      <c r="AX243">
        <v>1</v>
      </c>
      <c r="BA243">
        <v>1</v>
      </c>
      <c r="BI243">
        <v>1</v>
      </c>
      <c r="BR243">
        <v>1</v>
      </c>
      <c r="BY243">
        <v>200</v>
      </c>
      <c r="BZ243">
        <v>144</v>
      </c>
    </row>
    <row r="244" spans="1:78" x14ac:dyDescent="0.25">
      <c r="A244" s="1">
        <v>42062</v>
      </c>
      <c r="B244" t="s">
        <v>362</v>
      </c>
      <c r="C244" t="s">
        <v>222</v>
      </c>
      <c r="E244">
        <v>2</v>
      </c>
      <c r="F244">
        <v>13</v>
      </c>
      <c r="G244">
        <v>19</v>
      </c>
      <c r="H244">
        <v>28</v>
      </c>
      <c r="I244">
        <v>41</v>
      </c>
      <c r="J244">
        <v>42</v>
      </c>
      <c r="K244">
        <v>14</v>
      </c>
      <c r="M244">
        <v>1</v>
      </c>
      <c r="N244">
        <v>3</v>
      </c>
      <c r="O244">
        <v>1</v>
      </c>
      <c r="P244">
        <v>0</v>
      </c>
      <c r="Q244">
        <v>2</v>
      </c>
      <c r="S244">
        <v>159</v>
      </c>
      <c r="U244">
        <v>3</v>
      </c>
      <c r="V244">
        <v>4</v>
      </c>
      <c r="X244">
        <v>3</v>
      </c>
      <c r="Y244">
        <v>4</v>
      </c>
      <c r="AB244">
        <v>1</v>
      </c>
      <c r="AM244">
        <v>1</v>
      </c>
      <c r="AN244">
        <v>1</v>
      </c>
      <c r="AS244">
        <v>1</v>
      </c>
      <c r="BB244">
        <v>1</v>
      </c>
      <c r="BO244">
        <v>1</v>
      </c>
      <c r="BP244">
        <v>1</v>
      </c>
      <c r="BY244">
        <v>189</v>
      </c>
      <c r="BZ244">
        <v>135</v>
      </c>
    </row>
    <row r="245" spans="1:78" x14ac:dyDescent="0.25">
      <c r="A245" s="1">
        <v>42058</v>
      </c>
      <c r="B245" t="s">
        <v>383</v>
      </c>
      <c r="C245" t="s">
        <v>223</v>
      </c>
      <c r="E245">
        <v>1</v>
      </c>
      <c r="F245">
        <v>5</v>
      </c>
      <c r="G245">
        <v>14</v>
      </c>
      <c r="H245">
        <v>18</v>
      </c>
      <c r="I245">
        <v>24</v>
      </c>
      <c r="J245">
        <v>26</v>
      </c>
      <c r="K245">
        <v>29</v>
      </c>
      <c r="M245">
        <v>2</v>
      </c>
      <c r="N245">
        <v>2</v>
      </c>
      <c r="O245">
        <v>3</v>
      </c>
      <c r="P245">
        <v>0</v>
      </c>
      <c r="Q245">
        <v>0</v>
      </c>
      <c r="S245">
        <v>117</v>
      </c>
      <c r="U245">
        <v>2</v>
      </c>
      <c r="V245">
        <v>5</v>
      </c>
      <c r="X245">
        <v>3</v>
      </c>
      <c r="Y245">
        <v>4</v>
      </c>
      <c r="AA245">
        <v>1</v>
      </c>
      <c r="AE245">
        <v>1</v>
      </c>
      <c r="AN245">
        <v>1</v>
      </c>
      <c r="AR245">
        <v>1</v>
      </c>
      <c r="AX245">
        <v>1</v>
      </c>
      <c r="AZ245">
        <v>1</v>
      </c>
      <c r="BC245">
        <v>1</v>
      </c>
      <c r="BY245">
        <v>138</v>
      </c>
      <c r="BZ245">
        <v>87</v>
      </c>
    </row>
    <row r="246" spans="1:78" x14ac:dyDescent="0.25">
      <c r="A246" s="1">
        <v>42054</v>
      </c>
      <c r="B246" t="s">
        <v>274</v>
      </c>
      <c r="C246" t="s">
        <v>224</v>
      </c>
      <c r="E246">
        <v>2</v>
      </c>
      <c r="F246">
        <v>17</v>
      </c>
      <c r="G246">
        <v>22</v>
      </c>
      <c r="H246">
        <v>36</v>
      </c>
      <c r="I246">
        <v>37</v>
      </c>
      <c r="J246">
        <v>45</v>
      </c>
      <c r="K246">
        <v>23</v>
      </c>
      <c r="M246">
        <v>1</v>
      </c>
      <c r="N246">
        <v>1</v>
      </c>
      <c r="O246">
        <v>2</v>
      </c>
      <c r="P246">
        <v>2</v>
      </c>
      <c r="Q246">
        <v>1</v>
      </c>
      <c r="S246">
        <v>182</v>
      </c>
      <c r="U246">
        <v>3</v>
      </c>
      <c r="V246">
        <v>4</v>
      </c>
      <c r="X246">
        <v>4</v>
      </c>
      <c r="Y246">
        <v>3</v>
      </c>
      <c r="AB246">
        <v>1</v>
      </c>
      <c r="AQ246">
        <v>1</v>
      </c>
      <c r="AV246">
        <v>1</v>
      </c>
      <c r="AW246">
        <v>1</v>
      </c>
      <c r="BJ246">
        <v>1</v>
      </c>
      <c r="BK246">
        <v>1</v>
      </c>
      <c r="BS246">
        <v>1</v>
      </c>
      <c r="BY246">
        <v>211</v>
      </c>
      <c r="BZ246">
        <v>153</v>
      </c>
    </row>
    <row r="247" spans="1:78" x14ac:dyDescent="0.25">
      <c r="A247" s="1">
        <v>42051</v>
      </c>
      <c r="B247" t="s">
        <v>275</v>
      </c>
      <c r="C247" t="s">
        <v>225</v>
      </c>
      <c r="E247">
        <v>19</v>
      </c>
      <c r="F247">
        <v>22</v>
      </c>
      <c r="G247">
        <v>33</v>
      </c>
      <c r="H247">
        <v>36</v>
      </c>
      <c r="I247">
        <v>37</v>
      </c>
      <c r="J247">
        <v>46</v>
      </c>
      <c r="K247">
        <v>8</v>
      </c>
      <c r="M247">
        <v>1</v>
      </c>
      <c r="N247">
        <v>1</v>
      </c>
      <c r="O247">
        <v>1</v>
      </c>
      <c r="P247">
        <v>3</v>
      </c>
      <c r="Q247">
        <v>1</v>
      </c>
      <c r="S247">
        <v>201</v>
      </c>
      <c r="U247">
        <v>4</v>
      </c>
      <c r="V247">
        <v>3</v>
      </c>
      <c r="X247">
        <v>3</v>
      </c>
      <c r="Y247">
        <v>4</v>
      </c>
      <c r="AH247">
        <v>1</v>
      </c>
      <c r="AS247">
        <v>1</v>
      </c>
      <c r="AV247">
        <v>1</v>
      </c>
      <c r="BG247">
        <v>1</v>
      </c>
      <c r="BJ247">
        <v>1</v>
      </c>
      <c r="BK247">
        <v>1</v>
      </c>
      <c r="BT247">
        <v>1</v>
      </c>
      <c r="BY247">
        <v>220</v>
      </c>
      <c r="BZ247">
        <v>164</v>
      </c>
    </row>
    <row r="248" spans="1:78" x14ac:dyDescent="0.25">
      <c r="A248" s="1">
        <v>42047</v>
      </c>
      <c r="B248" t="s">
        <v>306</v>
      </c>
      <c r="C248" t="s">
        <v>226</v>
      </c>
      <c r="E248">
        <v>12</v>
      </c>
      <c r="F248">
        <v>13</v>
      </c>
      <c r="G248">
        <v>26</v>
      </c>
      <c r="H248">
        <v>32</v>
      </c>
      <c r="I248">
        <v>42</v>
      </c>
      <c r="J248">
        <v>47</v>
      </c>
      <c r="K248">
        <v>39</v>
      </c>
      <c r="M248">
        <v>0</v>
      </c>
      <c r="N248">
        <v>2</v>
      </c>
      <c r="O248">
        <v>1</v>
      </c>
      <c r="P248">
        <v>2</v>
      </c>
      <c r="Q248">
        <v>2</v>
      </c>
      <c r="S248">
        <v>211</v>
      </c>
      <c r="U248">
        <v>5</v>
      </c>
      <c r="V248">
        <v>2</v>
      </c>
      <c r="X248">
        <v>3</v>
      </c>
      <c r="Y248">
        <v>4</v>
      </c>
      <c r="AL248">
        <v>1</v>
      </c>
      <c r="AM248">
        <v>1</v>
      </c>
      <c r="AZ248">
        <v>1</v>
      </c>
      <c r="BF248">
        <v>1</v>
      </c>
      <c r="BM248">
        <v>1</v>
      </c>
      <c r="BP248">
        <v>1</v>
      </c>
      <c r="BU248">
        <v>1</v>
      </c>
      <c r="BY248">
        <v>240</v>
      </c>
      <c r="BZ248">
        <v>183</v>
      </c>
    </row>
    <row r="249" spans="1:78" x14ac:dyDescent="0.25">
      <c r="A249" s="1">
        <v>42044</v>
      </c>
      <c r="B249" t="s">
        <v>341</v>
      </c>
      <c r="C249" t="s">
        <v>227</v>
      </c>
      <c r="E249">
        <v>4</v>
      </c>
      <c r="F249">
        <v>15</v>
      </c>
      <c r="G249">
        <v>22</v>
      </c>
      <c r="H249">
        <v>31</v>
      </c>
      <c r="I249">
        <v>32</v>
      </c>
      <c r="J249">
        <v>36</v>
      </c>
      <c r="K249">
        <v>6</v>
      </c>
      <c r="M249">
        <v>2</v>
      </c>
      <c r="N249">
        <v>1</v>
      </c>
      <c r="O249">
        <v>1</v>
      </c>
      <c r="P249">
        <v>3</v>
      </c>
      <c r="Q249">
        <v>0</v>
      </c>
      <c r="S249">
        <v>146</v>
      </c>
      <c r="U249">
        <v>3</v>
      </c>
      <c r="V249">
        <v>4</v>
      </c>
      <c r="X249">
        <v>2</v>
      </c>
      <c r="Y249">
        <v>5</v>
      </c>
      <c r="AD249">
        <v>1</v>
      </c>
      <c r="AF249">
        <v>1</v>
      </c>
      <c r="AO249">
        <v>1</v>
      </c>
      <c r="AV249">
        <v>1</v>
      </c>
      <c r="BE249">
        <v>1</v>
      </c>
      <c r="BF249">
        <v>1</v>
      </c>
      <c r="BJ249">
        <v>1</v>
      </c>
      <c r="BY249">
        <v>179</v>
      </c>
      <c r="BZ249">
        <v>126</v>
      </c>
    </row>
    <row r="250" spans="1:78" x14ac:dyDescent="0.25">
      <c r="A250" s="1">
        <v>42040</v>
      </c>
      <c r="B250" t="s">
        <v>314</v>
      </c>
      <c r="C250" t="s">
        <v>228</v>
      </c>
      <c r="E250">
        <v>8</v>
      </c>
      <c r="F250">
        <v>10</v>
      </c>
      <c r="G250">
        <v>25</v>
      </c>
      <c r="H250">
        <v>31</v>
      </c>
      <c r="I250">
        <v>45</v>
      </c>
      <c r="J250">
        <v>48</v>
      </c>
      <c r="K250">
        <v>2</v>
      </c>
      <c r="M250">
        <v>2</v>
      </c>
      <c r="N250">
        <v>1</v>
      </c>
      <c r="O250">
        <v>1</v>
      </c>
      <c r="P250">
        <v>1</v>
      </c>
      <c r="Q250">
        <v>2</v>
      </c>
      <c r="S250">
        <v>169</v>
      </c>
      <c r="U250">
        <v>4</v>
      </c>
      <c r="V250">
        <v>3</v>
      </c>
      <c r="X250">
        <v>3</v>
      </c>
      <c r="Y250">
        <v>4</v>
      </c>
      <c r="AB250">
        <v>1</v>
      </c>
      <c r="AH250">
        <v>1</v>
      </c>
      <c r="AJ250">
        <v>1</v>
      </c>
      <c r="AY250">
        <v>1</v>
      </c>
      <c r="BE250">
        <v>1</v>
      </c>
      <c r="BS250">
        <v>1</v>
      </c>
      <c r="BV250">
        <v>1</v>
      </c>
      <c r="BY250">
        <v>201</v>
      </c>
      <c r="BZ250">
        <v>144</v>
      </c>
    </row>
    <row r="251" spans="1:78" x14ac:dyDescent="0.25">
      <c r="A251" s="1">
        <v>42037</v>
      </c>
      <c r="B251" t="s">
        <v>274</v>
      </c>
      <c r="C251" t="s">
        <v>229</v>
      </c>
      <c r="E251">
        <v>8</v>
      </c>
      <c r="F251">
        <v>18</v>
      </c>
      <c r="G251">
        <v>20</v>
      </c>
      <c r="H251">
        <v>29</v>
      </c>
      <c r="I251">
        <v>39</v>
      </c>
      <c r="J251">
        <v>41</v>
      </c>
      <c r="K251">
        <v>38</v>
      </c>
      <c r="M251">
        <v>1</v>
      </c>
      <c r="N251">
        <v>1</v>
      </c>
      <c r="O251">
        <v>2</v>
      </c>
      <c r="P251">
        <v>2</v>
      </c>
      <c r="Q251">
        <v>1</v>
      </c>
      <c r="S251">
        <v>193</v>
      </c>
      <c r="U251">
        <v>4</v>
      </c>
      <c r="V251">
        <v>3</v>
      </c>
      <c r="X251">
        <v>3</v>
      </c>
      <c r="Y251">
        <v>4</v>
      </c>
      <c r="AH251">
        <v>1</v>
      </c>
      <c r="AR251">
        <v>1</v>
      </c>
      <c r="AT251">
        <v>1</v>
      </c>
      <c r="BC251">
        <v>1</v>
      </c>
      <c r="BL251">
        <v>1</v>
      </c>
      <c r="BM251">
        <v>1</v>
      </c>
      <c r="BO251">
        <v>1</v>
      </c>
      <c r="BY251">
        <v>211</v>
      </c>
      <c r="BZ251">
        <v>153</v>
      </c>
    </row>
    <row r="252" spans="1:78" x14ac:dyDescent="0.25">
      <c r="A252" s="1">
        <v>42033</v>
      </c>
      <c r="B252" t="s">
        <v>310</v>
      </c>
      <c r="C252" t="s">
        <v>230</v>
      </c>
      <c r="E252">
        <v>6</v>
      </c>
      <c r="F252">
        <v>15</v>
      </c>
      <c r="G252">
        <v>38</v>
      </c>
      <c r="H252">
        <v>40</v>
      </c>
      <c r="I252">
        <v>45</v>
      </c>
      <c r="J252">
        <v>49</v>
      </c>
      <c r="K252">
        <v>27</v>
      </c>
      <c r="M252">
        <v>1</v>
      </c>
      <c r="N252">
        <v>1</v>
      </c>
      <c r="O252">
        <v>1</v>
      </c>
      <c r="P252">
        <v>1</v>
      </c>
      <c r="Q252">
        <v>3</v>
      </c>
      <c r="S252">
        <v>220</v>
      </c>
      <c r="U252">
        <v>5</v>
      </c>
      <c r="V252">
        <v>2</v>
      </c>
      <c r="X252">
        <v>4</v>
      </c>
      <c r="Y252">
        <v>3</v>
      </c>
      <c r="AF252">
        <v>1</v>
      </c>
      <c r="AO252">
        <v>1</v>
      </c>
      <c r="BA252">
        <v>1</v>
      </c>
      <c r="BL252">
        <v>1</v>
      </c>
      <c r="BN252">
        <v>1</v>
      </c>
      <c r="BS252">
        <v>1</v>
      </c>
      <c r="BW252">
        <v>1</v>
      </c>
      <c r="BY252">
        <v>240</v>
      </c>
      <c r="BZ252">
        <v>184</v>
      </c>
    </row>
    <row r="253" spans="1:78" x14ac:dyDescent="0.25">
      <c r="A253" s="1">
        <v>42030</v>
      </c>
      <c r="B253" t="s">
        <v>332</v>
      </c>
      <c r="C253" t="s">
        <v>231</v>
      </c>
      <c r="E253">
        <v>6</v>
      </c>
      <c r="F253">
        <v>23</v>
      </c>
      <c r="G253">
        <v>24</v>
      </c>
      <c r="H253">
        <v>30</v>
      </c>
      <c r="I253">
        <v>36</v>
      </c>
      <c r="J253">
        <v>46</v>
      </c>
      <c r="K253">
        <v>31</v>
      </c>
      <c r="M253">
        <v>1</v>
      </c>
      <c r="N253">
        <v>0</v>
      </c>
      <c r="O253">
        <v>2</v>
      </c>
      <c r="P253">
        <v>3</v>
      </c>
      <c r="Q253">
        <v>1</v>
      </c>
      <c r="S253">
        <v>196</v>
      </c>
      <c r="U253">
        <v>4</v>
      </c>
      <c r="V253">
        <v>3</v>
      </c>
      <c r="X253">
        <v>2</v>
      </c>
      <c r="Y253">
        <v>5</v>
      </c>
      <c r="AF253">
        <v>1</v>
      </c>
      <c r="AW253">
        <v>1</v>
      </c>
      <c r="AX253">
        <v>1</v>
      </c>
      <c r="BD253">
        <v>1</v>
      </c>
      <c r="BE253">
        <v>1</v>
      </c>
      <c r="BJ253">
        <v>1</v>
      </c>
      <c r="BT253">
        <v>1</v>
      </c>
      <c r="BY253">
        <v>229</v>
      </c>
      <c r="BZ253">
        <v>175</v>
      </c>
    </row>
    <row r="254" spans="1:78" x14ac:dyDescent="0.25">
      <c r="A254" s="1">
        <v>42026</v>
      </c>
      <c r="B254" t="s">
        <v>284</v>
      </c>
      <c r="C254" t="s">
        <v>232</v>
      </c>
      <c r="E254">
        <v>5</v>
      </c>
      <c r="F254">
        <v>12</v>
      </c>
      <c r="G254">
        <v>26</v>
      </c>
      <c r="H254">
        <v>31</v>
      </c>
      <c r="I254">
        <v>40</v>
      </c>
      <c r="J254">
        <v>47</v>
      </c>
      <c r="K254">
        <v>25</v>
      </c>
      <c r="M254">
        <v>1</v>
      </c>
      <c r="N254">
        <v>1</v>
      </c>
      <c r="O254">
        <v>2</v>
      </c>
      <c r="P254">
        <v>1</v>
      </c>
      <c r="Q254">
        <v>2</v>
      </c>
      <c r="S254">
        <v>186</v>
      </c>
      <c r="U254">
        <v>5</v>
      </c>
      <c r="V254">
        <v>2</v>
      </c>
      <c r="X254">
        <v>4</v>
      </c>
      <c r="Y254">
        <v>3</v>
      </c>
      <c r="AE254">
        <v>1</v>
      </c>
      <c r="AL254">
        <v>1</v>
      </c>
      <c r="AY254">
        <v>1</v>
      </c>
      <c r="AZ254">
        <v>1</v>
      </c>
      <c r="BE254">
        <v>1</v>
      </c>
      <c r="BN254">
        <v>1</v>
      </c>
      <c r="BU254">
        <v>1</v>
      </c>
      <c r="BY254">
        <v>221</v>
      </c>
      <c r="BZ254">
        <v>163</v>
      </c>
    </row>
    <row r="255" spans="1:78" x14ac:dyDescent="0.25">
      <c r="A255" s="1">
        <v>42023</v>
      </c>
      <c r="B255" t="s">
        <v>351</v>
      </c>
      <c r="C255" t="s">
        <v>233</v>
      </c>
      <c r="E255">
        <v>21</v>
      </c>
      <c r="F255">
        <v>24</v>
      </c>
      <c r="G255">
        <v>25</v>
      </c>
      <c r="H255">
        <v>31</v>
      </c>
      <c r="I255">
        <v>33</v>
      </c>
      <c r="J255">
        <v>36</v>
      </c>
      <c r="K255">
        <v>13</v>
      </c>
      <c r="M255">
        <v>0</v>
      </c>
      <c r="N255">
        <v>1</v>
      </c>
      <c r="O255">
        <v>3</v>
      </c>
      <c r="P255">
        <v>3</v>
      </c>
      <c r="Q255">
        <v>0</v>
      </c>
      <c r="S255">
        <v>183</v>
      </c>
      <c r="U255">
        <v>4</v>
      </c>
      <c r="V255">
        <v>3</v>
      </c>
      <c r="X255">
        <v>5</v>
      </c>
      <c r="Y255">
        <v>2</v>
      </c>
      <c r="AM255">
        <v>1</v>
      </c>
      <c r="AU255">
        <v>1</v>
      </c>
      <c r="AX255">
        <v>1</v>
      </c>
      <c r="AY255">
        <v>1</v>
      </c>
      <c r="BE255">
        <v>1</v>
      </c>
      <c r="BG255">
        <v>1</v>
      </c>
      <c r="BJ255">
        <v>1</v>
      </c>
      <c r="BY255">
        <v>217</v>
      </c>
      <c r="BZ255">
        <v>166</v>
      </c>
    </row>
    <row r="256" spans="1:78" x14ac:dyDescent="0.25">
      <c r="A256" s="1">
        <v>42019</v>
      </c>
      <c r="B256" t="s">
        <v>380</v>
      </c>
      <c r="C256" t="s">
        <v>234</v>
      </c>
      <c r="E256">
        <v>2</v>
      </c>
      <c r="F256">
        <v>3</v>
      </c>
      <c r="G256">
        <v>9</v>
      </c>
      <c r="H256">
        <v>16</v>
      </c>
      <c r="I256">
        <v>33</v>
      </c>
      <c r="J256">
        <v>37</v>
      </c>
      <c r="K256">
        <v>46</v>
      </c>
      <c r="M256">
        <v>3</v>
      </c>
      <c r="N256">
        <v>1</v>
      </c>
      <c r="O256">
        <v>0</v>
      </c>
      <c r="P256">
        <v>2</v>
      </c>
      <c r="Q256">
        <v>1</v>
      </c>
      <c r="S256">
        <v>146</v>
      </c>
      <c r="U256">
        <v>3</v>
      </c>
      <c r="V256">
        <v>4</v>
      </c>
      <c r="X256">
        <v>4</v>
      </c>
      <c r="Y256">
        <v>3</v>
      </c>
      <c r="AB256">
        <v>1</v>
      </c>
      <c r="AC256">
        <v>1</v>
      </c>
      <c r="AI256">
        <v>1</v>
      </c>
      <c r="AP256">
        <v>1</v>
      </c>
      <c r="BG256">
        <v>1</v>
      </c>
      <c r="BK256">
        <v>1</v>
      </c>
      <c r="BT256">
        <v>1</v>
      </c>
      <c r="BY256">
        <v>169</v>
      </c>
      <c r="BZ256">
        <v>117</v>
      </c>
    </row>
    <row r="257" spans="1:78" x14ac:dyDescent="0.25">
      <c r="A257" s="1">
        <v>42016</v>
      </c>
      <c r="B257" t="s">
        <v>384</v>
      </c>
      <c r="C257" t="s">
        <v>235</v>
      </c>
      <c r="E257">
        <v>25</v>
      </c>
      <c r="F257">
        <v>32</v>
      </c>
      <c r="G257">
        <v>41</v>
      </c>
      <c r="H257">
        <v>43</v>
      </c>
      <c r="I257">
        <v>47</v>
      </c>
      <c r="J257">
        <v>48</v>
      </c>
      <c r="K257">
        <v>7</v>
      </c>
      <c r="M257">
        <v>1</v>
      </c>
      <c r="N257">
        <v>0</v>
      </c>
      <c r="O257">
        <v>1</v>
      </c>
      <c r="P257">
        <v>1</v>
      </c>
      <c r="Q257">
        <v>4</v>
      </c>
      <c r="S257">
        <v>243</v>
      </c>
      <c r="U257">
        <v>6</v>
      </c>
      <c r="V257">
        <v>1</v>
      </c>
      <c r="X257">
        <v>5</v>
      </c>
      <c r="Y257">
        <v>2</v>
      </c>
      <c r="AG257">
        <v>1</v>
      </c>
      <c r="AY257">
        <v>1</v>
      </c>
      <c r="BF257">
        <v>1</v>
      </c>
      <c r="BO257">
        <v>1</v>
      </c>
      <c r="BQ257">
        <v>1</v>
      </c>
      <c r="BU257">
        <v>1</v>
      </c>
      <c r="BV257">
        <v>1</v>
      </c>
      <c r="BY257">
        <v>267</v>
      </c>
      <c r="BZ257">
        <v>217</v>
      </c>
    </row>
    <row r="258" spans="1:78" x14ac:dyDescent="0.25">
      <c r="A258" s="1">
        <v>42012</v>
      </c>
      <c r="B258" t="s">
        <v>385</v>
      </c>
      <c r="C258" t="s">
        <v>236</v>
      </c>
      <c r="E258">
        <v>5</v>
      </c>
      <c r="F258">
        <v>7</v>
      </c>
      <c r="G258">
        <v>9</v>
      </c>
      <c r="H258">
        <v>15</v>
      </c>
      <c r="I258">
        <v>34</v>
      </c>
      <c r="J258">
        <v>38</v>
      </c>
      <c r="K258">
        <v>21</v>
      </c>
      <c r="M258">
        <v>3</v>
      </c>
      <c r="N258">
        <v>1</v>
      </c>
      <c r="O258">
        <v>1</v>
      </c>
      <c r="P258">
        <v>2</v>
      </c>
      <c r="Q258">
        <v>0</v>
      </c>
      <c r="S258">
        <v>129</v>
      </c>
      <c r="U258">
        <v>2</v>
      </c>
      <c r="V258">
        <v>5</v>
      </c>
      <c r="X258">
        <v>5</v>
      </c>
      <c r="Y258">
        <v>2</v>
      </c>
      <c r="AE258">
        <v>1</v>
      </c>
      <c r="AG258">
        <v>1</v>
      </c>
      <c r="AI258">
        <v>1</v>
      </c>
      <c r="AO258">
        <v>1</v>
      </c>
      <c r="AU258">
        <v>1</v>
      </c>
      <c r="BH258">
        <v>1</v>
      </c>
      <c r="BL258">
        <v>1</v>
      </c>
      <c r="BY258">
        <v>149</v>
      </c>
      <c r="BZ258">
        <v>97</v>
      </c>
    </row>
    <row r="259" spans="1:78" x14ac:dyDescent="0.25">
      <c r="A259" s="1">
        <v>42009</v>
      </c>
      <c r="B259" t="s">
        <v>386</v>
      </c>
      <c r="C259" t="s">
        <v>237</v>
      </c>
      <c r="E259">
        <v>1</v>
      </c>
      <c r="F259">
        <v>22</v>
      </c>
      <c r="G259">
        <v>27</v>
      </c>
      <c r="H259">
        <v>34</v>
      </c>
      <c r="I259">
        <v>35</v>
      </c>
      <c r="J259">
        <v>37</v>
      </c>
      <c r="K259">
        <v>20</v>
      </c>
      <c r="M259">
        <v>1</v>
      </c>
      <c r="N259">
        <v>0</v>
      </c>
      <c r="O259">
        <v>3</v>
      </c>
      <c r="P259">
        <v>3</v>
      </c>
      <c r="Q259">
        <v>0</v>
      </c>
      <c r="S259">
        <v>176</v>
      </c>
      <c r="U259">
        <v>4</v>
      </c>
      <c r="V259">
        <v>3</v>
      </c>
      <c r="X259">
        <v>4</v>
      </c>
      <c r="Y259">
        <v>3</v>
      </c>
      <c r="AA259">
        <v>1</v>
      </c>
      <c r="AT259">
        <v>1</v>
      </c>
      <c r="AV259">
        <v>1</v>
      </c>
      <c r="BA259">
        <v>1</v>
      </c>
      <c r="BH259">
        <v>1</v>
      </c>
      <c r="BI259">
        <v>1</v>
      </c>
      <c r="BK259">
        <v>1</v>
      </c>
      <c r="BY259">
        <v>207</v>
      </c>
      <c r="BZ259">
        <v>157</v>
      </c>
    </row>
    <row r="260" spans="1:78" x14ac:dyDescent="0.25">
      <c r="A260" s="1">
        <v>42005</v>
      </c>
      <c r="B260" t="s">
        <v>314</v>
      </c>
      <c r="C260" t="s">
        <v>238</v>
      </c>
      <c r="E260">
        <v>1</v>
      </c>
      <c r="F260">
        <v>4</v>
      </c>
      <c r="G260">
        <v>18</v>
      </c>
      <c r="H260">
        <v>31</v>
      </c>
      <c r="I260">
        <v>48</v>
      </c>
      <c r="J260">
        <v>49</v>
      </c>
      <c r="K260">
        <v>21</v>
      </c>
      <c r="M260">
        <v>2</v>
      </c>
      <c r="N260">
        <v>1</v>
      </c>
      <c r="O260">
        <v>1</v>
      </c>
      <c r="P260">
        <v>1</v>
      </c>
      <c r="Q260">
        <v>2</v>
      </c>
      <c r="S260">
        <v>172</v>
      </c>
      <c r="U260">
        <v>3</v>
      </c>
      <c r="V260">
        <v>4</v>
      </c>
      <c r="X260">
        <v>4</v>
      </c>
      <c r="Y260">
        <v>3</v>
      </c>
      <c r="AA260">
        <v>1</v>
      </c>
      <c r="AD260">
        <v>1</v>
      </c>
      <c r="AR260">
        <v>1</v>
      </c>
      <c r="AU260">
        <v>1</v>
      </c>
      <c r="BE260">
        <v>1</v>
      </c>
      <c r="BV260">
        <v>1</v>
      </c>
      <c r="BW260">
        <v>1</v>
      </c>
      <c r="BY260">
        <v>201</v>
      </c>
      <c r="BZ260">
        <v>144</v>
      </c>
    </row>
    <row r="261" spans="1:78" x14ac:dyDescent="0.25">
      <c r="A261" s="1">
        <v>42002</v>
      </c>
      <c r="B261" t="s">
        <v>287</v>
      </c>
      <c r="C261" t="s">
        <v>239</v>
      </c>
      <c r="E261">
        <v>1</v>
      </c>
      <c r="F261">
        <v>4</v>
      </c>
      <c r="G261">
        <v>27</v>
      </c>
      <c r="H261">
        <v>42</v>
      </c>
      <c r="I261">
        <v>44</v>
      </c>
      <c r="J261">
        <v>47</v>
      </c>
      <c r="K261">
        <v>18</v>
      </c>
      <c r="M261">
        <v>2</v>
      </c>
      <c r="N261">
        <v>1</v>
      </c>
      <c r="O261">
        <v>1</v>
      </c>
      <c r="P261">
        <v>0</v>
      </c>
      <c r="Q261">
        <v>3</v>
      </c>
      <c r="S261">
        <v>183</v>
      </c>
      <c r="U261">
        <v>4</v>
      </c>
      <c r="V261">
        <v>3</v>
      </c>
      <c r="X261">
        <v>3</v>
      </c>
      <c r="Y261">
        <v>4</v>
      </c>
      <c r="AA261">
        <v>1</v>
      </c>
      <c r="AD261">
        <v>1</v>
      </c>
      <c r="AR261">
        <v>1</v>
      </c>
      <c r="BA261">
        <v>1</v>
      </c>
      <c r="BP261">
        <v>1</v>
      </c>
      <c r="BR261">
        <v>1</v>
      </c>
      <c r="BU261">
        <v>1</v>
      </c>
      <c r="BY261">
        <v>209</v>
      </c>
      <c r="BZ261">
        <v>156</v>
      </c>
    </row>
    <row r="262" spans="1:78" x14ac:dyDescent="0.25">
      <c r="A262" s="1">
        <v>41998</v>
      </c>
      <c r="B262" t="s">
        <v>387</v>
      </c>
      <c r="C262" t="s">
        <v>240</v>
      </c>
      <c r="E262">
        <v>1</v>
      </c>
      <c r="F262">
        <v>5</v>
      </c>
      <c r="G262">
        <v>15</v>
      </c>
      <c r="H262">
        <v>24</v>
      </c>
      <c r="I262">
        <v>25</v>
      </c>
      <c r="J262">
        <v>42</v>
      </c>
      <c r="K262">
        <v>46</v>
      </c>
      <c r="M262">
        <v>2</v>
      </c>
      <c r="N262">
        <v>1</v>
      </c>
      <c r="O262">
        <v>2</v>
      </c>
      <c r="P262">
        <v>0</v>
      </c>
      <c r="Q262">
        <v>2</v>
      </c>
      <c r="S262">
        <v>158</v>
      </c>
      <c r="U262">
        <v>3</v>
      </c>
      <c r="V262">
        <v>4</v>
      </c>
      <c r="X262">
        <v>4</v>
      </c>
      <c r="Y262">
        <v>3</v>
      </c>
      <c r="AA262">
        <v>1</v>
      </c>
      <c r="AE262">
        <v>1</v>
      </c>
      <c r="AO262">
        <v>1</v>
      </c>
      <c r="AX262">
        <v>1</v>
      </c>
      <c r="AY262">
        <v>1</v>
      </c>
      <c r="BP262">
        <v>1</v>
      </c>
      <c r="BT262">
        <v>1</v>
      </c>
      <c r="BY262">
        <v>190</v>
      </c>
      <c r="BZ262">
        <v>135</v>
      </c>
    </row>
    <row r="263" spans="1:78" x14ac:dyDescent="0.25">
      <c r="A263" s="1">
        <v>41995</v>
      </c>
      <c r="B263" t="s">
        <v>300</v>
      </c>
      <c r="C263" t="s">
        <v>241</v>
      </c>
      <c r="E263">
        <v>5</v>
      </c>
      <c r="F263">
        <v>10</v>
      </c>
      <c r="G263">
        <v>19</v>
      </c>
      <c r="H263">
        <v>32</v>
      </c>
      <c r="I263">
        <v>38</v>
      </c>
      <c r="J263">
        <v>44</v>
      </c>
      <c r="K263">
        <v>12</v>
      </c>
      <c r="M263">
        <v>1</v>
      </c>
      <c r="N263">
        <v>3</v>
      </c>
      <c r="O263">
        <v>0</v>
      </c>
      <c r="P263">
        <v>2</v>
      </c>
      <c r="Q263">
        <v>1</v>
      </c>
      <c r="S263">
        <v>160</v>
      </c>
      <c r="U263">
        <v>3</v>
      </c>
      <c r="V263">
        <v>4</v>
      </c>
      <c r="X263">
        <v>2</v>
      </c>
      <c r="Y263">
        <v>5</v>
      </c>
      <c r="AE263">
        <v>1</v>
      </c>
      <c r="AJ263">
        <v>1</v>
      </c>
      <c r="AL263">
        <v>1</v>
      </c>
      <c r="AS263">
        <v>1</v>
      </c>
      <c r="BF263">
        <v>1</v>
      </c>
      <c r="BL263">
        <v>1</v>
      </c>
      <c r="BR263">
        <v>1</v>
      </c>
      <c r="BY263">
        <v>189</v>
      </c>
      <c r="BZ263">
        <v>135</v>
      </c>
    </row>
  </sheetData>
  <dataConsolidate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EP146"/>
  <sheetViews>
    <sheetView zoomScale="70" zoomScaleNormal="70" workbookViewId="0">
      <selection activeCell="Y34" sqref="Y34"/>
    </sheetView>
  </sheetViews>
  <sheetFormatPr defaultRowHeight="15" x14ac:dyDescent="0.25"/>
  <cols>
    <col min="1" max="1" width="4.140625" style="3" customWidth="1"/>
    <col min="2" max="2" width="3.140625" bestFit="1" customWidth="1"/>
    <col min="3" max="5" width="3.85546875" bestFit="1" customWidth="1"/>
    <col min="6" max="6" width="4.5703125" bestFit="1" customWidth="1"/>
    <col min="7" max="7" width="3.140625" bestFit="1" customWidth="1"/>
    <col min="8" max="10" width="3.85546875" bestFit="1" customWidth="1"/>
    <col min="11" max="50" width="4.5703125" bestFit="1" customWidth="1"/>
  </cols>
  <sheetData>
    <row r="1" spans="1:146" s="3" customFormat="1" x14ac:dyDescent="0.25">
      <c r="B1" s="3">
        <v>1</v>
      </c>
      <c r="C1" s="3">
        <v>2</v>
      </c>
      <c r="D1" s="3">
        <v>3</v>
      </c>
      <c r="E1" s="3">
        <v>4</v>
      </c>
      <c r="F1" s="3">
        <v>5</v>
      </c>
      <c r="G1" s="3">
        <v>6</v>
      </c>
      <c r="H1" s="3">
        <v>7</v>
      </c>
      <c r="I1" s="3">
        <v>8</v>
      </c>
      <c r="J1" s="3">
        <v>9</v>
      </c>
      <c r="K1" s="3">
        <v>10</v>
      </c>
      <c r="L1" s="3">
        <v>11</v>
      </c>
      <c r="M1" s="3">
        <v>12</v>
      </c>
      <c r="N1" s="3">
        <v>13</v>
      </c>
      <c r="O1" s="3">
        <v>14</v>
      </c>
      <c r="P1" s="3">
        <v>15</v>
      </c>
      <c r="Q1" s="3">
        <v>16</v>
      </c>
      <c r="R1" s="3">
        <v>17</v>
      </c>
      <c r="S1" s="3">
        <v>18</v>
      </c>
      <c r="T1" s="3">
        <v>19</v>
      </c>
      <c r="U1" s="3">
        <v>20</v>
      </c>
      <c r="V1" s="3">
        <v>21</v>
      </c>
      <c r="W1" s="3">
        <v>22</v>
      </c>
      <c r="X1" s="3">
        <v>23</v>
      </c>
      <c r="Y1" s="3">
        <v>24</v>
      </c>
      <c r="Z1" s="3">
        <v>25</v>
      </c>
      <c r="AA1" s="3">
        <v>26</v>
      </c>
      <c r="AB1" s="3">
        <v>27</v>
      </c>
      <c r="AC1" s="3">
        <v>28</v>
      </c>
      <c r="AD1" s="3">
        <v>29</v>
      </c>
      <c r="AE1" s="3">
        <v>30</v>
      </c>
      <c r="AF1" s="3">
        <v>31</v>
      </c>
      <c r="AG1" s="3">
        <v>32</v>
      </c>
      <c r="AH1" s="3">
        <v>33</v>
      </c>
      <c r="AI1" s="3">
        <v>34</v>
      </c>
      <c r="AJ1" s="3">
        <v>35</v>
      </c>
      <c r="AK1" s="3">
        <v>36</v>
      </c>
      <c r="AL1" s="3">
        <v>37</v>
      </c>
      <c r="AM1" s="3">
        <v>38</v>
      </c>
      <c r="AN1" s="3">
        <v>39</v>
      </c>
      <c r="AO1" s="3">
        <v>40</v>
      </c>
      <c r="AP1" s="3">
        <v>41</v>
      </c>
      <c r="AQ1" s="3">
        <v>42</v>
      </c>
      <c r="AR1" s="3">
        <v>43</v>
      </c>
      <c r="AS1" s="3">
        <v>44</v>
      </c>
      <c r="AT1" s="3">
        <v>45</v>
      </c>
      <c r="AU1" s="3">
        <v>46</v>
      </c>
      <c r="AV1" s="3">
        <v>47</v>
      </c>
      <c r="AW1" s="3">
        <v>48</v>
      </c>
      <c r="AX1" s="3">
        <v>49</v>
      </c>
      <c r="AZ1" s="3" t="s">
        <v>392</v>
      </c>
      <c r="BA1" s="3" t="s">
        <v>393</v>
      </c>
    </row>
    <row r="2" spans="1:146" x14ac:dyDescent="0.25">
      <c r="A2" s="3">
        <v>1</v>
      </c>
      <c r="B2" s="12">
        <v>8</v>
      </c>
      <c r="C2">
        <v>6</v>
      </c>
      <c r="D2">
        <v>3</v>
      </c>
      <c r="E2">
        <v>7</v>
      </c>
      <c r="F2">
        <v>6</v>
      </c>
      <c r="G2">
        <v>3</v>
      </c>
      <c r="H2">
        <v>4</v>
      </c>
      <c r="I2">
        <v>3</v>
      </c>
      <c r="J2">
        <v>7</v>
      </c>
      <c r="K2">
        <v>4</v>
      </c>
      <c r="L2">
        <v>3</v>
      </c>
      <c r="M2">
        <v>8</v>
      </c>
      <c r="N2">
        <v>4</v>
      </c>
      <c r="O2">
        <v>3</v>
      </c>
      <c r="P2">
        <v>6</v>
      </c>
      <c r="Q2">
        <v>3</v>
      </c>
      <c r="R2">
        <v>4</v>
      </c>
      <c r="S2">
        <v>6</v>
      </c>
      <c r="T2">
        <v>5</v>
      </c>
      <c r="U2">
        <v>6</v>
      </c>
      <c r="V2">
        <v>8</v>
      </c>
      <c r="W2">
        <v>4</v>
      </c>
      <c r="X2">
        <v>5</v>
      </c>
      <c r="Y2">
        <v>4</v>
      </c>
      <c r="Z2">
        <v>3</v>
      </c>
      <c r="AA2">
        <v>8</v>
      </c>
      <c r="AB2">
        <v>7</v>
      </c>
      <c r="AC2">
        <v>4</v>
      </c>
      <c r="AD2">
        <v>1</v>
      </c>
      <c r="AE2">
        <v>3</v>
      </c>
      <c r="AF2">
        <v>5</v>
      </c>
      <c r="AG2">
        <v>2</v>
      </c>
      <c r="AH2">
        <v>5</v>
      </c>
      <c r="AI2">
        <v>9</v>
      </c>
      <c r="AJ2">
        <v>3</v>
      </c>
      <c r="AK2">
        <v>4</v>
      </c>
      <c r="AL2">
        <v>2</v>
      </c>
      <c r="AM2">
        <v>6</v>
      </c>
      <c r="AN2">
        <v>5</v>
      </c>
      <c r="AO2">
        <v>7</v>
      </c>
      <c r="AP2">
        <v>5</v>
      </c>
      <c r="AQ2">
        <v>6</v>
      </c>
      <c r="AR2">
        <v>7</v>
      </c>
      <c r="AS2">
        <v>6</v>
      </c>
      <c r="AT2">
        <v>2</v>
      </c>
      <c r="AU2">
        <v>8</v>
      </c>
      <c r="AV2">
        <v>9</v>
      </c>
      <c r="AW2">
        <v>8</v>
      </c>
      <c r="AX2">
        <v>7</v>
      </c>
      <c r="AZ2">
        <f>LARGE(B2:AX2,1)</f>
        <v>9</v>
      </c>
      <c r="BA2">
        <f>SMALL(B2:AX2,1)</f>
        <v>1</v>
      </c>
    </row>
    <row r="3" spans="1:146" x14ac:dyDescent="0.25">
      <c r="A3" s="3">
        <v>2</v>
      </c>
      <c r="B3">
        <v>3</v>
      </c>
      <c r="C3" s="12">
        <v>2</v>
      </c>
      <c r="D3">
        <v>7</v>
      </c>
      <c r="E3">
        <v>6</v>
      </c>
      <c r="F3">
        <v>4</v>
      </c>
      <c r="G3">
        <v>7</v>
      </c>
      <c r="H3">
        <v>7</v>
      </c>
      <c r="I3">
        <v>7</v>
      </c>
      <c r="J3">
        <v>2</v>
      </c>
      <c r="K3">
        <v>3</v>
      </c>
      <c r="L3">
        <v>5</v>
      </c>
      <c r="M3">
        <v>7</v>
      </c>
      <c r="N3">
        <v>4</v>
      </c>
      <c r="O3">
        <v>5</v>
      </c>
      <c r="P3">
        <v>4</v>
      </c>
      <c r="Q3">
        <v>4</v>
      </c>
      <c r="R3">
        <v>6</v>
      </c>
      <c r="S3">
        <v>7</v>
      </c>
      <c r="T3">
        <v>5</v>
      </c>
      <c r="U3">
        <v>4</v>
      </c>
      <c r="V3">
        <v>8</v>
      </c>
      <c r="W3">
        <v>7</v>
      </c>
      <c r="X3">
        <v>3</v>
      </c>
      <c r="Y3">
        <v>10</v>
      </c>
      <c r="Z3">
        <v>6</v>
      </c>
      <c r="AA3">
        <v>5</v>
      </c>
      <c r="AB3">
        <v>3</v>
      </c>
      <c r="AC3">
        <v>5</v>
      </c>
      <c r="AD3">
        <v>2</v>
      </c>
      <c r="AE3">
        <v>7</v>
      </c>
      <c r="AF3">
        <v>7</v>
      </c>
      <c r="AG3">
        <v>5</v>
      </c>
      <c r="AH3">
        <v>4</v>
      </c>
      <c r="AI3">
        <v>1</v>
      </c>
      <c r="AJ3">
        <v>12</v>
      </c>
      <c r="AK3">
        <v>7</v>
      </c>
      <c r="AL3">
        <v>4</v>
      </c>
      <c r="AM3">
        <v>3</v>
      </c>
      <c r="AN3">
        <v>5</v>
      </c>
      <c r="AO3">
        <v>7</v>
      </c>
      <c r="AP3">
        <v>6</v>
      </c>
      <c r="AQ3">
        <v>7</v>
      </c>
      <c r="AR3">
        <v>7</v>
      </c>
      <c r="AS3">
        <v>4</v>
      </c>
      <c r="AT3">
        <v>3</v>
      </c>
      <c r="AU3">
        <v>6</v>
      </c>
      <c r="AV3">
        <v>3</v>
      </c>
      <c r="AW3">
        <v>6</v>
      </c>
      <c r="AX3">
        <v>7</v>
      </c>
      <c r="AZ3">
        <f>LARGE(B3:AX3,1)</f>
        <v>12</v>
      </c>
      <c r="BA3">
        <f>SMALL(B3:AX3,1)</f>
        <v>1</v>
      </c>
    </row>
    <row r="4" spans="1:146" x14ac:dyDescent="0.25">
      <c r="A4" s="3">
        <v>3</v>
      </c>
      <c r="B4">
        <v>5</v>
      </c>
      <c r="C4">
        <v>7</v>
      </c>
      <c r="D4" s="12">
        <v>4</v>
      </c>
      <c r="E4">
        <v>5</v>
      </c>
      <c r="F4">
        <v>6</v>
      </c>
      <c r="G4">
        <v>8</v>
      </c>
      <c r="H4">
        <v>8</v>
      </c>
      <c r="I4">
        <v>9</v>
      </c>
      <c r="J4">
        <v>9</v>
      </c>
      <c r="K4">
        <v>4</v>
      </c>
      <c r="L4">
        <v>5</v>
      </c>
      <c r="M4">
        <v>6</v>
      </c>
      <c r="N4">
        <v>8</v>
      </c>
      <c r="O4">
        <v>12</v>
      </c>
      <c r="P4">
        <v>3</v>
      </c>
      <c r="Q4">
        <v>6</v>
      </c>
      <c r="R4">
        <v>6</v>
      </c>
      <c r="S4">
        <v>6</v>
      </c>
      <c r="T4">
        <v>6</v>
      </c>
      <c r="U4">
        <v>13</v>
      </c>
      <c r="V4">
        <v>10</v>
      </c>
      <c r="W4">
        <v>2</v>
      </c>
      <c r="X4">
        <v>6</v>
      </c>
      <c r="Y4">
        <v>9</v>
      </c>
      <c r="Z4">
        <v>6</v>
      </c>
      <c r="AA4">
        <v>5</v>
      </c>
      <c r="AB4">
        <v>6</v>
      </c>
      <c r="AC4">
        <v>7</v>
      </c>
      <c r="AD4">
        <v>5</v>
      </c>
      <c r="AE4">
        <v>4</v>
      </c>
      <c r="AF4">
        <v>6</v>
      </c>
      <c r="AG4">
        <v>4</v>
      </c>
      <c r="AH4">
        <v>7</v>
      </c>
      <c r="AI4">
        <v>3</v>
      </c>
      <c r="AJ4">
        <v>6</v>
      </c>
      <c r="AK4">
        <v>10</v>
      </c>
      <c r="AL4">
        <v>6</v>
      </c>
      <c r="AM4">
        <v>6</v>
      </c>
      <c r="AN4">
        <v>4</v>
      </c>
      <c r="AO4">
        <v>6</v>
      </c>
      <c r="AP4">
        <v>5</v>
      </c>
      <c r="AQ4">
        <v>6</v>
      </c>
      <c r="AR4">
        <v>3</v>
      </c>
      <c r="AS4">
        <v>1</v>
      </c>
      <c r="AT4">
        <v>2</v>
      </c>
      <c r="AU4">
        <v>5</v>
      </c>
      <c r="AV4">
        <v>6</v>
      </c>
      <c r="AW4">
        <v>6</v>
      </c>
      <c r="AX4">
        <v>6</v>
      </c>
      <c r="AZ4">
        <f>LARGE(B4:AX4,1)</f>
        <v>13</v>
      </c>
      <c r="BA4">
        <f>SMALL(B4:AX4,1)</f>
        <v>1</v>
      </c>
      <c r="EP4">
        <v>2</v>
      </c>
    </row>
    <row r="5" spans="1:146" x14ac:dyDescent="0.25">
      <c r="A5" s="3">
        <v>4</v>
      </c>
      <c r="B5">
        <v>6</v>
      </c>
      <c r="C5">
        <v>5</v>
      </c>
      <c r="D5">
        <v>7</v>
      </c>
      <c r="E5" s="12">
        <v>4</v>
      </c>
      <c r="F5">
        <v>3</v>
      </c>
      <c r="G5">
        <v>6</v>
      </c>
      <c r="H5">
        <v>3</v>
      </c>
      <c r="I5">
        <v>5</v>
      </c>
      <c r="J5">
        <v>7</v>
      </c>
      <c r="K5">
        <v>4</v>
      </c>
      <c r="L5">
        <v>6</v>
      </c>
      <c r="M5">
        <v>3</v>
      </c>
      <c r="N5">
        <v>2</v>
      </c>
      <c r="O5">
        <v>5</v>
      </c>
      <c r="P5">
        <v>2</v>
      </c>
      <c r="Q5">
        <v>1</v>
      </c>
      <c r="R5">
        <v>5</v>
      </c>
      <c r="S5">
        <v>3</v>
      </c>
      <c r="T5">
        <v>5</v>
      </c>
      <c r="U5">
        <v>6</v>
      </c>
      <c r="V5">
        <v>8</v>
      </c>
      <c r="W5">
        <v>9</v>
      </c>
      <c r="X5">
        <v>3</v>
      </c>
      <c r="Y5">
        <v>8</v>
      </c>
      <c r="Z5">
        <v>3</v>
      </c>
      <c r="AA5">
        <v>3</v>
      </c>
      <c r="AB5">
        <v>5</v>
      </c>
      <c r="AC5">
        <v>4</v>
      </c>
      <c r="AD5">
        <v>4</v>
      </c>
      <c r="AE5">
        <v>7</v>
      </c>
      <c r="AF5">
        <v>4</v>
      </c>
      <c r="AG5">
        <v>6</v>
      </c>
      <c r="AH5">
        <v>5</v>
      </c>
      <c r="AI5">
        <v>3</v>
      </c>
      <c r="AJ5">
        <v>3</v>
      </c>
      <c r="AK5">
        <v>6</v>
      </c>
      <c r="AL5">
        <v>5</v>
      </c>
      <c r="AM5">
        <v>2</v>
      </c>
      <c r="AN5">
        <v>5</v>
      </c>
      <c r="AO5">
        <v>6</v>
      </c>
      <c r="AP5">
        <v>1</v>
      </c>
      <c r="AQ5">
        <v>2</v>
      </c>
      <c r="AR5">
        <v>3</v>
      </c>
      <c r="AS5">
        <v>3</v>
      </c>
      <c r="AT5">
        <v>5</v>
      </c>
      <c r="AU5">
        <v>4</v>
      </c>
      <c r="AV5">
        <v>2</v>
      </c>
      <c r="AW5">
        <v>3</v>
      </c>
      <c r="AX5">
        <v>7</v>
      </c>
      <c r="AZ5">
        <f>LARGE(B5:AX5,1)</f>
        <v>9</v>
      </c>
      <c r="BA5">
        <f>SMALL(B5:AX5,1)</f>
        <v>1</v>
      </c>
    </row>
    <row r="6" spans="1:146" x14ac:dyDescent="0.25">
      <c r="A6" s="3">
        <v>5</v>
      </c>
      <c r="B6">
        <v>9</v>
      </c>
      <c r="C6">
        <v>3</v>
      </c>
      <c r="D6">
        <v>4</v>
      </c>
      <c r="E6">
        <v>4</v>
      </c>
      <c r="F6" s="12">
        <v>6</v>
      </c>
      <c r="G6">
        <v>8</v>
      </c>
      <c r="H6">
        <v>2</v>
      </c>
      <c r="I6">
        <v>7</v>
      </c>
      <c r="J6">
        <v>10</v>
      </c>
      <c r="K6">
        <v>3</v>
      </c>
      <c r="L6">
        <v>6</v>
      </c>
      <c r="M6">
        <v>5</v>
      </c>
      <c r="N6">
        <v>4</v>
      </c>
      <c r="O6">
        <v>7</v>
      </c>
      <c r="P6">
        <v>4</v>
      </c>
      <c r="Q6">
        <v>5</v>
      </c>
      <c r="S6">
        <v>9</v>
      </c>
      <c r="T6">
        <v>9</v>
      </c>
      <c r="U6">
        <v>2</v>
      </c>
      <c r="V6">
        <v>4</v>
      </c>
      <c r="W6">
        <v>4</v>
      </c>
      <c r="X6">
        <v>10</v>
      </c>
      <c r="Y6">
        <v>9</v>
      </c>
      <c r="Z6">
        <v>3</v>
      </c>
      <c r="AA6">
        <v>3</v>
      </c>
      <c r="AB6">
        <v>4</v>
      </c>
      <c r="AC6">
        <v>7</v>
      </c>
      <c r="AD6">
        <v>3</v>
      </c>
      <c r="AE6">
        <v>3</v>
      </c>
      <c r="AF6">
        <v>4</v>
      </c>
      <c r="AG6">
        <v>5</v>
      </c>
      <c r="AH6">
        <v>5</v>
      </c>
      <c r="AI6">
        <v>5</v>
      </c>
      <c r="AJ6">
        <v>5</v>
      </c>
      <c r="AK6">
        <v>6</v>
      </c>
      <c r="AL6">
        <v>4</v>
      </c>
      <c r="AM6">
        <v>3</v>
      </c>
      <c r="AN6">
        <v>4</v>
      </c>
      <c r="AO6">
        <v>3</v>
      </c>
      <c r="AP6">
        <v>4</v>
      </c>
      <c r="AQ6">
        <v>6</v>
      </c>
      <c r="AR6">
        <v>6</v>
      </c>
      <c r="AS6">
        <v>6</v>
      </c>
      <c r="AT6">
        <v>3</v>
      </c>
      <c r="AU6">
        <v>8</v>
      </c>
      <c r="AV6">
        <v>7</v>
      </c>
      <c r="AW6">
        <v>6</v>
      </c>
      <c r="AX6">
        <v>5</v>
      </c>
      <c r="AZ6">
        <f>LARGE(B6:AX6,1)</f>
        <v>10</v>
      </c>
      <c r="BA6">
        <f>SMALL(B6:AX6,1)</f>
        <v>2</v>
      </c>
    </row>
    <row r="7" spans="1:146" x14ac:dyDescent="0.25">
      <c r="A7" s="3">
        <v>6</v>
      </c>
      <c r="B7">
        <v>4</v>
      </c>
      <c r="C7">
        <v>8</v>
      </c>
      <c r="D7">
        <v>9</v>
      </c>
      <c r="E7">
        <v>5</v>
      </c>
      <c r="F7">
        <v>5</v>
      </c>
      <c r="G7" s="12">
        <v>9</v>
      </c>
      <c r="H7">
        <v>7</v>
      </c>
      <c r="I7">
        <v>9</v>
      </c>
      <c r="J7">
        <v>7</v>
      </c>
      <c r="K7">
        <v>5</v>
      </c>
      <c r="L7">
        <v>5</v>
      </c>
      <c r="M7">
        <v>4</v>
      </c>
      <c r="N7">
        <v>7</v>
      </c>
      <c r="O7">
        <v>6</v>
      </c>
      <c r="P7">
        <v>3</v>
      </c>
      <c r="Q7">
        <v>4</v>
      </c>
      <c r="R7">
        <v>7</v>
      </c>
      <c r="S7">
        <v>7</v>
      </c>
      <c r="T7">
        <v>13</v>
      </c>
      <c r="U7">
        <v>9</v>
      </c>
      <c r="V7">
        <v>6</v>
      </c>
      <c r="W7">
        <v>7</v>
      </c>
      <c r="X7">
        <v>5</v>
      </c>
      <c r="Y7">
        <v>7</v>
      </c>
      <c r="Z7">
        <v>8</v>
      </c>
      <c r="AA7">
        <v>6</v>
      </c>
      <c r="AB7">
        <v>5</v>
      </c>
      <c r="AC7">
        <v>7</v>
      </c>
      <c r="AD7">
        <v>10</v>
      </c>
      <c r="AE7">
        <v>6</v>
      </c>
      <c r="AF7">
        <v>5</v>
      </c>
      <c r="AG7">
        <v>8</v>
      </c>
      <c r="AH7">
        <v>7</v>
      </c>
      <c r="AI7">
        <v>4</v>
      </c>
      <c r="AJ7">
        <v>7</v>
      </c>
      <c r="AK7">
        <v>7</v>
      </c>
      <c r="AL7">
        <v>5</v>
      </c>
      <c r="AM7">
        <v>6</v>
      </c>
      <c r="AN7">
        <v>9</v>
      </c>
      <c r="AO7">
        <v>2</v>
      </c>
      <c r="AP7">
        <v>5</v>
      </c>
      <c r="AQ7">
        <v>10</v>
      </c>
      <c r="AR7">
        <v>4</v>
      </c>
      <c r="AS7">
        <v>5</v>
      </c>
      <c r="AT7">
        <v>3</v>
      </c>
      <c r="AU7">
        <v>6</v>
      </c>
      <c r="AV7">
        <v>3</v>
      </c>
      <c r="AW7">
        <v>10</v>
      </c>
      <c r="AX7">
        <v>9</v>
      </c>
      <c r="AZ7">
        <f>LARGE(B7:AX7,1)</f>
        <v>13</v>
      </c>
      <c r="BA7">
        <f>SMALL(B7:AX7,1)</f>
        <v>2</v>
      </c>
    </row>
    <row r="8" spans="1:146" x14ac:dyDescent="0.25">
      <c r="A8" s="3">
        <v>7</v>
      </c>
      <c r="B8">
        <v>3</v>
      </c>
      <c r="C8">
        <v>2</v>
      </c>
      <c r="D8">
        <v>5</v>
      </c>
      <c r="E8">
        <v>2</v>
      </c>
      <c r="F8">
        <v>4</v>
      </c>
      <c r="G8">
        <v>3</v>
      </c>
      <c r="H8" s="12">
        <v>4</v>
      </c>
      <c r="I8">
        <v>10</v>
      </c>
      <c r="J8">
        <v>8</v>
      </c>
      <c r="K8">
        <v>6</v>
      </c>
      <c r="L8">
        <v>6</v>
      </c>
      <c r="M8">
        <v>4</v>
      </c>
      <c r="N8">
        <v>5</v>
      </c>
      <c r="O8">
        <v>4</v>
      </c>
      <c r="P8">
        <v>6</v>
      </c>
      <c r="Q8">
        <v>5</v>
      </c>
      <c r="R8">
        <v>8</v>
      </c>
      <c r="S8">
        <v>5</v>
      </c>
      <c r="T8">
        <v>7</v>
      </c>
      <c r="U8">
        <v>5</v>
      </c>
      <c r="V8">
        <v>8</v>
      </c>
      <c r="W8">
        <v>3</v>
      </c>
      <c r="X8">
        <v>7</v>
      </c>
      <c r="Y8">
        <v>3</v>
      </c>
      <c r="Z8">
        <v>6</v>
      </c>
      <c r="AA8">
        <v>5</v>
      </c>
      <c r="AB8">
        <v>5</v>
      </c>
      <c r="AC8">
        <v>4</v>
      </c>
      <c r="AD8">
        <v>6</v>
      </c>
      <c r="AE8">
        <v>2</v>
      </c>
      <c r="AF8">
        <v>5</v>
      </c>
      <c r="AG8">
        <v>4</v>
      </c>
      <c r="AH8">
        <v>4</v>
      </c>
      <c r="AI8">
        <v>2</v>
      </c>
      <c r="AJ8">
        <v>6</v>
      </c>
      <c r="AK8">
        <v>4</v>
      </c>
      <c r="AL8">
        <v>1</v>
      </c>
      <c r="AM8">
        <v>4</v>
      </c>
      <c r="AN8">
        <v>3</v>
      </c>
      <c r="AO8">
        <v>5</v>
      </c>
      <c r="AP8">
        <v>3</v>
      </c>
      <c r="AQ8">
        <v>4</v>
      </c>
      <c r="AR8">
        <v>6</v>
      </c>
      <c r="AS8">
        <v>5</v>
      </c>
      <c r="AT8">
        <v>6</v>
      </c>
      <c r="AU8">
        <v>4</v>
      </c>
      <c r="AV8">
        <v>7</v>
      </c>
      <c r="AW8">
        <v>11</v>
      </c>
      <c r="AX8">
        <v>10</v>
      </c>
      <c r="AZ8">
        <f>LARGE(B8:AX8,1)</f>
        <v>11</v>
      </c>
      <c r="BA8">
        <f>SMALL(B8:AX8,1)</f>
        <v>1</v>
      </c>
    </row>
    <row r="9" spans="1:146" x14ac:dyDescent="0.25">
      <c r="A9" s="3">
        <v>8</v>
      </c>
      <c r="B9">
        <v>5</v>
      </c>
      <c r="C9">
        <v>8</v>
      </c>
      <c r="D9">
        <v>8</v>
      </c>
      <c r="E9">
        <v>7</v>
      </c>
      <c r="F9">
        <v>7</v>
      </c>
      <c r="G9">
        <v>12</v>
      </c>
      <c r="H9">
        <v>6</v>
      </c>
      <c r="I9" s="12">
        <v>6</v>
      </c>
      <c r="J9">
        <v>9</v>
      </c>
      <c r="K9">
        <v>4</v>
      </c>
      <c r="L9">
        <v>4</v>
      </c>
      <c r="M9">
        <v>7</v>
      </c>
      <c r="N9">
        <v>6</v>
      </c>
      <c r="O9">
        <v>9</v>
      </c>
      <c r="P9">
        <v>7</v>
      </c>
      <c r="Q9">
        <v>6</v>
      </c>
      <c r="R9">
        <v>5</v>
      </c>
      <c r="S9">
        <v>3</v>
      </c>
      <c r="T9">
        <v>7</v>
      </c>
      <c r="U9">
        <v>6</v>
      </c>
      <c r="V9">
        <v>11</v>
      </c>
      <c r="W9">
        <v>6</v>
      </c>
      <c r="X9">
        <v>13</v>
      </c>
      <c r="Y9">
        <v>11</v>
      </c>
      <c r="Z9">
        <v>11</v>
      </c>
      <c r="AA9">
        <v>4</v>
      </c>
      <c r="AB9">
        <v>8</v>
      </c>
      <c r="AC9">
        <v>5</v>
      </c>
      <c r="AD9">
        <v>4</v>
      </c>
      <c r="AE9">
        <v>2</v>
      </c>
      <c r="AF9">
        <v>12</v>
      </c>
      <c r="AG9">
        <v>10</v>
      </c>
      <c r="AH9">
        <v>7</v>
      </c>
      <c r="AI9">
        <v>4</v>
      </c>
      <c r="AJ9">
        <v>5</v>
      </c>
      <c r="AK9">
        <v>14</v>
      </c>
      <c r="AL9">
        <v>6</v>
      </c>
      <c r="AM9">
        <v>6</v>
      </c>
      <c r="AN9">
        <v>7</v>
      </c>
      <c r="AO9">
        <v>8</v>
      </c>
      <c r="AP9">
        <v>6</v>
      </c>
      <c r="AQ9">
        <v>6</v>
      </c>
      <c r="AR9">
        <v>9</v>
      </c>
      <c r="AS9">
        <v>5</v>
      </c>
      <c r="AT9">
        <v>6</v>
      </c>
      <c r="AU9">
        <v>9</v>
      </c>
      <c r="AV9">
        <v>3</v>
      </c>
      <c r="AW9">
        <v>8</v>
      </c>
      <c r="AX9">
        <v>5</v>
      </c>
      <c r="AZ9">
        <f>LARGE(B9:AX9,1)</f>
        <v>14</v>
      </c>
      <c r="BA9">
        <f>SMALL(B9:AX9,1)</f>
        <v>2</v>
      </c>
      <c r="EP9">
        <v>2</v>
      </c>
    </row>
    <row r="10" spans="1:146" x14ac:dyDescent="0.25">
      <c r="A10" s="3">
        <v>9</v>
      </c>
      <c r="B10">
        <v>6</v>
      </c>
      <c r="C10">
        <v>4</v>
      </c>
      <c r="D10">
        <v>8</v>
      </c>
      <c r="E10">
        <v>4</v>
      </c>
      <c r="F10">
        <v>7</v>
      </c>
      <c r="G10">
        <v>8</v>
      </c>
      <c r="H10">
        <v>3</v>
      </c>
      <c r="I10">
        <v>5</v>
      </c>
      <c r="J10" s="12">
        <v>6</v>
      </c>
      <c r="K10">
        <v>4</v>
      </c>
      <c r="L10">
        <v>3</v>
      </c>
      <c r="M10">
        <v>4</v>
      </c>
      <c r="N10">
        <v>6</v>
      </c>
      <c r="O10">
        <v>7</v>
      </c>
      <c r="P10">
        <v>6</v>
      </c>
      <c r="Q10">
        <v>3</v>
      </c>
      <c r="R10">
        <v>2</v>
      </c>
      <c r="S10">
        <v>4</v>
      </c>
      <c r="T10">
        <v>3</v>
      </c>
      <c r="U10">
        <v>9</v>
      </c>
      <c r="V10">
        <v>8</v>
      </c>
      <c r="W10">
        <v>3</v>
      </c>
      <c r="X10">
        <v>7</v>
      </c>
      <c r="Y10">
        <v>9</v>
      </c>
      <c r="Z10">
        <v>8</v>
      </c>
      <c r="AA10">
        <v>6</v>
      </c>
      <c r="AB10">
        <v>5</v>
      </c>
      <c r="AC10">
        <v>8</v>
      </c>
      <c r="AD10">
        <v>8</v>
      </c>
      <c r="AE10">
        <v>7</v>
      </c>
      <c r="AF10">
        <v>11</v>
      </c>
      <c r="AG10">
        <v>6</v>
      </c>
      <c r="AH10">
        <v>6</v>
      </c>
      <c r="AI10">
        <v>5</v>
      </c>
      <c r="AJ10">
        <v>7</v>
      </c>
      <c r="AK10">
        <v>9</v>
      </c>
      <c r="AL10">
        <v>3</v>
      </c>
      <c r="AM10">
        <v>3</v>
      </c>
      <c r="AN10">
        <v>12</v>
      </c>
      <c r="AO10">
        <v>3</v>
      </c>
      <c r="AP10">
        <v>4</v>
      </c>
      <c r="AQ10">
        <v>6</v>
      </c>
      <c r="AR10">
        <v>2</v>
      </c>
      <c r="AS10">
        <v>4</v>
      </c>
      <c r="AT10">
        <v>4</v>
      </c>
      <c r="AU10">
        <v>8</v>
      </c>
      <c r="AV10">
        <v>4</v>
      </c>
      <c r="AW10">
        <v>4</v>
      </c>
      <c r="AX10">
        <v>8</v>
      </c>
      <c r="AZ10">
        <f>LARGE(B10:AX10,1)</f>
        <v>12</v>
      </c>
      <c r="BA10">
        <f>SMALL(B10:AX10,1)</f>
        <v>2</v>
      </c>
    </row>
    <row r="11" spans="1:146" x14ac:dyDescent="0.25">
      <c r="A11" s="3">
        <v>10</v>
      </c>
      <c r="B11">
        <v>5</v>
      </c>
      <c r="C11">
        <v>7</v>
      </c>
      <c r="D11">
        <v>9</v>
      </c>
      <c r="E11">
        <v>2</v>
      </c>
      <c r="F11">
        <v>4</v>
      </c>
      <c r="G11">
        <v>4</v>
      </c>
      <c r="H11">
        <v>5</v>
      </c>
      <c r="I11">
        <v>2</v>
      </c>
      <c r="J11">
        <v>1</v>
      </c>
      <c r="K11" s="12">
        <v>3</v>
      </c>
      <c r="L11">
        <v>4</v>
      </c>
      <c r="M11">
        <v>2</v>
      </c>
      <c r="N11">
        <v>1</v>
      </c>
      <c r="O11">
        <v>1</v>
      </c>
      <c r="P11">
        <v>6</v>
      </c>
      <c r="Q11">
        <v>4</v>
      </c>
      <c r="R11">
        <v>6</v>
      </c>
      <c r="S11">
        <v>2</v>
      </c>
      <c r="T11">
        <v>3</v>
      </c>
      <c r="U11">
        <v>6</v>
      </c>
      <c r="V11">
        <v>8</v>
      </c>
      <c r="W11">
        <v>2</v>
      </c>
      <c r="X11">
        <v>7</v>
      </c>
      <c r="Y11">
        <v>2</v>
      </c>
      <c r="Z11">
        <v>6</v>
      </c>
      <c r="AA11">
        <v>5</v>
      </c>
      <c r="AB11">
        <v>6</v>
      </c>
      <c r="AC11">
        <v>4</v>
      </c>
      <c r="AD11">
        <v>4</v>
      </c>
      <c r="AE11">
        <v>2</v>
      </c>
      <c r="AF11">
        <v>10</v>
      </c>
      <c r="AG11">
        <v>3</v>
      </c>
      <c r="AH11">
        <v>3</v>
      </c>
      <c r="AI11">
        <v>3</v>
      </c>
      <c r="AJ11">
        <v>4</v>
      </c>
      <c r="AK11">
        <v>6</v>
      </c>
      <c r="AL11">
        <v>3</v>
      </c>
      <c r="AM11">
        <v>6</v>
      </c>
      <c r="AN11">
        <v>4</v>
      </c>
      <c r="AO11">
        <v>4</v>
      </c>
      <c r="AP11">
        <v>5</v>
      </c>
      <c r="AQ11">
        <v>2</v>
      </c>
      <c r="AR11">
        <v>4</v>
      </c>
      <c r="AS11">
        <v>4</v>
      </c>
      <c r="AT11">
        <v>2</v>
      </c>
      <c r="AU11">
        <v>7</v>
      </c>
      <c r="AV11">
        <v>5</v>
      </c>
      <c r="AW11">
        <v>5</v>
      </c>
      <c r="AX11">
        <v>7</v>
      </c>
      <c r="AZ11">
        <f>LARGE(B11:AX11,1)</f>
        <v>10</v>
      </c>
      <c r="BA11">
        <f>SMALL(B11:AX11,1)</f>
        <v>1</v>
      </c>
    </row>
    <row r="12" spans="1:146" x14ac:dyDescent="0.25">
      <c r="A12" s="3">
        <v>11</v>
      </c>
      <c r="B12">
        <v>3</v>
      </c>
      <c r="C12">
        <v>5</v>
      </c>
      <c r="D12">
        <v>7</v>
      </c>
      <c r="E12">
        <v>3</v>
      </c>
      <c r="F12">
        <v>2</v>
      </c>
      <c r="G12">
        <v>7</v>
      </c>
      <c r="H12">
        <v>2</v>
      </c>
      <c r="I12">
        <v>6</v>
      </c>
      <c r="J12">
        <v>5</v>
      </c>
      <c r="K12">
        <v>5</v>
      </c>
      <c r="L12" s="12">
        <v>7</v>
      </c>
      <c r="M12">
        <v>4</v>
      </c>
      <c r="N12">
        <v>4</v>
      </c>
      <c r="O12">
        <v>8</v>
      </c>
      <c r="P12">
        <v>5</v>
      </c>
      <c r="Q12">
        <v>2</v>
      </c>
      <c r="R12">
        <v>4</v>
      </c>
      <c r="S12">
        <v>7</v>
      </c>
      <c r="T12">
        <v>6</v>
      </c>
      <c r="U12">
        <v>4</v>
      </c>
      <c r="V12">
        <v>7</v>
      </c>
      <c r="W12">
        <v>5</v>
      </c>
      <c r="X12">
        <v>4</v>
      </c>
      <c r="Y12">
        <v>7</v>
      </c>
      <c r="Z12">
        <v>6</v>
      </c>
      <c r="AA12">
        <v>5</v>
      </c>
      <c r="AB12">
        <v>6</v>
      </c>
      <c r="AC12">
        <v>4</v>
      </c>
      <c r="AD12">
        <v>3</v>
      </c>
      <c r="AE12">
        <v>2</v>
      </c>
      <c r="AF12">
        <v>4</v>
      </c>
      <c r="AG12">
        <v>5</v>
      </c>
      <c r="AH12">
        <v>6</v>
      </c>
      <c r="AI12">
        <v>4</v>
      </c>
      <c r="AJ12">
        <v>5</v>
      </c>
      <c r="AK12">
        <v>6</v>
      </c>
      <c r="AL12">
        <v>7</v>
      </c>
      <c r="AM12">
        <v>3</v>
      </c>
      <c r="AN12">
        <v>3</v>
      </c>
      <c r="AO12">
        <v>4</v>
      </c>
      <c r="AP12">
        <v>6</v>
      </c>
      <c r="AQ12">
        <v>4</v>
      </c>
      <c r="AR12">
        <v>4</v>
      </c>
      <c r="AS12">
        <v>5</v>
      </c>
      <c r="AT12">
        <v>2</v>
      </c>
      <c r="AU12">
        <v>8</v>
      </c>
      <c r="AV12">
        <v>5</v>
      </c>
      <c r="AW12">
        <v>12</v>
      </c>
      <c r="AX12">
        <v>7</v>
      </c>
      <c r="AZ12">
        <f>LARGE(B12:AX12,1)</f>
        <v>12</v>
      </c>
      <c r="BA12">
        <f>SMALL(B12:AX12,1)</f>
        <v>2</v>
      </c>
      <c r="EP12">
        <v>2</v>
      </c>
    </row>
    <row r="13" spans="1:146" x14ac:dyDescent="0.25">
      <c r="A13" s="3">
        <v>12</v>
      </c>
      <c r="B13">
        <v>7</v>
      </c>
      <c r="C13">
        <v>5</v>
      </c>
      <c r="D13">
        <v>4</v>
      </c>
      <c r="E13">
        <v>2</v>
      </c>
      <c r="F13">
        <v>6</v>
      </c>
      <c r="G13">
        <v>8</v>
      </c>
      <c r="H13">
        <v>4</v>
      </c>
      <c r="I13">
        <v>7</v>
      </c>
      <c r="J13">
        <v>7</v>
      </c>
      <c r="K13">
        <v>5</v>
      </c>
      <c r="L13">
        <v>8</v>
      </c>
      <c r="M13" s="12">
        <v>6</v>
      </c>
      <c r="N13">
        <v>3</v>
      </c>
      <c r="O13">
        <v>3</v>
      </c>
      <c r="P13">
        <v>6</v>
      </c>
      <c r="Q13">
        <v>4</v>
      </c>
      <c r="R13">
        <v>2</v>
      </c>
      <c r="S13">
        <v>5</v>
      </c>
      <c r="T13">
        <v>7</v>
      </c>
      <c r="U13">
        <v>4</v>
      </c>
      <c r="V13">
        <v>7</v>
      </c>
      <c r="W13">
        <v>9</v>
      </c>
      <c r="X13">
        <v>7</v>
      </c>
      <c r="Y13">
        <v>8</v>
      </c>
      <c r="Z13">
        <v>5</v>
      </c>
      <c r="AA13">
        <v>3</v>
      </c>
      <c r="AB13">
        <v>8</v>
      </c>
      <c r="AC13">
        <v>5</v>
      </c>
      <c r="AD13">
        <v>2</v>
      </c>
      <c r="AE13">
        <v>3</v>
      </c>
      <c r="AF13">
        <v>6</v>
      </c>
      <c r="AG13">
        <v>8</v>
      </c>
      <c r="AH13">
        <v>5</v>
      </c>
      <c r="AI13">
        <v>3</v>
      </c>
      <c r="AJ13">
        <v>7</v>
      </c>
      <c r="AK13">
        <v>10</v>
      </c>
      <c r="AL13">
        <v>3</v>
      </c>
      <c r="AM13">
        <v>6</v>
      </c>
      <c r="AN13">
        <v>3</v>
      </c>
      <c r="AO13">
        <v>5</v>
      </c>
      <c r="AP13">
        <v>4</v>
      </c>
      <c r="AQ13">
        <v>5</v>
      </c>
      <c r="AR13">
        <v>4</v>
      </c>
      <c r="AS13">
        <v>3</v>
      </c>
      <c r="AU13">
        <v>8</v>
      </c>
      <c r="AV13">
        <v>7</v>
      </c>
      <c r="AW13">
        <v>4</v>
      </c>
      <c r="AX13">
        <v>1</v>
      </c>
      <c r="AZ13">
        <f>LARGE(B13:AX13,1)</f>
        <v>10</v>
      </c>
      <c r="BA13">
        <f>SMALL(B13:AX13,1)</f>
        <v>1</v>
      </c>
      <c r="EP13">
        <v>2</v>
      </c>
    </row>
    <row r="14" spans="1:146" x14ac:dyDescent="0.25">
      <c r="A14" s="3">
        <v>13</v>
      </c>
      <c r="B14">
        <v>5</v>
      </c>
      <c r="C14">
        <v>2</v>
      </c>
      <c r="D14">
        <v>8</v>
      </c>
      <c r="E14">
        <v>5</v>
      </c>
      <c r="F14">
        <v>9</v>
      </c>
      <c r="G14">
        <v>5</v>
      </c>
      <c r="H14">
        <v>7</v>
      </c>
      <c r="I14">
        <v>7</v>
      </c>
      <c r="J14">
        <v>9</v>
      </c>
      <c r="K14">
        <v>2</v>
      </c>
      <c r="M14">
        <v>4</v>
      </c>
      <c r="N14" s="12">
        <v>2</v>
      </c>
      <c r="O14">
        <v>2</v>
      </c>
      <c r="P14">
        <v>1</v>
      </c>
      <c r="Q14">
        <v>4</v>
      </c>
      <c r="R14">
        <v>3</v>
      </c>
      <c r="S14">
        <v>8</v>
      </c>
      <c r="T14">
        <v>3</v>
      </c>
      <c r="U14">
        <v>4</v>
      </c>
      <c r="V14">
        <v>6</v>
      </c>
      <c r="W14">
        <v>7</v>
      </c>
      <c r="X14">
        <v>2</v>
      </c>
      <c r="Y14">
        <v>5</v>
      </c>
      <c r="Z14">
        <v>2</v>
      </c>
      <c r="AA14">
        <v>7</v>
      </c>
      <c r="AB14">
        <v>7</v>
      </c>
      <c r="AC14">
        <v>6</v>
      </c>
      <c r="AD14">
        <v>8</v>
      </c>
      <c r="AE14">
        <v>6</v>
      </c>
      <c r="AF14">
        <v>5</v>
      </c>
      <c r="AG14">
        <v>3</v>
      </c>
      <c r="AH14">
        <v>3</v>
      </c>
      <c r="AI14">
        <v>2</v>
      </c>
      <c r="AJ14">
        <v>8</v>
      </c>
      <c r="AK14">
        <v>4</v>
      </c>
      <c r="AL14">
        <v>3</v>
      </c>
      <c r="AM14">
        <v>3</v>
      </c>
      <c r="AN14">
        <v>4</v>
      </c>
      <c r="AO14">
        <v>5</v>
      </c>
      <c r="AP14">
        <v>7</v>
      </c>
      <c r="AQ14">
        <v>4</v>
      </c>
      <c r="AR14">
        <v>2</v>
      </c>
      <c r="AS14">
        <v>5</v>
      </c>
      <c r="AT14">
        <v>1</v>
      </c>
      <c r="AU14">
        <v>4</v>
      </c>
      <c r="AV14">
        <v>3</v>
      </c>
      <c r="AW14">
        <v>6</v>
      </c>
      <c r="AX14">
        <v>6</v>
      </c>
      <c r="AZ14">
        <f>LARGE(B14:AX14,1)</f>
        <v>9</v>
      </c>
      <c r="BA14">
        <f>SMALL(B14:AX14,1)</f>
        <v>1</v>
      </c>
    </row>
    <row r="15" spans="1:146" x14ac:dyDescent="0.25">
      <c r="A15" s="3">
        <v>14</v>
      </c>
      <c r="B15">
        <v>6</v>
      </c>
      <c r="C15">
        <v>4</v>
      </c>
      <c r="D15">
        <v>4</v>
      </c>
      <c r="E15">
        <v>5</v>
      </c>
      <c r="F15">
        <v>7</v>
      </c>
      <c r="G15">
        <v>6</v>
      </c>
      <c r="H15">
        <v>6</v>
      </c>
      <c r="I15">
        <v>11</v>
      </c>
      <c r="J15">
        <v>2</v>
      </c>
      <c r="K15">
        <v>4</v>
      </c>
      <c r="L15">
        <v>6</v>
      </c>
      <c r="M15">
        <v>4</v>
      </c>
      <c r="N15">
        <v>9</v>
      </c>
      <c r="O15" s="12">
        <v>6</v>
      </c>
      <c r="P15">
        <v>4</v>
      </c>
      <c r="Q15">
        <v>4</v>
      </c>
      <c r="R15">
        <v>5</v>
      </c>
      <c r="S15">
        <v>5</v>
      </c>
      <c r="T15">
        <v>6</v>
      </c>
      <c r="U15">
        <v>6</v>
      </c>
      <c r="V15">
        <v>6</v>
      </c>
      <c r="W15">
        <v>7</v>
      </c>
      <c r="X15">
        <v>5</v>
      </c>
      <c r="Y15">
        <v>4</v>
      </c>
      <c r="Z15">
        <v>3</v>
      </c>
      <c r="AA15">
        <v>5</v>
      </c>
      <c r="AB15">
        <v>4</v>
      </c>
      <c r="AC15">
        <v>4</v>
      </c>
      <c r="AD15">
        <v>5</v>
      </c>
      <c r="AE15">
        <v>5</v>
      </c>
      <c r="AF15">
        <v>8</v>
      </c>
      <c r="AG15">
        <v>3</v>
      </c>
      <c r="AH15">
        <v>6</v>
      </c>
      <c r="AI15">
        <v>3</v>
      </c>
      <c r="AJ15">
        <v>7</v>
      </c>
      <c r="AK15">
        <v>6</v>
      </c>
      <c r="AL15">
        <v>3</v>
      </c>
      <c r="AM15">
        <v>3</v>
      </c>
      <c r="AN15">
        <v>8</v>
      </c>
      <c r="AO15">
        <v>2</v>
      </c>
      <c r="AP15">
        <v>7</v>
      </c>
      <c r="AQ15">
        <v>7</v>
      </c>
      <c r="AR15">
        <v>6</v>
      </c>
      <c r="AS15">
        <v>5</v>
      </c>
      <c r="AT15">
        <v>6</v>
      </c>
      <c r="AU15">
        <v>10</v>
      </c>
      <c r="AV15">
        <v>6</v>
      </c>
      <c r="AW15">
        <v>6</v>
      </c>
      <c r="AX15">
        <v>6</v>
      </c>
      <c r="AZ15">
        <f>LARGE(B15:AX15,1)</f>
        <v>11</v>
      </c>
      <c r="BA15">
        <f>SMALL(B15:AX15,1)</f>
        <v>2</v>
      </c>
    </row>
    <row r="16" spans="1:146" x14ac:dyDescent="0.25">
      <c r="A16" s="3">
        <v>15</v>
      </c>
      <c r="B16">
        <v>9</v>
      </c>
      <c r="C16">
        <v>3</v>
      </c>
      <c r="D16">
        <v>5</v>
      </c>
      <c r="E16">
        <v>4</v>
      </c>
      <c r="F16">
        <v>4</v>
      </c>
      <c r="G16">
        <v>6</v>
      </c>
      <c r="H16">
        <v>10</v>
      </c>
      <c r="I16">
        <v>8</v>
      </c>
      <c r="J16">
        <v>4</v>
      </c>
      <c r="K16">
        <v>1</v>
      </c>
      <c r="L16">
        <v>2</v>
      </c>
      <c r="M16">
        <v>7</v>
      </c>
      <c r="N16">
        <v>2</v>
      </c>
      <c r="O16">
        <v>6</v>
      </c>
      <c r="P16" s="12">
        <v>2</v>
      </c>
      <c r="R16">
        <v>3</v>
      </c>
      <c r="S16">
        <v>7</v>
      </c>
      <c r="T16">
        <v>5</v>
      </c>
      <c r="U16">
        <v>7</v>
      </c>
      <c r="V16">
        <v>10</v>
      </c>
      <c r="W16">
        <v>9</v>
      </c>
      <c r="X16">
        <v>5</v>
      </c>
      <c r="Y16">
        <v>7</v>
      </c>
      <c r="Z16">
        <v>3</v>
      </c>
      <c r="AA16">
        <v>3</v>
      </c>
      <c r="AB16">
        <v>4</v>
      </c>
      <c r="AC16">
        <v>2</v>
      </c>
      <c r="AD16">
        <v>5</v>
      </c>
      <c r="AE16">
        <v>7</v>
      </c>
      <c r="AF16">
        <v>5</v>
      </c>
      <c r="AG16">
        <v>7</v>
      </c>
      <c r="AH16">
        <v>6</v>
      </c>
      <c r="AI16">
        <v>4</v>
      </c>
      <c r="AJ16">
        <v>7</v>
      </c>
      <c r="AK16">
        <v>5</v>
      </c>
      <c r="AL16">
        <v>3</v>
      </c>
      <c r="AM16">
        <v>7</v>
      </c>
      <c r="AN16">
        <v>10</v>
      </c>
      <c r="AO16">
        <v>5</v>
      </c>
      <c r="AP16">
        <v>9</v>
      </c>
      <c r="AQ16">
        <v>4</v>
      </c>
      <c r="AR16">
        <v>3</v>
      </c>
      <c r="AS16">
        <v>2</v>
      </c>
      <c r="AT16">
        <v>4</v>
      </c>
      <c r="AU16">
        <v>7</v>
      </c>
      <c r="AV16">
        <v>7</v>
      </c>
      <c r="AW16">
        <v>3</v>
      </c>
      <c r="AX16">
        <v>4</v>
      </c>
      <c r="AZ16">
        <f>LARGE(B16:AX16,1)</f>
        <v>10</v>
      </c>
      <c r="BA16">
        <f>SMALL(B16:AX16,1)</f>
        <v>1</v>
      </c>
    </row>
    <row r="17" spans="1:53" x14ac:dyDescent="0.25">
      <c r="A17" s="3">
        <v>16</v>
      </c>
      <c r="B17">
        <v>3</v>
      </c>
      <c r="C17">
        <v>3</v>
      </c>
      <c r="D17">
        <v>3</v>
      </c>
      <c r="E17">
        <v>5</v>
      </c>
      <c r="F17">
        <v>4</v>
      </c>
      <c r="G17">
        <v>4</v>
      </c>
      <c r="H17">
        <v>2</v>
      </c>
      <c r="I17">
        <v>6</v>
      </c>
      <c r="J17">
        <v>8</v>
      </c>
      <c r="K17">
        <v>2</v>
      </c>
      <c r="L17">
        <v>3</v>
      </c>
      <c r="M17">
        <v>3</v>
      </c>
      <c r="N17">
        <v>3</v>
      </c>
      <c r="O17">
        <v>2</v>
      </c>
      <c r="P17">
        <v>3</v>
      </c>
      <c r="Q17" s="12">
        <v>2</v>
      </c>
      <c r="R17">
        <v>4</v>
      </c>
      <c r="S17">
        <v>5</v>
      </c>
      <c r="T17">
        <v>2</v>
      </c>
      <c r="U17">
        <v>2</v>
      </c>
      <c r="V17">
        <v>7</v>
      </c>
      <c r="W17">
        <v>7</v>
      </c>
      <c r="X17">
        <v>3</v>
      </c>
      <c r="Y17">
        <v>3</v>
      </c>
      <c r="Z17">
        <v>4</v>
      </c>
      <c r="AA17">
        <v>5</v>
      </c>
      <c r="AB17">
        <v>6</v>
      </c>
      <c r="AC17">
        <v>6</v>
      </c>
      <c r="AD17">
        <v>2</v>
      </c>
      <c r="AE17">
        <v>1</v>
      </c>
      <c r="AF17">
        <v>2</v>
      </c>
      <c r="AG17">
        <v>3</v>
      </c>
      <c r="AH17">
        <v>2</v>
      </c>
      <c r="AI17">
        <v>3</v>
      </c>
      <c r="AJ17">
        <v>5</v>
      </c>
      <c r="AK17">
        <v>7</v>
      </c>
      <c r="AL17">
        <v>2</v>
      </c>
      <c r="AM17">
        <v>2</v>
      </c>
      <c r="AN17">
        <v>6</v>
      </c>
      <c r="AO17">
        <v>5</v>
      </c>
      <c r="AP17">
        <v>5</v>
      </c>
      <c r="AQ17">
        <v>2</v>
      </c>
      <c r="AR17">
        <v>2</v>
      </c>
      <c r="AS17">
        <v>7</v>
      </c>
      <c r="AT17">
        <v>3</v>
      </c>
      <c r="AU17">
        <v>7</v>
      </c>
      <c r="AV17">
        <v>2</v>
      </c>
      <c r="AW17">
        <v>7</v>
      </c>
      <c r="AX17">
        <v>4</v>
      </c>
      <c r="AZ17">
        <f>LARGE(B17:AX17,1)</f>
        <v>8</v>
      </c>
      <c r="BA17">
        <f>SMALL(B17:AX17,1)</f>
        <v>1</v>
      </c>
    </row>
    <row r="18" spans="1:53" x14ac:dyDescent="0.25">
      <c r="A18" s="3">
        <v>17</v>
      </c>
      <c r="B18">
        <v>3</v>
      </c>
      <c r="C18">
        <v>5</v>
      </c>
      <c r="D18">
        <v>5</v>
      </c>
      <c r="E18">
        <v>4</v>
      </c>
      <c r="F18">
        <v>5</v>
      </c>
      <c r="G18">
        <v>7</v>
      </c>
      <c r="H18">
        <v>5</v>
      </c>
      <c r="I18">
        <v>8</v>
      </c>
      <c r="J18">
        <v>3</v>
      </c>
      <c r="K18">
        <v>4</v>
      </c>
      <c r="L18">
        <v>5</v>
      </c>
      <c r="M18">
        <v>4</v>
      </c>
      <c r="N18">
        <v>4</v>
      </c>
      <c r="O18">
        <v>5</v>
      </c>
      <c r="P18">
        <v>6</v>
      </c>
      <c r="Q18">
        <v>1</v>
      </c>
      <c r="R18" s="12">
        <v>5</v>
      </c>
      <c r="S18">
        <v>6</v>
      </c>
      <c r="T18">
        <v>2</v>
      </c>
      <c r="U18">
        <v>5</v>
      </c>
      <c r="V18">
        <v>6</v>
      </c>
      <c r="W18">
        <v>5</v>
      </c>
      <c r="X18">
        <v>7</v>
      </c>
      <c r="Y18">
        <v>10</v>
      </c>
      <c r="Z18">
        <v>3</v>
      </c>
      <c r="AA18">
        <v>4</v>
      </c>
      <c r="AB18">
        <v>1</v>
      </c>
      <c r="AC18">
        <v>9</v>
      </c>
      <c r="AD18">
        <v>4</v>
      </c>
      <c r="AE18">
        <v>2</v>
      </c>
      <c r="AF18">
        <v>4</v>
      </c>
      <c r="AG18">
        <v>3</v>
      </c>
      <c r="AH18">
        <v>7</v>
      </c>
      <c r="AI18">
        <v>3</v>
      </c>
      <c r="AJ18">
        <v>4</v>
      </c>
      <c r="AK18">
        <v>5</v>
      </c>
      <c r="AL18">
        <v>3</v>
      </c>
      <c r="AM18">
        <v>5</v>
      </c>
      <c r="AN18">
        <v>2</v>
      </c>
      <c r="AO18">
        <v>7</v>
      </c>
      <c r="AP18">
        <v>9</v>
      </c>
      <c r="AQ18">
        <v>3</v>
      </c>
      <c r="AR18">
        <v>5</v>
      </c>
      <c r="AS18">
        <v>3</v>
      </c>
      <c r="AT18">
        <v>3</v>
      </c>
      <c r="AU18">
        <v>2</v>
      </c>
      <c r="AV18">
        <v>1</v>
      </c>
      <c r="AW18">
        <v>7</v>
      </c>
      <c r="AX18">
        <v>5</v>
      </c>
      <c r="AZ18">
        <f>LARGE(B18:AX18,1)</f>
        <v>10</v>
      </c>
      <c r="BA18">
        <f>SMALL(B18:AX18,1)</f>
        <v>1</v>
      </c>
    </row>
    <row r="19" spans="1:53" x14ac:dyDescent="0.25">
      <c r="A19" s="3">
        <v>18</v>
      </c>
      <c r="B19">
        <v>9</v>
      </c>
      <c r="C19">
        <v>6</v>
      </c>
      <c r="D19">
        <v>4</v>
      </c>
      <c r="E19">
        <v>5</v>
      </c>
      <c r="F19">
        <v>8</v>
      </c>
      <c r="G19">
        <v>7</v>
      </c>
      <c r="H19">
        <v>4</v>
      </c>
      <c r="I19">
        <v>6</v>
      </c>
      <c r="J19">
        <v>4</v>
      </c>
      <c r="K19">
        <v>8</v>
      </c>
      <c r="L19">
        <v>5</v>
      </c>
      <c r="M19">
        <v>1</v>
      </c>
      <c r="N19">
        <v>4</v>
      </c>
      <c r="O19">
        <v>6</v>
      </c>
      <c r="P19">
        <v>5</v>
      </c>
      <c r="Q19">
        <v>5</v>
      </c>
      <c r="R19">
        <v>4</v>
      </c>
      <c r="S19" s="12">
        <v>4</v>
      </c>
      <c r="T19">
        <v>3</v>
      </c>
      <c r="U19">
        <v>11</v>
      </c>
      <c r="V19">
        <v>8</v>
      </c>
      <c r="W19">
        <v>5</v>
      </c>
      <c r="X19">
        <v>3</v>
      </c>
      <c r="Y19">
        <v>6</v>
      </c>
      <c r="Z19">
        <v>8</v>
      </c>
      <c r="AA19">
        <v>4</v>
      </c>
      <c r="AB19">
        <v>9</v>
      </c>
      <c r="AC19">
        <v>5</v>
      </c>
      <c r="AD19">
        <v>3</v>
      </c>
      <c r="AE19">
        <v>5</v>
      </c>
      <c r="AF19">
        <v>5</v>
      </c>
      <c r="AG19">
        <v>3</v>
      </c>
      <c r="AH19">
        <v>7</v>
      </c>
      <c r="AI19">
        <v>5</v>
      </c>
      <c r="AJ19">
        <v>5</v>
      </c>
      <c r="AK19">
        <v>8</v>
      </c>
      <c r="AL19">
        <v>6</v>
      </c>
      <c r="AM19">
        <v>7</v>
      </c>
      <c r="AN19">
        <v>3</v>
      </c>
      <c r="AO19">
        <v>10</v>
      </c>
      <c r="AP19">
        <v>6</v>
      </c>
      <c r="AQ19">
        <v>5</v>
      </c>
      <c r="AR19">
        <v>5</v>
      </c>
      <c r="AS19">
        <v>6</v>
      </c>
      <c r="AT19">
        <v>3</v>
      </c>
      <c r="AU19">
        <v>7</v>
      </c>
      <c r="AV19">
        <v>2</v>
      </c>
      <c r="AW19">
        <v>5</v>
      </c>
      <c r="AX19">
        <v>10</v>
      </c>
      <c r="AZ19">
        <f>LARGE(B19:AX19,1)</f>
        <v>11</v>
      </c>
      <c r="BA19">
        <f>SMALL(B19:AX19,1)</f>
        <v>1</v>
      </c>
    </row>
    <row r="20" spans="1:53" x14ac:dyDescent="0.25">
      <c r="A20" s="3">
        <v>19</v>
      </c>
      <c r="B20">
        <v>6</v>
      </c>
      <c r="C20">
        <v>4</v>
      </c>
      <c r="D20">
        <v>7</v>
      </c>
      <c r="E20">
        <v>5</v>
      </c>
      <c r="F20">
        <v>8</v>
      </c>
      <c r="G20">
        <v>6</v>
      </c>
      <c r="H20">
        <v>6</v>
      </c>
      <c r="I20">
        <v>11</v>
      </c>
      <c r="J20">
        <v>4</v>
      </c>
      <c r="K20">
        <v>1</v>
      </c>
      <c r="L20">
        <v>9</v>
      </c>
      <c r="M20">
        <v>7</v>
      </c>
      <c r="N20">
        <v>2</v>
      </c>
      <c r="O20">
        <v>5</v>
      </c>
      <c r="P20">
        <v>5</v>
      </c>
      <c r="Q20">
        <v>3</v>
      </c>
      <c r="R20">
        <v>4</v>
      </c>
      <c r="S20">
        <v>4</v>
      </c>
      <c r="T20" s="12">
        <v>4</v>
      </c>
      <c r="U20">
        <v>10</v>
      </c>
      <c r="V20">
        <v>9</v>
      </c>
      <c r="W20">
        <v>9</v>
      </c>
      <c r="X20">
        <v>7</v>
      </c>
      <c r="Y20">
        <v>9</v>
      </c>
      <c r="Z20">
        <v>6</v>
      </c>
      <c r="AA20">
        <v>3</v>
      </c>
      <c r="AB20">
        <v>6</v>
      </c>
      <c r="AC20">
        <v>6</v>
      </c>
      <c r="AD20">
        <v>4</v>
      </c>
      <c r="AE20">
        <v>5</v>
      </c>
      <c r="AF20">
        <v>12</v>
      </c>
      <c r="AG20">
        <v>3</v>
      </c>
      <c r="AH20">
        <v>4</v>
      </c>
      <c r="AI20">
        <v>1</v>
      </c>
      <c r="AJ20">
        <v>9</v>
      </c>
      <c r="AK20">
        <v>7</v>
      </c>
      <c r="AL20">
        <v>6</v>
      </c>
      <c r="AM20">
        <v>3</v>
      </c>
      <c r="AN20">
        <v>8</v>
      </c>
      <c r="AO20">
        <v>2</v>
      </c>
      <c r="AP20">
        <v>6</v>
      </c>
      <c r="AQ20">
        <v>5</v>
      </c>
      <c r="AR20">
        <v>8</v>
      </c>
      <c r="AS20">
        <v>7</v>
      </c>
      <c r="AT20">
        <v>6</v>
      </c>
      <c r="AU20">
        <v>8</v>
      </c>
      <c r="AV20">
        <v>3</v>
      </c>
      <c r="AW20">
        <v>7</v>
      </c>
      <c r="AX20">
        <v>7</v>
      </c>
      <c r="AZ20">
        <f>LARGE(B20:AX20,1)</f>
        <v>12</v>
      </c>
      <c r="BA20">
        <f>SMALL(B20:AX20,1)</f>
        <v>1</v>
      </c>
    </row>
    <row r="21" spans="1:53" x14ac:dyDescent="0.25">
      <c r="A21" s="3">
        <v>20</v>
      </c>
      <c r="B21">
        <v>4</v>
      </c>
      <c r="C21">
        <v>5</v>
      </c>
      <c r="D21">
        <v>5</v>
      </c>
      <c r="E21">
        <v>3</v>
      </c>
      <c r="F21">
        <v>6</v>
      </c>
      <c r="G21">
        <v>7</v>
      </c>
      <c r="H21">
        <v>10</v>
      </c>
      <c r="I21">
        <v>9</v>
      </c>
      <c r="J21">
        <v>12</v>
      </c>
      <c r="K21">
        <v>7</v>
      </c>
      <c r="L21">
        <v>6</v>
      </c>
      <c r="M21">
        <v>6</v>
      </c>
      <c r="N21">
        <v>5</v>
      </c>
      <c r="O21">
        <v>8</v>
      </c>
      <c r="P21">
        <v>9</v>
      </c>
      <c r="Q21">
        <v>5</v>
      </c>
      <c r="R21">
        <v>6</v>
      </c>
      <c r="S21">
        <v>6</v>
      </c>
      <c r="T21">
        <v>10</v>
      </c>
      <c r="U21" s="12">
        <v>7</v>
      </c>
      <c r="V21">
        <v>3</v>
      </c>
      <c r="W21">
        <v>9</v>
      </c>
      <c r="X21">
        <v>3</v>
      </c>
      <c r="Y21">
        <v>6</v>
      </c>
      <c r="Z21">
        <v>5</v>
      </c>
      <c r="AA21">
        <v>5</v>
      </c>
      <c r="AB21">
        <v>3</v>
      </c>
      <c r="AC21">
        <v>11</v>
      </c>
      <c r="AD21">
        <v>6</v>
      </c>
      <c r="AE21">
        <v>3</v>
      </c>
      <c r="AF21">
        <v>6</v>
      </c>
      <c r="AG21">
        <v>4</v>
      </c>
      <c r="AH21">
        <v>5</v>
      </c>
      <c r="AI21">
        <v>5</v>
      </c>
      <c r="AJ21">
        <v>7</v>
      </c>
      <c r="AK21">
        <v>7</v>
      </c>
      <c r="AL21">
        <v>4</v>
      </c>
      <c r="AM21">
        <v>8</v>
      </c>
      <c r="AN21">
        <v>7</v>
      </c>
      <c r="AO21">
        <v>3</v>
      </c>
      <c r="AP21">
        <v>8</v>
      </c>
      <c r="AQ21">
        <v>3</v>
      </c>
      <c r="AR21">
        <v>5</v>
      </c>
      <c r="AS21">
        <v>7</v>
      </c>
      <c r="AT21">
        <v>7</v>
      </c>
      <c r="AU21">
        <v>3</v>
      </c>
      <c r="AV21">
        <v>10</v>
      </c>
      <c r="AW21">
        <v>8</v>
      </c>
      <c r="AX21">
        <v>4</v>
      </c>
      <c r="AZ21">
        <f>LARGE(B21:AX21,1)</f>
        <v>12</v>
      </c>
      <c r="BA21">
        <f>SMALL(B21:AX21,1)</f>
        <v>3</v>
      </c>
    </row>
    <row r="22" spans="1:53" x14ac:dyDescent="0.25">
      <c r="A22" s="3">
        <v>21</v>
      </c>
      <c r="B22">
        <v>4</v>
      </c>
      <c r="C22">
        <v>3</v>
      </c>
      <c r="D22">
        <v>7</v>
      </c>
      <c r="E22">
        <v>2</v>
      </c>
      <c r="F22">
        <v>5</v>
      </c>
      <c r="G22">
        <v>8</v>
      </c>
      <c r="H22">
        <v>7</v>
      </c>
      <c r="I22">
        <v>7</v>
      </c>
      <c r="J22">
        <v>6</v>
      </c>
      <c r="K22">
        <v>5</v>
      </c>
      <c r="L22">
        <v>8</v>
      </c>
      <c r="M22">
        <v>9</v>
      </c>
      <c r="N22">
        <v>8</v>
      </c>
      <c r="O22">
        <v>8</v>
      </c>
      <c r="P22">
        <v>4</v>
      </c>
      <c r="Q22">
        <v>5</v>
      </c>
      <c r="R22">
        <v>9</v>
      </c>
      <c r="S22">
        <v>8</v>
      </c>
      <c r="T22">
        <v>9</v>
      </c>
      <c r="U22">
        <v>10</v>
      </c>
      <c r="V22" s="12">
        <v>9</v>
      </c>
      <c r="W22">
        <v>13</v>
      </c>
      <c r="X22">
        <v>6</v>
      </c>
      <c r="Y22">
        <v>6</v>
      </c>
      <c r="Z22">
        <v>8</v>
      </c>
      <c r="AA22">
        <v>8</v>
      </c>
      <c r="AB22">
        <v>5</v>
      </c>
      <c r="AC22">
        <v>3</v>
      </c>
      <c r="AD22">
        <v>4</v>
      </c>
      <c r="AE22">
        <v>6</v>
      </c>
      <c r="AF22">
        <v>7</v>
      </c>
      <c r="AG22">
        <v>9</v>
      </c>
      <c r="AH22">
        <v>7</v>
      </c>
      <c r="AI22">
        <v>5</v>
      </c>
      <c r="AJ22">
        <v>7</v>
      </c>
      <c r="AK22">
        <v>5</v>
      </c>
      <c r="AL22">
        <v>5</v>
      </c>
      <c r="AM22">
        <v>5</v>
      </c>
      <c r="AN22">
        <v>6</v>
      </c>
      <c r="AO22">
        <v>9</v>
      </c>
      <c r="AP22">
        <v>7</v>
      </c>
      <c r="AQ22">
        <v>6</v>
      </c>
      <c r="AR22">
        <v>5</v>
      </c>
      <c r="AS22">
        <v>5</v>
      </c>
      <c r="AT22">
        <v>5</v>
      </c>
      <c r="AU22">
        <v>7</v>
      </c>
      <c r="AV22">
        <v>9</v>
      </c>
      <c r="AW22">
        <v>7</v>
      </c>
      <c r="AX22">
        <v>6</v>
      </c>
      <c r="AZ22">
        <f>LARGE(B22:AX22,1)</f>
        <v>13</v>
      </c>
      <c r="BA22">
        <f>SMALL(B22:AX22,1)</f>
        <v>2</v>
      </c>
    </row>
    <row r="23" spans="1:53" x14ac:dyDescent="0.25">
      <c r="A23" s="3">
        <v>22</v>
      </c>
      <c r="B23">
        <v>6</v>
      </c>
      <c r="C23">
        <v>9</v>
      </c>
      <c r="D23">
        <v>4</v>
      </c>
      <c r="E23">
        <v>4</v>
      </c>
      <c r="F23">
        <v>5</v>
      </c>
      <c r="G23">
        <v>6</v>
      </c>
      <c r="H23">
        <v>8</v>
      </c>
      <c r="I23">
        <v>6</v>
      </c>
      <c r="J23">
        <v>5</v>
      </c>
      <c r="K23">
        <v>6</v>
      </c>
      <c r="L23">
        <v>5</v>
      </c>
      <c r="M23">
        <v>3</v>
      </c>
      <c r="N23">
        <v>4</v>
      </c>
      <c r="O23">
        <v>6</v>
      </c>
      <c r="P23">
        <v>10</v>
      </c>
      <c r="Q23">
        <v>3</v>
      </c>
      <c r="R23">
        <v>7</v>
      </c>
      <c r="S23">
        <v>7</v>
      </c>
      <c r="T23">
        <v>5</v>
      </c>
      <c r="U23">
        <v>7</v>
      </c>
      <c r="V23">
        <v>10</v>
      </c>
      <c r="W23" s="12">
        <v>7</v>
      </c>
      <c r="X23">
        <v>10</v>
      </c>
      <c r="Y23">
        <v>6</v>
      </c>
      <c r="Z23">
        <v>5</v>
      </c>
      <c r="AA23">
        <v>10</v>
      </c>
      <c r="AB23">
        <v>4</v>
      </c>
      <c r="AC23">
        <v>5</v>
      </c>
      <c r="AD23">
        <v>5</v>
      </c>
      <c r="AE23">
        <v>4</v>
      </c>
      <c r="AF23">
        <v>8</v>
      </c>
      <c r="AG23">
        <v>7</v>
      </c>
      <c r="AH23">
        <v>4</v>
      </c>
      <c r="AI23">
        <v>6</v>
      </c>
      <c r="AJ23">
        <v>4</v>
      </c>
      <c r="AK23">
        <v>6</v>
      </c>
      <c r="AL23">
        <v>5</v>
      </c>
      <c r="AM23">
        <v>9</v>
      </c>
      <c r="AN23">
        <v>6</v>
      </c>
      <c r="AO23">
        <v>4</v>
      </c>
      <c r="AP23">
        <v>5</v>
      </c>
      <c r="AQ23">
        <v>5</v>
      </c>
      <c r="AR23">
        <v>6</v>
      </c>
      <c r="AS23">
        <v>5</v>
      </c>
      <c r="AT23">
        <v>2</v>
      </c>
      <c r="AU23">
        <v>5</v>
      </c>
      <c r="AV23">
        <v>2</v>
      </c>
      <c r="AW23">
        <v>4</v>
      </c>
      <c r="AX23">
        <v>5</v>
      </c>
      <c r="AZ23">
        <f>LARGE(B23:AX23,1)</f>
        <v>10</v>
      </c>
      <c r="BA23">
        <f>SMALL(B23:AX23,1)</f>
        <v>2</v>
      </c>
    </row>
    <row r="24" spans="1:53" x14ac:dyDescent="0.25">
      <c r="A24" s="3">
        <v>23</v>
      </c>
      <c r="B24">
        <v>5</v>
      </c>
      <c r="C24">
        <v>5</v>
      </c>
      <c r="D24">
        <v>4</v>
      </c>
      <c r="E24">
        <v>5</v>
      </c>
      <c r="F24">
        <v>4</v>
      </c>
      <c r="G24">
        <v>3</v>
      </c>
      <c r="H24">
        <v>5</v>
      </c>
      <c r="I24">
        <v>9</v>
      </c>
      <c r="J24">
        <v>7</v>
      </c>
      <c r="K24">
        <v>3</v>
      </c>
      <c r="L24">
        <v>4</v>
      </c>
      <c r="M24">
        <v>8</v>
      </c>
      <c r="N24">
        <v>4</v>
      </c>
      <c r="O24">
        <v>4</v>
      </c>
      <c r="P24">
        <v>8</v>
      </c>
      <c r="Q24">
        <v>8</v>
      </c>
      <c r="R24">
        <v>5</v>
      </c>
      <c r="S24">
        <v>7</v>
      </c>
      <c r="T24">
        <v>5</v>
      </c>
      <c r="U24">
        <v>5</v>
      </c>
      <c r="V24">
        <v>6</v>
      </c>
      <c r="W24">
        <v>5</v>
      </c>
      <c r="X24" s="12">
        <v>4</v>
      </c>
      <c r="Y24">
        <v>6</v>
      </c>
      <c r="Z24">
        <v>3</v>
      </c>
      <c r="AA24">
        <v>6</v>
      </c>
      <c r="AB24">
        <v>3</v>
      </c>
      <c r="AC24">
        <v>4</v>
      </c>
      <c r="AD24">
        <v>5</v>
      </c>
      <c r="AE24">
        <v>4</v>
      </c>
      <c r="AF24">
        <v>7</v>
      </c>
      <c r="AG24">
        <v>4</v>
      </c>
      <c r="AH24">
        <v>2</v>
      </c>
      <c r="AI24">
        <v>6</v>
      </c>
      <c r="AJ24">
        <v>3</v>
      </c>
      <c r="AK24">
        <v>8</v>
      </c>
      <c r="AL24">
        <v>4</v>
      </c>
      <c r="AM24">
        <v>2</v>
      </c>
      <c r="AN24">
        <v>7</v>
      </c>
      <c r="AO24">
        <v>5</v>
      </c>
      <c r="AP24">
        <v>2</v>
      </c>
      <c r="AQ24">
        <v>4</v>
      </c>
      <c r="AR24">
        <v>5</v>
      </c>
      <c r="AS24">
        <v>5</v>
      </c>
      <c r="AT24">
        <v>5</v>
      </c>
      <c r="AU24">
        <v>8</v>
      </c>
      <c r="AV24">
        <v>8</v>
      </c>
      <c r="AW24">
        <v>9</v>
      </c>
      <c r="AX24">
        <v>4</v>
      </c>
      <c r="AZ24">
        <f>LARGE(B24:AX24,1)</f>
        <v>9</v>
      </c>
      <c r="BA24">
        <f>SMALL(B24:AX24,1)</f>
        <v>2</v>
      </c>
    </row>
    <row r="25" spans="1:53" x14ac:dyDescent="0.25">
      <c r="A25" s="3">
        <v>24</v>
      </c>
      <c r="B25">
        <v>9</v>
      </c>
      <c r="C25">
        <v>6</v>
      </c>
      <c r="D25">
        <v>10</v>
      </c>
      <c r="E25">
        <v>6</v>
      </c>
      <c r="F25">
        <v>8</v>
      </c>
      <c r="G25">
        <v>8</v>
      </c>
      <c r="H25">
        <v>5</v>
      </c>
      <c r="I25">
        <v>9</v>
      </c>
      <c r="J25">
        <v>6</v>
      </c>
      <c r="K25">
        <v>4</v>
      </c>
      <c r="L25">
        <v>11</v>
      </c>
      <c r="M25">
        <v>6</v>
      </c>
      <c r="N25">
        <v>6</v>
      </c>
      <c r="O25">
        <v>5</v>
      </c>
      <c r="P25">
        <v>6</v>
      </c>
      <c r="Q25">
        <v>7</v>
      </c>
      <c r="R25">
        <v>5</v>
      </c>
      <c r="S25">
        <v>2</v>
      </c>
      <c r="T25">
        <v>8</v>
      </c>
      <c r="U25">
        <v>5</v>
      </c>
      <c r="V25">
        <v>4</v>
      </c>
      <c r="W25">
        <v>2</v>
      </c>
      <c r="X25">
        <v>8</v>
      </c>
      <c r="Y25" s="12">
        <v>7</v>
      </c>
      <c r="Z25">
        <v>5</v>
      </c>
      <c r="AA25">
        <v>4</v>
      </c>
      <c r="AB25">
        <v>4</v>
      </c>
      <c r="AC25">
        <v>4</v>
      </c>
      <c r="AD25">
        <v>4</v>
      </c>
      <c r="AE25">
        <v>5</v>
      </c>
      <c r="AF25">
        <v>13</v>
      </c>
      <c r="AG25">
        <v>8</v>
      </c>
      <c r="AH25">
        <v>7</v>
      </c>
      <c r="AI25">
        <v>3</v>
      </c>
      <c r="AJ25">
        <v>4</v>
      </c>
      <c r="AK25">
        <v>5</v>
      </c>
      <c r="AL25">
        <v>8</v>
      </c>
      <c r="AM25">
        <v>4</v>
      </c>
      <c r="AN25">
        <v>4</v>
      </c>
      <c r="AO25">
        <v>11</v>
      </c>
      <c r="AP25">
        <v>3</v>
      </c>
      <c r="AQ25">
        <v>7</v>
      </c>
      <c r="AR25">
        <v>7</v>
      </c>
      <c r="AS25">
        <v>11</v>
      </c>
      <c r="AT25">
        <v>3</v>
      </c>
      <c r="AU25">
        <v>15</v>
      </c>
      <c r="AV25">
        <v>7</v>
      </c>
      <c r="AW25">
        <v>5</v>
      </c>
      <c r="AX25">
        <v>4</v>
      </c>
      <c r="AZ25">
        <f>LARGE(B25:AX25,1)</f>
        <v>15</v>
      </c>
      <c r="BA25">
        <f>SMALL(B25:AX25,1)</f>
        <v>2</v>
      </c>
    </row>
    <row r="26" spans="1:53" x14ac:dyDescent="0.25">
      <c r="A26" s="3">
        <v>25</v>
      </c>
      <c r="B26">
        <v>3</v>
      </c>
      <c r="C26">
        <v>9</v>
      </c>
      <c r="D26">
        <v>5</v>
      </c>
      <c r="E26">
        <v>5</v>
      </c>
      <c r="F26">
        <v>4</v>
      </c>
      <c r="G26">
        <v>7</v>
      </c>
      <c r="H26">
        <v>3</v>
      </c>
      <c r="I26">
        <v>7</v>
      </c>
      <c r="J26">
        <v>5</v>
      </c>
      <c r="K26">
        <v>4</v>
      </c>
      <c r="L26">
        <v>4</v>
      </c>
      <c r="M26">
        <v>8</v>
      </c>
      <c r="N26">
        <v>5</v>
      </c>
      <c r="O26">
        <v>2</v>
      </c>
      <c r="P26">
        <v>6</v>
      </c>
      <c r="Q26">
        <v>2</v>
      </c>
      <c r="R26">
        <v>6</v>
      </c>
      <c r="S26">
        <v>6</v>
      </c>
      <c r="T26">
        <v>6</v>
      </c>
      <c r="U26">
        <v>8</v>
      </c>
      <c r="V26">
        <v>6</v>
      </c>
      <c r="W26">
        <v>4</v>
      </c>
      <c r="X26">
        <v>5</v>
      </c>
      <c r="Y26">
        <v>8</v>
      </c>
      <c r="Z26" s="12">
        <v>7</v>
      </c>
      <c r="AA26">
        <v>5</v>
      </c>
      <c r="AB26">
        <v>6</v>
      </c>
      <c r="AC26">
        <v>4</v>
      </c>
      <c r="AD26">
        <v>6</v>
      </c>
      <c r="AE26">
        <v>5</v>
      </c>
      <c r="AF26">
        <v>8</v>
      </c>
      <c r="AG26">
        <v>7</v>
      </c>
      <c r="AH26">
        <v>6</v>
      </c>
      <c r="AI26">
        <v>5</v>
      </c>
      <c r="AJ26">
        <v>6</v>
      </c>
      <c r="AK26">
        <v>9</v>
      </c>
      <c r="AL26">
        <v>4</v>
      </c>
      <c r="AM26">
        <v>4</v>
      </c>
      <c r="AN26">
        <v>1</v>
      </c>
      <c r="AO26">
        <v>8</v>
      </c>
      <c r="AP26">
        <v>7</v>
      </c>
      <c r="AQ26">
        <v>4</v>
      </c>
      <c r="AR26">
        <v>4</v>
      </c>
      <c r="AS26">
        <v>3</v>
      </c>
      <c r="AT26">
        <v>4</v>
      </c>
      <c r="AU26">
        <v>3</v>
      </c>
      <c r="AV26">
        <v>5</v>
      </c>
      <c r="AW26">
        <v>5</v>
      </c>
      <c r="AX26">
        <v>5</v>
      </c>
      <c r="AZ26">
        <f>LARGE(B26:AX26,1)</f>
        <v>9</v>
      </c>
      <c r="BA26">
        <f>SMALL(B26:AX26,1)</f>
        <v>1</v>
      </c>
    </row>
    <row r="27" spans="1:53" x14ac:dyDescent="0.25">
      <c r="A27" s="3">
        <v>26</v>
      </c>
      <c r="B27">
        <v>5</v>
      </c>
      <c r="C27">
        <v>2</v>
      </c>
      <c r="D27">
        <v>4</v>
      </c>
      <c r="E27">
        <v>4</v>
      </c>
      <c r="F27">
        <v>7</v>
      </c>
      <c r="G27">
        <v>9</v>
      </c>
      <c r="H27">
        <v>4</v>
      </c>
      <c r="I27">
        <v>8</v>
      </c>
      <c r="J27">
        <v>3</v>
      </c>
      <c r="K27">
        <v>4</v>
      </c>
      <c r="L27">
        <v>5</v>
      </c>
      <c r="M27">
        <v>2</v>
      </c>
      <c r="N27">
        <v>8</v>
      </c>
      <c r="O27">
        <v>6</v>
      </c>
      <c r="P27">
        <v>6</v>
      </c>
      <c r="Q27">
        <v>3</v>
      </c>
      <c r="R27">
        <v>2</v>
      </c>
      <c r="S27">
        <v>3</v>
      </c>
      <c r="T27">
        <v>6</v>
      </c>
      <c r="U27">
        <v>6</v>
      </c>
      <c r="V27">
        <v>6</v>
      </c>
      <c r="W27">
        <v>5</v>
      </c>
      <c r="X27">
        <v>6</v>
      </c>
      <c r="Y27">
        <v>4</v>
      </c>
      <c r="Z27">
        <v>1</v>
      </c>
      <c r="AA27" s="12">
        <v>2</v>
      </c>
      <c r="AB27">
        <v>2</v>
      </c>
      <c r="AC27">
        <v>6</v>
      </c>
      <c r="AD27">
        <v>5</v>
      </c>
      <c r="AE27">
        <v>9</v>
      </c>
      <c r="AF27">
        <v>4</v>
      </c>
      <c r="AG27">
        <v>4</v>
      </c>
      <c r="AH27">
        <v>8</v>
      </c>
      <c r="AI27">
        <v>2</v>
      </c>
      <c r="AJ27">
        <v>6</v>
      </c>
      <c r="AK27">
        <v>7</v>
      </c>
      <c r="AL27">
        <v>1</v>
      </c>
      <c r="AM27">
        <v>6</v>
      </c>
      <c r="AN27">
        <v>5</v>
      </c>
      <c r="AO27">
        <v>7</v>
      </c>
      <c r="AP27">
        <v>5</v>
      </c>
      <c r="AQ27">
        <v>4</v>
      </c>
      <c r="AS27">
        <v>5</v>
      </c>
      <c r="AT27">
        <v>2</v>
      </c>
      <c r="AU27">
        <v>8</v>
      </c>
      <c r="AV27">
        <v>1</v>
      </c>
      <c r="AW27">
        <v>9</v>
      </c>
      <c r="AX27">
        <v>11</v>
      </c>
      <c r="AZ27">
        <f>LARGE(B27:AX27,1)</f>
        <v>11</v>
      </c>
      <c r="BA27">
        <f>SMALL(B27:AX27,1)</f>
        <v>1</v>
      </c>
    </row>
    <row r="28" spans="1:53" x14ac:dyDescent="0.25">
      <c r="A28" s="3">
        <v>27</v>
      </c>
      <c r="B28">
        <v>6</v>
      </c>
      <c r="C28">
        <v>2</v>
      </c>
      <c r="D28">
        <v>7</v>
      </c>
      <c r="E28">
        <v>6</v>
      </c>
      <c r="F28">
        <v>7</v>
      </c>
      <c r="G28">
        <v>4</v>
      </c>
      <c r="H28">
        <v>4</v>
      </c>
      <c r="I28">
        <v>5</v>
      </c>
      <c r="J28">
        <v>3</v>
      </c>
      <c r="K28">
        <v>3</v>
      </c>
      <c r="L28">
        <v>3</v>
      </c>
      <c r="M28">
        <v>2</v>
      </c>
      <c r="N28">
        <v>5</v>
      </c>
      <c r="O28">
        <v>7</v>
      </c>
      <c r="P28">
        <v>6</v>
      </c>
      <c r="Q28">
        <v>5</v>
      </c>
      <c r="R28">
        <v>6</v>
      </c>
      <c r="S28">
        <v>7</v>
      </c>
      <c r="T28">
        <v>5</v>
      </c>
      <c r="U28">
        <v>8</v>
      </c>
      <c r="V28">
        <v>4</v>
      </c>
      <c r="W28">
        <v>7</v>
      </c>
      <c r="X28">
        <v>7</v>
      </c>
      <c r="Y28">
        <v>6</v>
      </c>
      <c r="Z28">
        <v>3</v>
      </c>
      <c r="AA28">
        <v>6</v>
      </c>
      <c r="AB28" s="12">
        <v>3</v>
      </c>
      <c r="AC28">
        <v>9</v>
      </c>
      <c r="AD28">
        <v>6</v>
      </c>
      <c r="AE28">
        <v>4</v>
      </c>
      <c r="AF28">
        <v>5</v>
      </c>
      <c r="AH28">
        <v>2</v>
      </c>
      <c r="AI28">
        <v>4</v>
      </c>
      <c r="AJ28">
        <v>5</v>
      </c>
      <c r="AK28">
        <v>5</v>
      </c>
      <c r="AL28">
        <v>6</v>
      </c>
      <c r="AM28">
        <v>8</v>
      </c>
      <c r="AN28">
        <v>5</v>
      </c>
      <c r="AO28">
        <v>4</v>
      </c>
      <c r="AP28">
        <v>5</v>
      </c>
      <c r="AQ28">
        <v>3</v>
      </c>
      <c r="AR28">
        <v>2</v>
      </c>
      <c r="AS28">
        <v>6</v>
      </c>
      <c r="AT28">
        <v>2</v>
      </c>
      <c r="AU28">
        <v>6</v>
      </c>
      <c r="AV28">
        <v>5</v>
      </c>
      <c r="AW28">
        <v>9</v>
      </c>
      <c r="AX28">
        <v>7</v>
      </c>
      <c r="AZ28">
        <f>LARGE(B28:AX28,1)</f>
        <v>9</v>
      </c>
      <c r="BA28">
        <f>SMALL(B28:AX28,1)</f>
        <v>2</v>
      </c>
    </row>
    <row r="29" spans="1:53" x14ac:dyDescent="0.25">
      <c r="A29" s="3">
        <v>28</v>
      </c>
      <c r="B29">
        <v>3</v>
      </c>
      <c r="C29">
        <v>6</v>
      </c>
      <c r="D29">
        <v>5</v>
      </c>
      <c r="E29">
        <v>3</v>
      </c>
      <c r="F29">
        <v>1</v>
      </c>
      <c r="G29">
        <v>9</v>
      </c>
      <c r="H29">
        <v>5</v>
      </c>
      <c r="I29">
        <v>7</v>
      </c>
      <c r="J29">
        <v>7</v>
      </c>
      <c r="K29">
        <v>4</v>
      </c>
      <c r="L29">
        <v>4</v>
      </c>
      <c r="M29">
        <v>6</v>
      </c>
      <c r="N29">
        <v>5</v>
      </c>
      <c r="O29">
        <v>8</v>
      </c>
      <c r="P29">
        <v>5</v>
      </c>
      <c r="Q29">
        <v>3</v>
      </c>
      <c r="R29">
        <v>5</v>
      </c>
      <c r="S29">
        <v>6</v>
      </c>
      <c r="T29">
        <v>5</v>
      </c>
      <c r="U29">
        <v>7</v>
      </c>
      <c r="V29">
        <v>5</v>
      </c>
      <c r="W29">
        <v>8</v>
      </c>
      <c r="X29">
        <v>3</v>
      </c>
      <c r="Y29">
        <v>6</v>
      </c>
      <c r="Z29">
        <v>8</v>
      </c>
      <c r="AA29">
        <v>6</v>
      </c>
      <c r="AB29">
        <v>7</v>
      </c>
      <c r="AC29" s="12">
        <v>8</v>
      </c>
      <c r="AD29">
        <v>3</v>
      </c>
      <c r="AE29">
        <v>6</v>
      </c>
      <c r="AF29">
        <v>10</v>
      </c>
      <c r="AG29">
        <v>6</v>
      </c>
      <c r="AH29">
        <v>7</v>
      </c>
      <c r="AI29">
        <v>3</v>
      </c>
      <c r="AJ29">
        <v>6</v>
      </c>
      <c r="AK29">
        <v>8</v>
      </c>
      <c r="AL29">
        <v>7</v>
      </c>
      <c r="AM29">
        <v>4</v>
      </c>
      <c r="AN29">
        <v>6</v>
      </c>
      <c r="AO29">
        <v>7</v>
      </c>
      <c r="AP29">
        <v>4</v>
      </c>
      <c r="AQ29">
        <v>4</v>
      </c>
      <c r="AR29">
        <v>3</v>
      </c>
      <c r="AS29">
        <v>3</v>
      </c>
      <c r="AT29">
        <v>4</v>
      </c>
      <c r="AU29">
        <v>12</v>
      </c>
      <c r="AV29">
        <v>3</v>
      </c>
      <c r="AW29">
        <v>7</v>
      </c>
      <c r="AX29">
        <v>5</v>
      </c>
      <c r="AZ29">
        <f>LARGE(B29:AX29,1)</f>
        <v>12</v>
      </c>
      <c r="BA29">
        <f>SMALL(B29:AX29,1)</f>
        <v>1</v>
      </c>
    </row>
    <row r="30" spans="1:53" x14ac:dyDescent="0.25">
      <c r="A30" s="3">
        <v>29</v>
      </c>
      <c r="B30">
        <v>4</v>
      </c>
      <c r="C30">
        <v>8</v>
      </c>
      <c r="D30">
        <v>7</v>
      </c>
      <c r="E30">
        <v>5</v>
      </c>
      <c r="F30">
        <v>4</v>
      </c>
      <c r="G30">
        <v>7</v>
      </c>
      <c r="H30">
        <v>4</v>
      </c>
      <c r="I30">
        <v>7</v>
      </c>
      <c r="J30">
        <v>5</v>
      </c>
      <c r="K30">
        <v>4</v>
      </c>
      <c r="L30">
        <v>2</v>
      </c>
      <c r="M30">
        <v>7</v>
      </c>
      <c r="N30">
        <v>6</v>
      </c>
      <c r="O30">
        <v>9</v>
      </c>
      <c r="P30">
        <v>2</v>
      </c>
      <c r="Q30">
        <v>4</v>
      </c>
      <c r="R30">
        <v>2</v>
      </c>
      <c r="S30">
        <v>7</v>
      </c>
      <c r="T30">
        <v>4</v>
      </c>
      <c r="U30">
        <v>6</v>
      </c>
      <c r="V30">
        <v>8</v>
      </c>
      <c r="W30">
        <v>2</v>
      </c>
      <c r="X30">
        <v>6</v>
      </c>
      <c r="Y30">
        <v>3</v>
      </c>
      <c r="Z30">
        <v>8</v>
      </c>
      <c r="AA30">
        <v>3</v>
      </c>
      <c r="AB30">
        <v>8</v>
      </c>
      <c r="AC30">
        <v>6</v>
      </c>
      <c r="AD30" s="12">
        <v>5</v>
      </c>
      <c r="AE30">
        <v>4</v>
      </c>
      <c r="AF30">
        <v>8</v>
      </c>
      <c r="AG30">
        <v>4</v>
      </c>
      <c r="AH30">
        <v>6</v>
      </c>
      <c r="AI30">
        <v>2</v>
      </c>
      <c r="AJ30">
        <v>7</v>
      </c>
      <c r="AK30">
        <v>6</v>
      </c>
      <c r="AL30">
        <v>1</v>
      </c>
      <c r="AM30">
        <v>2</v>
      </c>
      <c r="AN30">
        <v>2</v>
      </c>
      <c r="AO30">
        <v>6</v>
      </c>
      <c r="AP30">
        <v>7</v>
      </c>
      <c r="AQ30">
        <v>4</v>
      </c>
      <c r="AR30">
        <v>4</v>
      </c>
      <c r="AS30">
        <v>2</v>
      </c>
      <c r="AT30">
        <v>5</v>
      </c>
      <c r="AU30">
        <v>3</v>
      </c>
      <c r="AV30">
        <v>3</v>
      </c>
      <c r="AW30">
        <v>4</v>
      </c>
      <c r="AX30">
        <v>5</v>
      </c>
      <c r="AZ30">
        <f>LARGE(B30:AX30,1)</f>
        <v>9</v>
      </c>
      <c r="BA30">
        <f>SMALL(B30:AX30,1)</f>
        <v>1</v>
      </c>
    </row>
    <row r="31" spans="1:53" x14ac:dyDescent="0.25">
      <c r="A31" s="3">
        <v>30</v>
      </c>
      <c r="B31">
        <v>1</v>
      </c>
      <c r="C31">
        <v>6</v>
      </c>
      <c r="D31">
        <v>2</v>
      </c>
      <c r="E31">
        <v>1</v>
      </c>
      <c r="F31">
        <v>2</v>
      </c>
      <c r="G31">
        <v>6</v>
      </c>
      <c r="H31">
        <v>5</v>
      </c>
      <c r="I31">
        <v>5</v>
      </c>
      <c r="J31">
        <v>7</v>
      </c>
      <c r="K31">
        <v>2</v>
      </c>
      <c r="L31">
        <v>7</v>
      </c>
      <c r="M31">
        <v>4</v>
      </c>
      <c r="N31">
        <v>6</v>
      </c>
      <c r="O31">
        <v>6</v>
      </c>
      <c r="P31">
        <v>5</v>
      </c>
      <c r="Q31">
        <v>6</v>
      </c>
      <c r="R31">
        <v>3</v>
      </c>
      <c r="S31">
        <v>7</v>
      </c>
      <c r="T31">
        <v>10</v>
      </c>
      <c r="U31">
        <v>5</v>
      </c>
      <c r="V31">
        <v>4</v>
      </c>
      <c r="W31">
        <v>3</v>
      </c>
      <c r="Y31">
        <v>4</v>
      </c>
      <c r="Z31">
        <v>4</v>
      </c>
      <c r="AA31">
        <v>3</v>
      </c>
      <c r="AB31">
        <v>6</v>
      </c>
      <c r="AC31">
        <v>6</v>
      </c>
      <c r="AD31">
        <v>5</v>
      </c>
      <c r="AE31" s="12">
        <v>4</v>
      </c>
      <c r="AF31">
        <v>4</v>
      </c>
      <c r="AG31">
        <v>5</v>
      </c>
      <c r="AH31">
        <v>4</v>
      </c>
      <c r="AI31">
        <v>5</v>
      </c>
      <c r="AJ31">
        <v>6</v>
      </c>
      <c r="AK31">
        <v>3</v>
      </c>
      <c r="AL31">
        <v>2</v>
      </c>
      <c r="AM31">
        <v>3</v>
      </c>
      <c r="AN31">
        <v>4</v>
      </c>
      <c r="AO31">
        <v>4</v>
      </c>
      <c r="AP31">
        <v>1</v>
      </c>
      <c r="AQ31">
        <v>6</v>
      </c>
      <c r="AR31">
        <v>3</v>
      </c>
      <c r="AS31">
        <v>4</v>
      </c>
      <c r="AT31">
        <v>3</v>
      </c>
      <c r="AU31">
        <v>5</v>
      </c>
      <c r="AV31">
        <v>4</v>
      </c>
      <c r="AW31">
        <v>5</v>
      </c>
      <c r="AX31">
        <v>4</v>
      </c>
      <c r="AZ31">
        <f>LARGE(B31:AX31,1)</f>
        <v>10</v>
      </c>
      <c r="BA31">
        <f>SMALL(B31:AX31,1)</f>
        <v>1</v>
      </c>
    </row>
    <row r="32" spans="1:53" x14ac:dyDescent="0.25">
      <c r="A32" s="3">
        <v>31</v>
      </c>
      <c r="B32">
        <v>2</v>
      </c>
      <c r="C32">
        <v>6</v>
      </c>
      <c r="D32">
        <v>10</v>
      </c>
      <c r="E32">
        <v>6</v>
      </c>
      <c r="F32">
        <v>5</v>
      </c>
      <c r="G32">
        <v>9</v>
      </c>
      <c r="H32">
        <v>7</v>
      </c>
      <c r="I32">
        <v>9</v>
      </c>
      <c r="J32">
        <v>5</v>
      </c>
      <c r="K32">
        <v>7</v>
      </c>
      <c r="L32">
        <v>7</v>
      </c>
      <c r="M32">
        <v>11</v>
      </c>
      <c r="N32">
        <v>5</v>
      </c>
      <c r="O32">
        <v>5</v>
      </c>
      <c r="P32">
        <v>7</v>
      </c>
      <c r="Q32">
        <v>3</v>
      </c>
      <c r="R32">
        <v>6</v>
      </c>
      <c r="S32">
        <v>5</v>
      </c>
      <c r="T32">
        <v>5</v>
      </c>
      <c r="U32">
        <v>10</v>
      </c>
      <c r="V32">
        <v>7</v>
      </c>
      <c r="W32">
        <v>8</v>
      </c>
      <c r="X32">
        <v>3</v>
      </c>
      <c r="Y32">
        <v>5</v>
      </c>
      <c r="Z32">
        <v>4</v>
      </c>
      <c r="AA32">
        <v>8</v>
      </c>
      <c r="AB32">
        <v>8</v>
      </c>
      <c r="AC32">
        <v>5</v>
      </c>
      <c r="AD32">
        <v>3</v>
      </c>
      <c r="AE32">
        <v>6</v>
      </c>
      <c r="AF32" s="12">
        <v>8</v>
      </c>
      <c r="AG32">
        <v>13</v>
      </c>
      <c r="AH32">
        <v>6</v>
      </c>
      <c r="AI32">
        <v>7</v>
      </c>
      <c r="AJ32">
        <v>9</v>
      </c>
      <c r="AK32">
        <v>10</v>
      </c>
      <c r="AL32">
        <v>3</v>
      </c>
      <c r="AM32">
        <v>10</v>
      </c>
      <c r="AN32">
        <v>7</v>
      </c>
      <c r="AO32">
        <v>8</v>
      </c>
      <c r="AP32">
        <v>6</v>
      </c>
      <c r="AQ32">
        <v>4</v>
      </c>
      <c r="AR32">
        <v>6</v>
      </c>
      <c r="AS32">
        <v>5</v>
      </c>
      <c r="AT32">
        <v>5</v>
      </c>
      <c r="AU32">
        <v>10</v>
      </c>
      <c r="AV32">
        <v>10</v>
      </c>
      <c r="AW32">
        <v>8</v>
      </c>
      <c r="AX32">
        <v>7</v>
      </c>
      <c r="AZ32">
        <f>LARGE(B32:AX32,1)</f>
        <v>13</v>
      </c>
      <c r="BA32">
        <f>SMALL(B32:AX32,1)</f>
        <v>2</v>
      </c>
    </row>
    <row r="33" spans="1:146" x14ac:dyDescent="0.25">
      <c r="A33" s="3">
        <v>32</v>
      </c>
      <c r="B33">
        <v>5</v>
      </c>
      <c r="C33">
        <v>2</v>
      </c>
      <c r="D33">
        <v>14</v>
      </c>
      <c r="E33">
        <v>7</v>
      </c>
      <c r="F33">
        <v>4</v>
      </c>
      <c r="G33">
        <v>8</v>
      </c>
      <c r="H33">
        <v>5</v>
      </c>
      <c r="I33">
        <v>7</v>
      </c>
      <c r="J33">
        <v>5</v>
      </c>
      <c r="K33">
        <v>3</v>
      </c>
      <c r="L33">
        <v>4</v>
      </c>
      <c r="M33">
        <v>8</v>
      </c>
      <c r="N33">
        <v>5</v>
      </c>
      <c r="O33">
        <v>5</v>
      </c>
      <c r="P33">
        <v>7</v>
      </c>
      <c r="Q33">
        <v>6</v>
      </c>
      <c r="R33">
        <v>5</v>
      </c>
      <c r="S33">
        <v>6</v>
      </c>
      <c r="T33">
        <v>3</v>
      </c>
      <c r="U33">
        <v>6</v>
      </c>
      <c r="V33">
        <v>5</v>
      </c>
      <c r="W33">
        <v>6</v>
      </c>
      <c r="X33">
        <v>3</v>
      </c>
      <c r="Y33">
        <v>7</v>
      </c>
      <c r="Z33">
        <v>4</v>
      </c>
      <c r="AA33">
        <v>9</v>
      </c>
      <c r="AB33">
        <v>7</v>
      </c>
      <c r="AC33">
        <v>5</v>
      </c>
      <c r="AD33">
        <v>4</v>
      </c>
      <c r="AE33">
        <v>1</v>
      </c>
      <c r="AF33">
        <v>8</v>
      </c>
      <c r="AG33" s="12">
        <v>4</v>
      </c>
      <c r="AH33">
        <v>6</v>
      </c>
      <c r="AI33">
        <v>4</v>
      </c>
      <c r="AJ33">
        <v>6</v>
      </c>
      <c r="AK33">
        <v>8</v>
      </c>
      <c r="AL33">
        <v>5</v>
      </c>
      <c r="AM33">
        <v>2</v>
      </c>
      <c r="AN33">
        <v>6</v>
      </c>
      <c r="AP33">
        <v>5</v>
      </c>
      <c r="AQ33">
        <v>3</v>
      </c>
      <c r="AR33">
        <v>4</v>
      </c>
      <c r="AS33">
        <v>3</v>
      </c>
      <c r="AT33">
        <v>4</v>
      </c>
      <c r="AU33">
        <v>6</v>
      </c>
      <c r="AV33">
        <v>2</v>
      </c>
      <c r="AW33">
        <v>5</v>
      </c>
      <c r="AX33">
        <v>5</v>
      </c>
      <c r="AZ33">
        <f>LARGE(B33:AX33,1)</f>
        <v>14</v>
      </c>
      <c r="BA33">
        <f>SMALL(B33:AX33,1)</f>
        <v>1</v>
      </c>
      <c r="EP33">
        <v>2</v>
      </c>
    </row>
    <row r="34" spans="1:146" x14ac:dyDescent="0.25">
      <c r="A34" s="3">
        <v>33</v>
      </c>
      <c r="B34">
        <v>4</v>
      </c>
      <c r="C34">
        <v>7</v>
      </c>
      <c r="D34">
        <v>5</v>
      </c>
      <c r="E34">
        <v>3</v>
      </c>
      <c r="F34">
        <v>4</v>
      </c>
      <c r="G34">
        <v>5</v>
      </c>
      <c r="H34">
        <v>6</v>
      </c>
      <c r="I34">
        <v>9</v>
      </c>
      <c r="J34">
        <v>3</v>
      </c>
      <c r="K34">
        <v>3</v>
      </c>
      <c r="L34">
        <v>4</v>
      </c>
      <c r="M34">
        <v>9</v>
      </c>
      <c r="N34">
        <v>6</v>
      </c>
      <c r="O34">
        <v>4</v>
      </c>
      <c r="P34">
        <v>3</v>
      </c>
      <c r="Q34">
        <v>4</v>
      </c>
      <c r="R34">
        <v>6</v>
      </c>
      <c r="S34">
        <v>4</v>
      </c>
      <c r="T34">
        <v>8</v>
      </c>
      <c r="U34">
        <v>10</v>
      </c>
      <c r="V34">
        <v>5</v>
      </c>
      <c r="W34">
        <v>6</v>
      </c>
      <c r="X34">
        <v>4</v>
      </c>
      <c r="Y34">
        <v>3</v>
      </c>
      <c r="Z34">
        <v>9</v>
      </c>
      <c r="AA34">
        <v>1</v>
      </c>
      <c r="AB34">
        <v>2</v>
      </c>
      <c r="AC34">
        <v>2</v>
      </c>
      <c r="AD34">
        <v>9</v>
      </c>
      <c r="AE34">
        <v>6</v>
      </c>
      <c r="AF34">
        <v>10</v>
      </c>
      <c r="AG34">
        <v>3</v>
      </c>
      <c r="AH34" s="12">
        <v>12</v>
      </c>
      <c r="AI34">
        <v>3</v>
      </c>
      <c r="AJ34">
        <v>5</v>
      </c>
      <c r="AK34">
        <v>7</v>
      </c>
      <c r="AL34">
        <v>7</v>
      </c>
      <c r="AM34">
        <v>2</v>
      </c>
      <c r="AN34">
        <v>5</v>
      </c>
      <c r="AO34">
        <v>5</v>
      </c>
      <c r="AP34">
        <v>6</v>
      </c>
      <c r="AQ34">
        <v>6</v>
      </c>
      <c r="AR34">
        <v>6</v>
      </c>
      <c r="AS34">
        <v>2</v>
      </c>
      <c r="AT34">
        <v>6</v>
      </c>
      <c r="AU34">
        <v>3</v>
      </c>
      <c r="AV34">
        <v>9</v>
      </c>
      <c r="AW34">
        <v>6</v>
      </c>
      <c r="AX34">
        <v>2</v>
      </c>
      <c r="AZ34">
        <f>LARGE(B34:AX34,1)</f>
        <v>12</v>
      </c>
      <c r="BA34">
        <f>SMALL(B34:AX34,1)</f>
        <v>1</v>
      </c>
    </row>
    <row r="35" spans="1:146" x14ac:dyDescent="0.25">
      <c r="A35" s="3">
        <v>34</v>
      </c>
      <c r="B35">
        <v>4</v>
      </c>
      <c r="C35">
        <v>3</v>
      </c>
      <c r="D35">
        <v>5</v>
      </c>
      <c r="E35">
        <v>5</v>
      </c>
      <c r="F35">
        <v>3</v>
      </c>
      <c r="G35">
        <v>7</v>
      </c>
      <c r="H35">
        <v>6</v>
      </c>
      <c r="I35">
        <v>6</v>
      </c>
      <c r="J35">
        <v>6</v>
      </c>
      <c r="K35">
        <v>6</v>
      </c>
      <c r="L35">
        <v>4</v>
      </c>
      <c r="M35">
        <v>4</v>
      </c>
      <c r="N35">
        <v>4</v>
      </c>
      <c r="O35">
        <v>4</v>
      </c>
      <c r="P35">
        <v>7</v>
      </c>
      <c r="Q35">
        <v>2</v>
      </c>
      <c r="S35">
        <v>2</v>
      </c>
      <c r="T35">
        <v>6</v>
      </c>
      <c r="U35">
        <v>1</v>
      </c>
      <c r="V35">
        <v>8</v>
      </c>
      <c r="W35">
        <v>2</v>
      </c>
      <c r="X35">
        <v>3</v>
      </c>
      <c r="Y35">
        <v>7</v>
      </c>
      <c r="Z35">
        <v>2</v>
      </c>
      <c r="AA35">
        <v>2</v>
      </c>
      <c r="AB35">
        <v>3</v>
      </c>
      <c r="AC35">
        <v>4</v>
      </c>
      <c r="AD35">
        <v>2</v>
      </c>
      <c r="AE35">
        <v>8</v>
      </c>
      <c r="AF35">
        <v>5</v>
      </c>
      <c r="AG35">
        <v>7</v>
      </c>
      <c r="AH35">
        <v>2</v>
      </c>
      <c r="AI35" s="12">
        <v>2</v>
      </c>
      <c r="AJ35">
        <v>2</v>
      </c>
      <c r="AK35">
        <v>3</v>
      </c>
      <c r="AL35">
        <v>4</v>
      </c>
      <c r="AM35">
        <v>4</v>
      </c>
      <c r="AN35">
        <v>1</v>
      </c>
      <c r="AO35">
        <v>5</v>
      </c>
      <c r="AP35">
        <v>1</v>
      </c>
      <c r="AQ35">
        <v>5</v>
      </c>
      <c r="AR35">
        <v>4</v>
      </c>
      <c r="AS35">
        <v>3</v>
      </c>
      <c r="AT35">
        <v>1</v>
      </c>
      <c r="AU35">
        <v>7</v>
      </c>
      <c r="AV35">
        <v>3</v>
      </c>
      <c r="AW35">
        <v>7</v>
      </c>
      <c r="AX35">
        <v>4</v>
      </c>
      <c r="AZ35">
        <f>LARGE(B35:AX35,1)</f>
        <v>8</v>
      </c>
      <c r="BA35">
        <f>SMALL(B35:AX35,1)</f>
        <v>1</v>
      </c>
    </row>
    <row r="36" spans="1:146" x14ac:dyDescent="0.25">
      <c r="A36" s="3">
        <v>35</v>
      </c>
      <c r="B36">
        <v>4</v>
      </c>
      <c r="C36">
        <v>6</v>
      </c>
      <c r="D36">
        <v>8</v>
      </c>
      <c r="E36">
        <v>2</v>
      </c>
      <c r="F36">
        <v>8</v>
      </c>
      <c r="G36">
        <v>3</v>
      </c>
      <c r="H36">
        <v>5</v>
      </c>
      <c r="I36">
        <v>7</v>
      </c>
      <c r="J36">
        <v>8</v>
      </c>
      <c r="K36">
        <v>5</v>
      </c>
      <c r="L36">
        <v>8</v>
      </c>
      <c r="N36">
        <v>6</v>
      </c>
      <c r="O36">
        <v>5</v>
      </c>
      <c r="P36">
        <v>8</v>
      </c>
      <c r="Q36">
        <v>7</v>
      </c>
      <c r="R36">
        <v>5</v>
      </c>
      <c r="S36">
        <v>8</v>
      </c>
      <c r="T36">
        <v>8</v>
      </c>
      <c r="U36">
        <v>9</v>
      </c>
      <c r="V36">
        <v>7</v>
      </c>
      <c r="W36">
        <v>6</v>
      </c>
      <c r="X36">
        <v>3</v>
      </c>
      <c r="Y36">
        <v>5</v>
      </c>
      <c r="Z36">
        <v>6</v>
      </c>
      <c r="AA36">
        <v>6</v>
      </c>
      <c r="AB36">
        <v>5</v>
      </c>
      <c r="AC36">
        <v>7</v>
      </c>
      <c r="AD36">
        <v>1</v>
      </c>
      <c r="AE36">
        <v>4</v>
      </c>
      <c r="AF36">
        <v>6</v>
      </c>
      <c r="AG36">
        <v>7</v>
      </c>
      <c r="AH36">
        <v>7</v>
      </c>
      <c r="AI36">
        <v>3</v>
      </c>
      <c r="AJ36" s="12">
        <v>5</v>
      </c>
      <c r="AK36">
        <v>8</v>
      </c>
      <c r="AL36">
        <v>5</v>
      </c>
      <c r="AM36">
        <v>6</v>
      </c>
      <c r="AN36">
        <v>4</v>
      </c>
      <c r="AO36">
        <v>4</v>
      </c>
      <c r="AP36">
        <v>7</v>
      </c>
      <c r="AQ36">
        <v>3</v>
      </c>
      <c r="AR36">
        <v>4</v>
      </c>
      <c r="AS36">
        <v>11</v>
      </c>
      <c r="AU36">
        <v>4</v>
      </c>
      <c r="AV36">
        <v>6</v>
      </c>
      <c r="AW36">
        <v>6</v>
      </c>
      <c r="AX36">
        <v>7</v>
      </c>
      <c r="AZ36">
        <f>LARGE(B36:AX36,1)</f>
        <v>11</v>
      </c>
      <c r="BA36">
        <f>SMALL(B36:AX36,1)</f>
        <v>1</v>
      </c>
    </row>
    <row r="37" spans="1:146" x14ac:dyDescent="0.25">
      <c r="A37" s="3">
        <v>36</v>
      </c>
      <c r="B37">
        <v>11</v>
      </c>
      <c r="C37">
        <v>11</v>
      </c>
      <c r="D37">
        <v>6</v>
      </c>
      <c r="E37">
        <v>7</v>
      </c>
      <c r="F37">
        <v>6</v>
      </c>
      <c r="G37">
        <v>7</v>
      </c>
      <c r="H37">
        <v>5</v>
      </c>
      <c r="I37">
        <v>8</v>
      </c>
      <c r="J37">
        <v>5</v>
      </c>
      <c r="K37">
        <v>6</v>
      </c>
      <c r="L37">
        <v>6</v>
      </c>
      <c r="M37">
        <v>6</v>
      </c>
      <c r="N37">
        <v>3</v>
      </c>
      <c r="O37">
        <v>8</v>
      </c>
      <c r="P37">
        <v>7</v>
      </c>
      <c r="Q37">
        <v>3</v>
      </c>
      <c r="R37">
        <v>7</v>
      </c>
      <c r="S37">
        <v>11</v>
      </c>
      <c r="T37">
        <v>6</v>
      </c>
      <c r="U37">
        <v>2</v>
      </c>
      <c r="V37">
        <v>5</v>
      </c>
      <c r="W37">
        <v>8</v>
      </c>
      <c r="X37">
        <v>4</v>
      </c>
      <c r="Y37">
        <v>10</v>
      </c>
      <c r="Z37">
        <v>6</v>
      </c>
      <c r="AA37">
        <v>10</v>
      </c>
      <c r="AB37">
        <v>7</v>
      </c>
      <c r="AC37">
        <v>12</v>
      </c>
      <c r="AD37">
        <v>7</v>
      </c>
      <c r="AE37">
        <v>4</v>
      </c>
      <c r="AF37">
        <v>9</v>
      </c>
      <c r="AG37">
        <v>6</v>
      </c>
      <c r="AH37">
        <v>4</v>
      </c>
      <c r="AI37">
        <v>4</v>
      </c>
      <c r="AJ37">
        <v>8</v>
      </c>
      <c r="AK37" s="12">
        <v>7</v>
      </c>
      <c r="AL37">
        <v>7</v>
      </c>
      <c r="AM37">
        <v>7</v>
      </c>
      <c r="AN37">
        <v>9</v>
      </c>
      <c r="AO37">
        <v>5</v>
      </c>
      <c r="AP37">
        <v>6</v>
      </c>
      <c r="AQ37">
        <v>5</v>
      </c>
      <c r="AR37">
        <v>6</v>
      </c>
      <c r="AS37">
        <v>8</v>
      </c>
      <c r="AT37">
        <v>5</v>
      </c>
      <c r="AU37">
        <v>11</v>
      </c>
      <c r="AV37">
        <v>7</v>
      </c>
      <c r="AW37">
        <v>5</v>
      </c>
      <c r="AX37">
        <v>6</v>
      </c>
      <c r="AZ37">
        <f>LARGE(B37:AX37,1)</f>
        <v>12</v>
      </c>
      <c r="BA37">
        <f>SMALL(B37:AX37,1)</f>
        <v>2</v>
      </c>
    </row>
    <row r="38" spans="1:146" x14ac:dyDescent="0.25">
      <c r="A38" s="3">
        <v>37</v>
      </c>
      <c r="B38">
        <v>4</v>
      </c>
      <c r="C38">
        <v>6</v>
      </c>
      <c r="D38">
        <v>5</v>
      </c>
      <c r="E38">
        <v>5</v>
      </c>
      <c r="F38">
        <v>4</v>
      </c>
      <c r="G38">
        <v>3</v>
      </c>
      <c r="H38">
        <v>5</v>
      </c>
      <c r="I38">
        <v>8</v>
      </c>
      <c r="J38">
        <v>4</v>
      </c>
      <c r="K38">
        <v>4</v>
      </c>
      <c r="L38">
        <v>2</v>
      </c>
      <c r="M38">
        <v>4</v>
      </c>
      <c r="N38">
        <v>2</v>
      </c>
      <c r="O38">
        <v>5</v>
      </c>
      <c r="P38">
        <v>2</v>
      </c>
      <c r="Q38">
        <v>1</v>
      </c>
      <c r="R38">
        <v>7</v>
      </c>
      <c r="S38">
        <v>3</v>
      </c>
      <c r="T38">
        <v>4</v>
      </c>
      <c r="U38">
        <v>4</v>
      </c>
      <c r="V38">
        <v>5</v>
      </c>
      <c r="W38">
        <v>3</v>
      </c>
      <c r="X38">
        <v>6</v>
      </c>
      <c r="Y38">
        <v>7</v>
      </c>
      <c r="Z38">
        <v>4</v>
      </c>
      <c r="AA38">
        <v>4</v>
      </c>
      <c r="AC38">
        <v>2</v>
      </c>
      <c r="AD38">
        <v>4</v>
      </c>
      <c r="AE38">
        <v>4</v>
      </c>
      <c r="AF38">
        <v>7</v>
      </c>
      <c r="AG38">
        <v>5</v>
      </c>
      <c r="AH38">
        <v>1</v>
      </c>
      <c r="AI38">
        <v>6</v>
      </c>
      <c r="AJ38">
        <v>4</v>
      </c>
      <c r="AK38">
        <v>8</v>
      </c>
      <c r="AL38" s="12">
        <v>5</v>
      </c>
      <c r="AM38">
        <v>2</v>
      </c>
      <c r="AN38">
        <v>2</v>
      </c>
      <c r="AO38">
        <v>4</v>
      </c>
      <c r="AP38">
        <v>4</v>
      </c>
      <c r="AQ38">
        <v>4</v>
      </c>
      <c r="AR38">
        <v>4</v>
      </c>
      <c r="AS38">
        <v>5</v>
      </c>
      <c r="AT38">
        <v>3</v>
      </c>
      <c r="AU38">
        <v>7</v>
      </c>
      <c r="AV38">
        <v>1</v>
      </c>
      <c r="AW38">
        <v>6</v>
      </c>
      <c r="AX38">
        <v>4</v>
      </c>
      <c r="AZ38">
        <f>LARGE(B38:AX38,1)</f>
        <v>8</v>
      </c>
      <c r="BA38">
        <f>SMALL(B38:AX38,1)</f>
        <v>1</v>
      </c>
    </row>
    <row r="39" spans="1:146" x14ac:dyDescent="0.25">
      <c r="A39" s="3">
        <v>38</v>
      </c>
      <c r="B39">
        <v>6</v>
      </c>
      <c r="C39">
        <v>6</v>
      </c>
      <c r="D39">
        <v>4</v>
      </c>
      <c r="E39">
        <v>2</v>
      </c>
      <c r="F39">
        <v>4</v>
      </c>
      <c r="G39">
        <v>4</v>
      </c>
      <c r="H39">
        <v>6</v>
      </c>
      <c r="I39">
        <v>10</v>
      </c>
      <c r="J39">
        <v>9</v>
      </c>
      <c r="K39">
        <v>4</v>
      </c>
      <c r="L39">
        <v>5</v>
      </c>
      <c r="M39">
        <v>3</v>
      </c>
      <c r="N39">
        <v>4</v>
      </c>
      <c r="O39">
        <v>6</v>
      </c>
      <c r="P39">
        <v>7</v>
      </c>
      <c r="Q39">
        <v>4</v>
      </c>
      <c r="R39">
        <v>1</v>
      </c>
      <c r="S39">
        <v>7</v>
      </c>
      <c r="T39">
        <v>3</v>
      </c>
      <c r="U39">
        <v>5</v>
      </c>
      <c r="V39">
        <v>6</v>
      </c>
      <c r="W39">
        <v>3</v>
      </c>
      <c r="X39">
        <v>4</v>
      </c>
      <c r="Y39">
        <v>1</v>
      </c>
      <c r="Z39">
        <v>7</v>
      </c>
      <c r="AA39">
        <v>4</v>
      </c>
      <c r="AB39">
        <v>3</v>
      </c>
      <c r="AC39">
        <v>6</v>
      </c>
      <c r="AD39">
        <v>7</v>
      </c>
      <c r="AE39">
        <v>4</v>
      </c>
      <c r="AF39">
        <v>10</v>
      </c>
      <c r="AG39">
        <v>7</v>
      </c>
      <c r="AH39">
        <v>6</v>
      </c>
      <c r="AI39">
        <v>1</v>
      </c>
      <c r="AJ39">
        <v>2</v>
      </c>
      <c r="AK39">
        <v>9</v>
      </c>
      <c r="AL39">
        <v>2</v>
      </c>
      <c r="AM39" s="12">
        <v>5</v>
      </c>
      <c r="AN39">
        <v>6</v>
      </c>
      <c r="AO39">
        <v>3</v>
      </c>
      <c r="AP39">
        <v>4</v>
      </c>
      <c r="AQ39">
        <v>5</v>
      </c>
      <c r="AR39">
        <v>3</v>
      </c>
      <c r="AS39">
        <v>2</v>
      </c>
      <c r="AT39">
        <v>5</v>
      </c>
      <c r="AU39">
        <v>6</v>
      </c>
      <c r="AV39">
        <v>8</v>
      </c>
      <c r="AW39">
        <v>6</v>
      </c>
      <c r="AX39">
        <v>3</v>
      </c>
      <c r="AZ39">
        <f>LARGE(B39:AX39,1)</f>
        <v>10</v>
      </c>
      <c r="BA39">
        <f>SMALL(B39:AX39,1)</f>
        <v>1</v>
      </c>
    </row>
    <row r="40" spans="1:146" x14ac:dyDescent="0.25">
      <c r="A40" s="3">
        <v>39</v>
      </c>
      <c r="B40">
        <v>6</v>
      </c>
      <c r="C40">
        <v>6</v>
      </c>
      <c r="D40">
        <v>4</v>
      </c>
      <c r="E40">
        <v>4</v>
      </c>
      <c r="F40">
        <v>4</v>
      </c>
      <c r="G40">
        <v>4</v>
      </c>
      <c r="H40">
        <v>3</v>
      </c>
      <c r="I40">
        <v>6</v>
      </c>
      <c r="J40">
        <v>4</v>
      </c>
      <c r="K40">
        <v>5</v>
      </c>
      <c r="L40">
        <v>4</v>
      </c>
      <c r="M40">
        <v>3</v>
      </c>
      <c r="N40">
        <v>5</v>
      </c>
      <c r="O40">
        <v>8</v>
      </c>
      <c r="P40">
        <v>5</v>
      </c>
      <c r="Q40">
        <v>4</v>
      </c>
      <c r="R40">
        <v>2</v>
      </c>
      <c r="S40">
        <v>3</v>
      </c>
      <c r="T40">
        <v>7</v>
      </c>
      <c r="U40">
        <v>5</v>
      </c>
      <c r="V40">
        <v>8</v>
      </c>
      <c r="W40">
        <v>8</v>
      </c>
      <c r="X40">
        <v>6</v>
      </c>
      <c r="Y40">
        <v>5</v>
      </c>
      <c r="Z40">
        <v>6</v>
      </c>
      <c r="AA40">
        <v>2</v>
      </c>
      <c r="AB40">
        <v>2</v>
      </c>
      <c r="AC40">
        <v>4</v>
      </c>
      <c r="AD40">
        <v>8</v>
      </c>
      <c r="AE40">
        <v>4</v>
      </c>
      <c r="AF40">
        <v>9</v>
      </c>
      <c r="AG40">
        <v>3</v>
      </c>
      <c r="AH40">
        <v>6</v>
      </c>
      <c r="AI40">
        <v>5</v>
      </c>
      <c r="AJ40">
        <v>3</v>
      </c>
      <c r="AK40">
        <v>5</v>
      </c>
      <c r="AL40">
        <v>4</v>
      </c>
      <c r="AM40">
        <v>3</v>
      </c>
      <c r="AN40" s="12">
        <v>2</v>
      </c>
      <c r="AO40">
        <v>6</v>
      </c>
      <c r="AP40">
        <v>1</v>
      </c>
      <c r="AQ40">
        <v>5</v>
      </c>
      <c r="AR40">
        <v>3</v>
      </c>
      <c r="AS40">
        <v>5</v>
      </c>
      <c r="AT40">
        <v>2</v>
      </c>
      <c r="AU40">
        <v>7</v>
      </c>
      <c r="AV40">
        <v>6</v>
      </c>
      <c r="AW40">
        <v>8</v>
      </c>
      <c r="AX40">
        <v>10</v>
      </c>
      <c r="AZ40">
        <f>LARGE(B40:AX40,1)</f>
        <v>10</v>
      </c>
      <c r="BA40">
        <f>SMALL(B40:AX40,1)</f>
        <v>1</v>
      </c>
    </row>
    <row r="41" spans="1:146" x14ac:dyDescent="0.25">
      <c r="A41" s="3">
        <v>40</v>
      </c>
      <c r="B41">
        <v>6</v>
      </c>
      <c r="C41">
        <v>7</v>
      </c>
      <c r="D41">
        <v>4</v>
      </c>
      <c r="E41">
        <v>6</v>
      </c>
      <c r="F41">
        <v>3</v>
      </c>
      <c r="G41">
        <v>10</v>
      </c>
      <c r="H41">
        <v>7</v>
      </c>
      <c r="I41">
        <v>7</v>
      </c>
      <c r="J41">
        <v>7</v>
      </c>
      <c r="K41">
        <v>6</v>
      </c>
      <c r="L41">
        <v>7</v>
      </c>
      <c r="M41">
        <v>8</v>
      </c>
      <c r="N41">
        <v>2</v>
      </c>
      <c r="O41">
        <v>5</v>
      </c>
      <c r="P41">
        <v>7</v>
      </c>
      <c r="Q41">
        <v>3</v>
      </c>
      <c r="R41">
        <v>5</v>
      </c>
      <c r="S41">
        <v>3</v>
      </c>
      <c r="T41">
        <v>7</v>
      </c>
      <c r="U41">
        <v>7</v>
      </c>
      <c r="V41">
        <v>8</v>
      </c>
      <c r="W41">
        <v>5</v>
      </c>
      <c r="X41">
        <v>7</v>
      </c>
      <c r="Y41">
        <v>8</v>
      </c>
      <c r="Z41">
        <v>3</v>
      </c>
      <c r="AA41">
        <v>3</v>
      </c>
      <c r="AB41">
        <v>6</v>
      </c>
      <c r="AC41">
        <v>2</v>
      </c>
      <c r="AD41">
        <v>2</v>
      </c>
      <c r="AE41">
        <v>3</v>
      </c>
      <c r="AF41">
        <v>6</v>
      </c>
      <c r="AG41">
        <v>6</v>
      </c>
      <c r="AH41">
        <v>6</v>
      </c>
      <c r="AI41">
        <v>3</v>
      </c>
      <c r="AJ41">
        <v>6</v>
      </c>
      <c r="AK41">
        <v>7</v>
      </c>
      <c r="AL41">
        <v>4</v>
      </c>
      <c r="AM41">
        <v>4</v>
      </c>
      <c r="AN41">
        <v>7</v>
      </c>
      <c r="AO41" s="12">
        <v>6</v>
      </c>
      <c r="AP41">
        <v>5</v>
      </c>
      <c r="AQ41">
        <v>3</v>
      </c>
      <c r="AR41">
        <v>5</v>
      </c>
      <c r="AS41">
        <v>3</v>
      </c>
      <c r="AT41">
        <v>1</v>
      </c>
      <c r="AU41">
        <v>5</v>
      </c>
      <c r="AV41">
        <v>6</v>
      </c>
      <c r="AW41">
        <v>7</v>
      </c>
      <c r="AX41">
        <v>5</v>
      </c>
      <c r="AZ41">
        <f>LARGE(B41:AX41,1)</f>
        <v>10</v>
      </c>
      <c r="BA41">
        <f>SMALL(B41:AX41,1)</f>
        <v>1</v>
      </c>
    </row>
    <row r="42" spans="1:146" x14ac:dyDescent="0.25">
      <c r="A42" s="3">
        <v>41</v>
      </c>
      <c r="B42">
        <v>3</v>
      </c>
      <c r="C42">
        <v>4</v>
      </c>
      <c r="D42">
        <v>9</v>
      </c>
      <c r="E42">
        <v>2</v>
      </c>
      <c r="F42">
        <v>5</v>
      </c>
      <c r="G42">
        <v>4</v>
      </c>
      <c r="H42">
        <v>5</v>
      </c>
      <c r="I42">
        <v>7</v>
      </c>
      <c r="J42">
        <v>8</v>
      </c>
      <c r="K42">
        <v>3</v>
      </c>
      <c r="L42">
        <v>5</v>
      </c>
      <c r="M42">
        <v>1</v>
      </c>
      <c r="N42">
        <v>3</v>
      </c>
      <c r="O42">
        <v>4</v>
      </c>
      <c r="P42">
        <v>5</v>
      </c>
      <c r="Q42">
        <v>3</v>
      </c>
      <c r="R42">
        <v>3</v>
      </c>
      <c r="S42">
        <v>5</v>
      </c>
      <c r="T42">
        <v>4</v>
      </c>
      <c r="U42">
        <v>8</v>
      </c>
      <c r="V42">
        <v>4</v>
      </c>
      <c r="W42">
        <v>5</v>
      </c>
      <c r="X42">
        <v>4</v>
      </c>
      <c r="Y42">
        <v>3</v>
      </c>
      <c r="Z42">
        <v>9</v>
      </c>
      <c r="AA42">
        <v>7</v>
      </c>
      <c r="AB42">
        <v>6</v>
      </c>
      <c r="AC42">
        <v>8</v>
      </c>
      <c r="AD42">
        <v>6</v>
      </c>
      <c r="AE42">
        <v>3</v>
      </c>
      <c r="AF42">
        <v>9</v>
      </c>
      <c r="AG42">
        <v>2</v>
      </c>
      <c r="AH42">
        <v>5</v>
      </c>
      <c r="AI42">
        <v>4</v>
      </c>
      <c r="AJ42">
        <v>6</v>
      </c>
      <c r="AK42">
        <v>4</v>
      </c>
      <c r="AL42">
        <v>2</v>
      </c>
      <c r="AM42">
        <v>8</v>
      </c>
      <c r="AN42">
        <v>3</v>
      </c>
      <c r="AO42">
        <v>8</v>
      </c>
      <c r="AP42" s="12">
        <v>5</v>
      </c>
      <c r="AQ42">
        <v>4</v>
      </c>
      <c r="AR42">
        <v>2</v>
      </c>
      <c r="AS42">
        <v>4</v>
      </c>
      <c r="AT42">
        <v>4</v>
      </c>
      <c r="AU42">
        <v>6</v>
      </c>
      <c r="AV42">
        <v>5</v>
      </c>
      <c r="AW42">
        <v>6</v>
      </c>
      <c r="AX42">
        <v>5</v>
      </c>
      <c r="AZ42">
        <f>LARGE(B42:AX42,1)</f>
        <v>9</v>
      </c>
      <c r="BA42">
        <f>SMALL(B42:AX42,1)</f>
        <v>1</v>
      </c>
    </row>
    <row r="43" spans="1:146" x14ac:dyDescent="0.25">
      <c r="A43" s="3">
        <v>42</v>
      </c>
      <c r="B43">
        <v>9</v>
      </c>
      <c r="C43">
        <v>6</v>
      </c>
      <c r="D43">
        <v>6</v>
      </c>
      <c r="E43">
        <v>6</v>
      </c>
      <c r="F43">
        <v>3</v>
      </c>
      <c r="G43">
        <v>3</v>
      </c>
      <c r="H43">
        <v>6</v>
      </c>
      <c r="I43">
        <v>6</v>
      </c>
      <c r="J43">
        <v>2</v>
      </c>
      <c r="K43">
        <v>4</v>
      </c>
      <c r="L43">
        <v>3</v>
      </c>
      <c r="M43">
        <v>6</v>
      </c>
      <c r="N43">
        <v>5</v>
      </c>
      <c r="O43">
        <v>2</v>
      </c>
      <c r="P43">
        <v>2</v>
      </c>
      <c r="Q43">
        <v>5</v>
      </c>
      <c r="R43">
        <v>5</v>
      </c>
      <c r="S43">
        <v>5</v>
      </c>
      <c r="T43">
        <v>8</v>
      </c>
      <c r="U43">
        <v>5</v>
      </c>
      <c r="V43">
        <v>6</v>
      </c>
      <c r="W43">
        <v>5</v>
      </c>
      <c r="X43">
        <v>3</v>
      </c>
      <c r="Y43">
        <v>3</v>
      </c>
      <c r="Z43">
        <v>8</v>
      </c>
      <c r="AA43">
        <v>5</v>
      </c>
      <c r="AB43">
        <v>4</v>
      </c>
      <c r="AC43">
        <v>4</v>
      </c>
      <c r="AD43">
        <v>5</v>
      </c>
      <c r="AE43">
        <v>5</v>
      </c>
      <c r="AF43">
        <v>7</v>
      </c>
      <c r="AG43">
        <v>5</v>
      </c>
      <c r="AH43">
        <v>2</v>
      </c>
      <c r="AI43">
        <v>6</v>
      </c>
      <c r="AJ43">
        <v>6</v>
      </c>
      <c r="AK43">
        <v>2</v>
      </c>
      <c r="AL43">
        <v>5</v>
      </c>
      <c r="AM43">
        <v>3</v>
      </c>
      <c r="AN43">
        <v>3</v>
      </c>
      <c r="AO43">
        <v>4</v>
      </c>
      <c r="AP43">
        <v>2</v>
      </c>
      <c r="AQ43" s="12">
        <v>7</v>
      </c>
      <c r="AR43">
        <v>4</v>
      </c>
      <c r="AS43">
        <v>6</v>
      </c>
      <c r="AT43">
        <v>1</v>
      </c>
      <c r="AU43">
        <v>6</v>
      </c>
      <c r="AV43">
        <v>2</v>
      </c>
      <c r="AW43">
        <v>7</v>
      </c>
      <c r="AX43">
        <v>8</v>
      </c>
      <c r="AZ43">
        <f>LARGE(B43:AX43,1)</f>
        <v>9</v>
      </c>
      <c r="BA43">
        <f>SMALL(B43:AX43,1)</f>
        <v>1</v>
      </c>
    </row>
    <row r="44" spans="1:146" x14ac:dyDescent="0.25">
      <c r="A44" s="3">
        <v>43</v>
      </c>
      <c r="B44">
        <v>2</v>
      </c>
      <c r="C44">
        <v>7</v>
      </c>
      <c r="D44">
        <v>7</v>
      </c>
      <c r="E44">
        <v>4</v>
      </c>
      <c r="F44">
        <v>3</v>
      </c>
      <c r="G44">
        <v>7</v>
      </c>
      <c r="H44">
        <v>4</v>
      </c>
      <c r="I44">
        <v>2</v>
      </c>
      <c r="J44">
        <v>2</v>
      </c>
      <c r="K44">
        <v>4</v>
      </c>
      <c r="L44">
        <v>3</v>
      </c>
      <c r="M44">
        <v>1</v>
      </c>
      <c r="N44">
        <v>5</v>
      </c>
      <c r="O44">
        <v>2</v>
      </c>
      <c r="P44">
        <v>2</v>
      </c>
      <c r="Q44">
        <v>3</v>
      </c>
      <c r="R44">
        <v>3</v>
      </c>
      <c r="S44">
        <v>6</v>
      </c>
      <c r="T44">
        <v>3</v>
      </c>
      <c r="U44">
        <v>6</v>
      </c>
      <c r="V44">
        <v>10</v>
      </c>
      <c r="W44">
        <v>1</v>
      </c>
      <c r="X44">
        <v>6</v>
      </c>
      <c r="Y44">
        <v>7</v>
      </c>
      <c r="Z44">
        <v>2</v>
      </c>
      <c r="AA44">
        <v>5</v>
      </c>
      <c r="AB44">
        <v>4</v>
      </c>
      <c r="AC44">
        <v>4</v>
      </c>
      <c r="AD44">
        <v>5</v>
      </c>
      <c r="AE44">
        <v>4</v>
      </c>
      <c r="AF44">
        <v>8</v>
      </c>
      <c r="AG44">
        <v>4</v>
      </c>
      <c r="AH44">
        <v>5</v>
      </c>
      <c r="AI44">
        <v>3</v>
      </c>
      <c r="AJ44">
        <v>5</v>
      </c>
      <c r="AK44">
        <v>3</v>
      </c>
      <c r="AL44">
        <v>6</v>
      </c>
      <c r="AM44">
        <v>6</v>
      </c>
      <c r="AN44">
        <v>2</v>
      </c>
      <c r="AO44">
        <v>3</v>
      </c>
      <c r="AQ44">
        <v>3</v>
      </c>
      <c r="AR44" s="12">
        <v>2</v>
      </c>
      <c r="AS44">
        <v>8</v>
      </c>
      <c r="AT44">
        <v>5</v>
      </c>
      <c r="AU44">
        <v>7</v>
      </c>
      <c r="AV44">
        <v>6</v>
      </c>
      <c r="AW44">
        <v>4</v>
      </c>
      <c r="AX44">
        <v>6</v>
      </c>
      <c r="AZ44">
        <f>LARGE(B44:AX44,1)</f>
        <v>10</v>
      </c>
      <c r="BA44">
        <f>SMALL(B44:AX44,1)</f>
        <v>1</v>
      </c>
    </row>
    <row r="45" spans="1:146" x14ac:dyDescent="0.25">
      <c r="A45" s="3">
        <v>44</v>
      </c>
      <c r="B45">
        <v>4</v>
      </c>
      <c r="C45">
        <v>5</v>
      </c>
      <c r="D45">
        <v>3</v>
      </c>
      <c r="E45">
        <v>4</v>
      </c>
      <c r="F45">
        <v>4</v>
      </c>
      <c r="G45">
        <v>6</v>
      </c>
      <c r="H45">
        <v>2</v>
      </c>
      <c r="I45">
        <v>7</v>
      </c>
      <c r="J45">
        <v>3</v>
      </c>
      <c r="K45">
        <v>3</v>
      </c>
      <c r="L45">
        <v>7</v>
      </c>
      <c r="M45">
        <v>4</v>
      </c>
      <c r="N45">
        <v>4</v>
      </c>
      <c r="O45">
        <v>4</v>
      </c>
      <c r="P45">
        <v>6</v>
      </c>
      <c r="Q45">
        <v>4</v>
      </c>
      <c r="R45">
        <v>3</v>
      </c>
      <c r="S45">
        <v>4</v>
      </c>
      <c r="T45">
        <v>5</v>
      </c>
      <c r="U45">
        <v>6</v>
      </c>
      <c r="V45">
        <v>6</v>
      </c>
      <c r="W45">
        <v>3</v>
      </c>
      <c r="X45">
        <v>7</v>
      </c>
      <c r="Y45">
        <v>8</v>
      </c>
      <c r="Z45">
        <v>4</v>
      </c>
      <c r="AA45">
        <v>1</v>
      </c>
      <c r="AB45">
        <v>3</v>
      </c>
      <c r="AC45">
        <v>7</v>
      </c>
      <c r="AD45">
        <v>7</v>
      </c>
      <c r="AE45">
        <v>2</v>
      </c>
      <c r="AF45">
        <v>6</v>
      </c>
      <c r="AG45">
        <v>5</v>
      </c>
      <c r="AH45">
        <v>4</v>
      </c>
      <c r="AI45">
        <v>9</v>
      </c>
      <c r="AJ45">
        <v>5</v>
      </c>
      <c r="AK45">
        <v>8</v>
      </c>
      <c r="AL45">
        <v>6</v>
      </c>
      <c r="AM45">
        <v>6</v>
      </c>
      <c r="AN45">
        <v>6</v>
      </c>
      <c r="AO45">
        <v>7</v>
      </c>
      <c r="AP45">
        <v>2</v>
      </c>
      <c r="AQ45">
        <v>6</v>
      </c>
      <c r="AR45">
        <v>3</v>
      </c>
      <c r="AS45" s="12">
        <v>9</v>
      </c>
      <c r="AT45">
        <v>3</v>
      </c>
      <c r="AU45">
        <v>10</v>
      </c>
      <c r="AV45">
        <v>4</v>
      </c>
      <c r="AW45">
        <v>4</v>
      </c>
      <c r="AX45">
        <v>6</v>
      </c>
      <c r="AZ45">
        <f>LARGE(B45:AX45,1)</f>
        <v>10</v>
      </c>
      <c r="BA45">
        <f>SMALL(B45:AX45,1)</f>
        <v>1</v>
      </c>
      <c r="EP45">
        <v>2</v>
      </c>
    </row>
    <row r="46" spans="1:146" x14ac:dyDescent="0.25">
      <c r="A46" s="3">
        <v>45</v>
      </c>
      <c r="B46">
        <v>3</v>
      </c>
      <c r="C46">
        <v>2</v>
      </c>
      <c r="D46">
        <v>3</v>
      </c>
      <c r="E46">
        <v>2</v>
      </c>
      <c r="F46">
        <v>6</v>
      </c>
      <c r="G46">
        <v>5</v>
      </c>
      <c r="I46">
        <v>8</v>
      </c>
      <c r="J46">
        <v>1</v>
      </c>
      <c r="K46">
        <v>1</v>
      </c>
      <c r="L46">
        <v>4</v>
      </c>
      <c r="M46">
        <v>6</v>
      </c>
      <c r="N46">
        <v>5</v>
      </c>
      <c r="O46">
        <v>5</v>
      </c>
      <c r="P46">
        <v>3</v>
      </c>
      <c r="Q46">
        <v>5</v>
      </c>
      <c r="R46">
        <v>2</v>
      </c>
      <c r="S46">
        <v>5</v>
      </c>
      <c r="T46">
        <v>4</v>
      </c>
      <c r="U46">
        <v>3</v>
      </c>
      <c r="V46">
        <v>2</v>
      </c>
      <c r="W46">
        <v>6</v>
      </c>
      <c r="X46">
        <v>3</v>
      </c>
      <c r="Y46">
        <v>3</v>
      </c>
      <c r="Z46">
        <v>3</v>
      </c>
      <c r="AA46">
        <v>2</v>
      </c>
      <c r="AB46">
        <v>3</v>
      </c>
      <c r="AC46">
        <v>3</v>
      </c>
      <c r="AD46">
        <v>10</v>
      </c>
      <c r="AE46">
        <v>2</v>
      </c>
      <c r="AF46">
        <v>3</v>
      </c>
      <c r="AG46">
        <v>4</v>
      </c>
      <c r="AH46">
        <v>4</v>
      </c>
      <c r="AI46">
        <v>3</v>
      </c>
      <c r="AJ46">
        <v>2</v>
      </c>
      <c r="AK46">
        <v>4</v>
      </c>
      <c r="AL46">
        <v>1</v>
      </c>
      <c r="AM46">
        <v>5</v>
      </c>
      <c r="AN46">
        <v>1</v>
      </c>
      <c r="AO46">
        <v>2</v>
      </c>
      <c r="AP46">
        <v>5</v>
      </c>
      <c r="AQ46">
        <v>1</v>
      </c>
      <c r="AR46">
        <v>2</v>
      </c>
      <c r="AS46">
        <v>2</v>
      </c>
      <c r="AT46" s="12">
        <v>5</v>
      </c>
      <c r="AU46">
        <v>5</v>
      </c>
      <c r="AV46">
        <v>1</v>
      </c>
      <c r="AW46">
        <v>4</v>
      </c>
      <c r="AX46">
        <v>4</v>
      </c>
      <c r="AZ46">
        <f>LARGE(B46:AX46,1)</f>
        <v>10</v>
      </c>
      <c r="BA46">
        <f>SMALL(B46:AX46,1)</f>
        <v>1</v>
      </c>
    </row>
    <row r="47" spans="1:146" x14ac:dyDescent="0.25">
      <c r="A47" s="3">
        <v>46</v>
      </c>
      <c r="B47">
        <v>7</v>
      </c>
      <c r="C47">
        <v>7</v>
      </c>
      <c r="D47">
        <v>6</v>
      </c>
      <c r="E47">
        <v>7</v>
      </c>
      <c r="F47">
        <v>3</v>
      </c>
      <c r="G47">
        <v>11</v>
      </c>
      <c r="H47">
        <v>5</v>
      </c>
      <c r="I47">
        <v>2</v>
      </c>
      <c r="J47">
        <v>7</v>
      </c>
      <c r="K47">
        <v>7</v>
      </c>
      <c r="L47">
        <v>5</v>
      </c>
      <c r="M47">
        <v>2</v>
      </c>
      <c r="N47">
        <v>10</v>
      </c>
      <c r="O47">
        <v>6</v>
      </c>
      <c r="P47">
        <v>8</v>
      </c>
      <c r="Q47">
        <v>5</v>
      </c>
      <c r="R47">
        <v>6</v>
      </c>
      <c r="S47">
        <v>13</v>
      </c>
      <c r="T47">
        <v>6</v>
      </c>
      <c r="U47">
        <v>4</v>
      </c>
      <c r="V47">
        <v>11</v>
      </c>
      <c r="W47">
        <v>6</v>
      </c>
      <c r="X47">
        <v>6</v>
      </c>
      <c r="Y47">
        <v>12</v>
      </c>
      <c r="Z47">
        <v>8</v>
      </c>
      <c r="AA47">
        <v>5</v>
      </c>
      <c r="AB47">
        <v>9</v>
      </c>
      <c r="AC47">
        <v>6</v>
      </c>
      <c r="AD47">
        <v>7</v>
      </c>
      <c r="AE47">
        <v>5</v>
      </c>
      <c r="AF47">
        <v>10</v>
      </c>
      <c r="AG47">
        <v>4</v>
      </c>
      <c r="AH47">
        <v>5</v>
      </c>
      <c r="AI47">
        <v>6</v>
      </c>
      <c r="AJ47">
        <v>10</v>
      </c>
      <c r="AK47">
        <v>10</v>
      </c>
      <c r="AL47">
        <v>8</v>
      </c>
      <c r="AM47">
        <v>5</v>
      </c>
      <c r="AN47">
        <v>7</v>
      </c>
      <c r="AO47">
        <v>6</v>
      </c>
      <c r="AP47">
        <v>3</v>
      </c>
      <c r="AQ47">
        <v>11</v>
      </c>
      <c r="AR47">
        <v>5</v>
      </c>
      <c r="AS47">
        <v>5</v>
      </c>
      <c r="AT47">
        <v>5</v>
      </c>
      <c r="AU47" s="12">
        <v>8</v>
      </c>
      <c r="AV47">
        <v>7</v>
      </c>
      <c r="AW47">
        <v>8</v>
      </c>
      <c r="AX47">
        <v>11</v>
      </c>
      <c r="AZ47">
        <f>LARGE(B47:AX47,1)</f>
        <v>13</v>
      </c>
      <c r="BA47">
        <f>SMALL(B47:AX47,1)</f>
        <v>2</v>
      </c>
      <c r="EP47">
        <v>2</v>
      </c>
    </row>
    <row r="48" spans="1:146" x14ac:dyDescent="0.25">
      <c r="A48" s="3">
        <v>47</v>
      </c>
      <c r="B48">
        <v>1</v>
      </c>
      <c r="C48">
        <v>6</v>
      </c>
      <c r="D48">
        <v>7</v>
      </c>
      <c r="E48">
        <v>2</v>
      </c>
      <c r="F48">
        <v>3</v>
      </c>
      <c r="G48">
        <v>7</v>
      </c>
      <c r="H48">
        <v>1</v>
      </c>
      <c r="I48">
        <v>5</v>
      </c>
      <c r="J48">
        <v>6</v>
      </c>
      <c r="K48">
        <v>5</v>
      </c>
      <c r="L48">
        <v>6</v>
      </c>
      <c r="M48">
        <v>5</v>
      </c>
      <c r="N48">
        <v>3</v>
      </c>
      <c r="O48">
        <v>4</v>
      </c>
      <c r="P48">
        <v>5</v>
      </c>
      <c r="Q48">
        <v>2</v>
      </c>
      <c r="R48">
        <v>8</v>
      </c>
      <c r="S48">
        <v>4</v>
      </c>
      <c r="T48">
        <v>8</v>
      </c>
      <c r="U48">
        <v>4</v>
      </c>
      <c r="V48">
        <v>2</v>
      </c>
      <c r="W48">
        <v>9</v>
      </c>
      <c r="X48">
        <v>5</v>
      </c>
      <c r="Y48">
        <v>5</v>
      </c>
      <c r="Z48">
        <v>6</v>
      </c>
      <c r="AA48">
        <v>3</v>
      </c>
      <c r="AB48">
        <v>4</v>
      </c>
      <c r="AC48">
        <v>3</v>
      </c>
      <c r="AD48">
        <v>4</v>
      </c>
      <c r="AE48">
        <v>4</v>
      </c>
      <c r="AF48">
        <v>6</v>
      </c>
      <c r="AG48">
        <v>3</v>
      </c>
      <c r="AH48">
        <v>7</v>
      </c>
      <c r="AI48">
        <v>2</v>
      </c>
      <c r="AJ48">
        <v>4</v>
      </c>
      <c r="AK48">
        <v>13</v>
      </c>
      <c r="AL48">
        <v>2</v>
      </c>
      <c r="AM48">
        <v>7</v>
      </c>
      <c r="AN48">
        <v>4</v>
      </c>
      <c r="AO48">
        <v>3</v>
      </c>
      <c r="AP48">
        <v>6</v>
      </c>
      <c r="AQ48">
        <v>2</v>
      </c>
      <c r="AR48">
        <v>3</v>
      </c>
      <c r="AS48">
        <v>5</v>
      </c>
      <c r="AT48">
        <v>3</v>
      </c>
      <c r="AU48">
        <v>9</v>
      </c>
      <c r="AV48" s="12">
        <v>4</v>
      </c>
      <c r="AW48">
        <v>3</v>
      </c>
      <c r="AX48">
        <v>8</v>
      </c>
      <c r="AZ48">
        <f>LARGE(B48:AX48,1)</f>
        <v>13</v>
      </c>
      <c r="BA48">
        <f>SMALL(B48:AX48,1)</f>
        <v>1</v>
      </c>
    </row>
    <row r="49" spans="1:53" x14ac:dyDescent="0.25">
      <c r="A49" s="3">
        <v>48</v>
      </c>
      <c r="B49">
        <v>9</v>
      </c>
      <c r="C49">
        <v>8</v>
      </c>
      <c r="D49">
        <v>11</v>
      </c>
      <c r="E49">
        <v>8</v>
      </c>
      <c r="F49">
        <v>9</v>
      </c>
      <c r="G49">
        <v>8</v>
      </c>
      <c r="H49">
        <v>5</v>
      </c>
      <c r="I49">
        <v>6</v>
      </c>
      <c r="J49">
        <v>14</v>
      </c>
      <c r="K49">
        <v>5</v>
      </c>
      <c r="L49">
        <v>4</v>
      </c>
      <c r="M49">
        <v>6</v>
      </c>
      <c r="N49">
        <v>1</v>
      </c>
      <c r="O49">
        <v>7</v>
      </c>
      <c r="P49">
        <v>5</v>
      </c>
      <c r="Q49">
        <v>3</v>
      </c>
      <c r="R49">
        <v>8</v>
      </c>
      <c r="S49">
        <v>2</v>
      </c>
      <c r="T49">
        <v>5</v>
      </c>
      <c r="U49">
        <v>9</v>
      </c>
      <c r="V49">
        <v>6</v>
      </c>
      <c r="W49">
        <v>8</v>
      </c>
      <c r="X49">
        <v>9</v>
      </c>
      <c r="Y49">
        <v>9</v>
      </c>
      <c r="Z49">
        <v>6</v>
      </c>
      <c r="AA49">
        <v>8</v>
      </c>
      <c r="AB49">
        <v>10</v>
      </c>
      <c r="AC49">
        <v>11</v>
      </c>
      <c r="AD49">
        <v>2</v>
      </c>
      <c r="AE49">
        <v>4</v>
      </c>
      <c r="AF49">
        <v>5</v>
      </c>
      <c r="AG49">
        <v>6</v>
      </c>
      <c r="AH49">
        <v>5</v>
      </c>
      <c r="AI49">
        <v>6</v>
      </c>
      <c r="AJ49">
        <v>3</v>
      </c>
      <c r="AK49">
        <v>9</v>
      </c>
      <c r="AL49">
        <v>8</v>
      </c>
      <c r="AM49">
        <v>1</v>
      </c>
      <c r="AN49">
        <v>3</v>
      </c>
      <c r="AO49">
        <v>7</v>
      </c>
      <c r="AP49">
        <v>5</v>
      </c>
      <c r="AQ49">
        <v>4</v>
      </c>
      <c r="AR49">
        <v>3</v>
      </c>
      <c r="AS49">
        <v>5</v>
      </c>
      <c r="AT49">
        <v>3</v>
      </c>
      <c r="AU49">
        <v>11</v>
      </c>
      <c r="AV49">
        <v>5</v>
      </c>
      <c r="AW49" s="12">
        <v>7</v>
      </c>
      <c r="AX49">
        <v>6</v>
      </c>
      <c r="AZ49">
        <f>LARGE(B49:AX49,1)</f>
        <v>14</v>
      </c>
      <c r="BA49">
        <f>SMALL(B49:AX49,1)</f>
        <v>1</v>
      </c>
    </row>
    <row r="50" spans="1:53" x14ac:dyDescent="0.25">
      <c r="A50" s="3">
        <v>49</v>
      </c>
      <c r="B50">
        <v>7</v>
      </c>
      <c r="C50">
        <v>4</v>
      </c>
      <c r="D50">
        <v>6</v>
      </c>
      <c r="E50">
        <v>7</v>
      </c>
      <c r="F50">
        <v>6</v>
      </c>
      <c r="G50">
        <v>6</v>
      </c>
      <c r="H50">
        <v>7</v>
      </c>
      <c r="I50">
        <v>11</v>
      </c>
      <c r="J50">
        <v>3</v>
      </c>
      <c r="K50">
        <v>4</v>
      </c>
      <c r="L50">
        <v>6</v>
      </c>
      <c r="M50">
        <v>7</v>
      </c>
      <c r="N50">
        <v>4</v>
      </c>
      <c r="O50">
        <v>6</v>
      </c>
      <c r="P50">
        <v>5</v>
      </c>
      <c r="Q50">
        <v>5</v>
      </c>
      <c r="R50">
        <v>3</v>
      </c>
      <c r="S50">
        <v>8</v>
      </c>
      <c r="T50">
        <v>6</v>
      </c>
      <c r="U50">
        <v>11</v>
      </c>
      <c r="V50">
        <v>8</v>
      </c>
      <c r="W50">
        <v>7</v>
      </c>
      <c r="X50">
        <v>6</v>
      </c>
      <c r="Y50">
        <v>7</v>
      </c>
      <c r="Z50">
        <v>5</v>
      </c>
      <c r="AA50">
        <v>6</v>
      </c>
      <c r="AB50">
        <v>3</v>
      </c>
      <c r="AC50">
        <v>10</v>
      </c>
      <c r="AD50">
        <v>8</v>
      </c>
      <c r="AE50">
        <v>4</v>
      </c>
      <c r="AF50">
        <v>4</v>
      </c>
      <c r="AG50">
        <v>2</v>
      </c>
      <c r="AH50">
        <v>9</v>
      </c>
      <c r="AI50">
        <v>6</v>
      </c>
      <c r="AJ50">
        <v>6</v>
      </c>
      <c r="AK50">
        <v>4</v>
      </c>
      <c r="AL50">
        <v>4</v>
      </c>
      <c r="AM50">
        <v>6</v>
      </c>
      <c r="AN50">
        <v>9</v>
      </c>
      <c r="AO50">
        <v>9</v>
      </c>
      <c r="AP50">
        <v>8</v>
      </c>
      <c r="AQ50">
        <v>6</v>
      </c>
      <c r="AR50">
        <v>7</v>
      </c>
      <c r="AS50">
        <v>5</v>
      </c>
      <c r="AT50">
        <v>1</v>
      </c>
      <c r="AU50">
        <v>7</v>
      </c>
      <c r="AV50">
        <v>4</v>
      </c>
      <c r="AW50">
        <v>5</v>
      </c>
      <c r="AX50" s="12">
        <v>6</v>
      </c>
      <c r="AZ50">
        <f>LARGE(B50:AX50,1)</f>
        <v>11</v>
      </c>
      <c r="BA50">
        <f>SMALL(B50:AX50,1)</f>
        <v>1</v>
      </c>
    </row>
    <row r="146" spans="3:47" x14ac:dyDescent="0.25">
      <c r="C146">
        <v>2</v>
      </c>
      <c r="J146">
        <v>2</v>
      </c>
      <c r="P146">
        <v>2</v>
      </c>
      <c r="R146">
        <v>2</v>
      </c>
      <c r="W146">
        <v>2</v>
      </c>
      <c r="AS146">
        <v>2</v>
      </c>
      <c r="AU146">
        <v>2</v>
      </c>
    </row>
  </sheetData>
  <conditionalFormatting sqref="B2:AX50">
    <cfRule type="cellIs" dxfId="3" priority="1" operator="equal">
      <formula>$BA2</formula>
    </cfRule>
    <cfRule type="cellIs" dxfId="2" priority="2" operator="equal">
      <formula>$AZ2</formula>
    </cfRule>
    <cfRule type="cellIs" dxfId="1" priority="3" operator="equal">
      <formula>0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Q38"/>
  <sheetViews>
    <sheetView workbookViewId="0">
      <selection activeCell="AZ24" sqref="AZ24"/>
    </sheetView>
  </sheetViews>
  <sheetFormatPr defaultRowHeight="15" x14ac:dyDescent="0.25"/>
  <cols>
    <col min="1" max="1" width="9.5703125" style="2" bestFit="1" customWidth="1"/>
    <col min="2" max="2" width="3" bestFit="1" customWidth="1"/>
    <col min="3" max="51" width="2.85546875" customWidth="1"/>
    <col min="53" max="53" width="12.42578125" customWidth="1"/>
    <col min="54" max="54" width="9.42578125" customWidth="1"/>
  </cols>
  <sheetData>
    <row r="1" spans="1:147" s="3" customFormat="1" x14ac:dyDescent="0.25">
      <c r="A1" s="2" t="s">
        <v>394</v>
      </c>
      <c r="C1" s="3">
        <v>1</v>
      </c>
      <c r="D1" s="3">
        <v>2</v>
      </c>
      <c r="E1" s="3">
        <v>3</v>
      </c>
      <c r="F1" s="3">
        <v>4</v>
      </c>
      <c r="G1" s="3">
        <v>5</v>
      </c>
      <c r="H1" s="3">
        <v>6</v>
      </c>
      <c r="I1" s="3">
        <v>7</v>
      </c>
      <c r="J1" s="3">
        <v>8</v>
      </c>
      <c r="K1" s="3">
        <v>9</v>
      </c>
      <c r="L1" s="3">
        <v>10</v>
      </c>
      <c r="M1" s="3">
        <v>11</v>
      </c>
      <c r="N1" s="3">
        <v>12</v>
      </c>
      <c r="O1" s="3">
        <v>13</v>
      </c>
      <c r="P1" s="3">
        <v>14</v>
      </c>
      <c r="Q1" s="3">
        <v>15</v>
      </c>
      <c r="R1" s="3">
        <v>16</v>
      </c>
      <c r="S1" s="3">
        <v>17</v>
      </c>
      <c r="T1" s="3">
        <v>18</v>
      </c>
      <c r="U1" s="3">
        <v>19</v>
      </c>
      <c r="V1" s="3">
        <v>20</v>
      </c>
      <c r="W1" s="3">
        <v>21</v>
      </c>
      <c r="X1" s="3">
        <v>22</v>
      </c>
      <c r="Y1" s="3">
        <v>23</v>
      </c>
      <c r="Z1" s="3">
        <v>24</v>
      </c>
      <c r="AA1" s="3">
        <v>25</v>
      </c>
      <c r="AB1" s="3">
        <v>26</v>
      </c>
      <c r="AC1" s="3">
        <v>27</v>
      </c>
      <c r="AD1" s="3">
        <v>28</v>
      </c>
      <c r="AE1" s="3">
        <v>29</v>
      </c>
      <c r="AF1" s="3">
        <v>30</v>
      </c>
      <c r="AG1" s="3">
        <v>31</v>
      </c>
      <c r="AH1" s="3">
        <v>32</v>
      </c>
      <c r="AI1" s="3">
        <v>33</v>
      </c>
      <c r="AJ1" s="3">
        <v>34</v>
      </c>
      <c r="AK1" s="3">
        <v>35</v>
      </c>
      <c r="AL1" s="3">
        <v>36</v>
      </c>
      <c r="AM1" s="3">
        <v>37</v>
      </c>
      <c r="AN1" s="3">
        <v>38</v>
      </c>
      <c r="AO1" s="3">
        <v>39</v>
      </c>
      <c r="AP1" s="3">
        <v>40</v>
      </c>
      <c r="AQ1" s="3">
        <v>41</v>
      </c>
      <c r="AR1" s="3">
        <v>42</v>
      </c>
      <c r="AS1" s="3">
        <v>43</v>
      </c>
      <c r="AT1" s="3">
        <v>44</v>
      </c>
      <c r="AU1" s="3">
        <v>45</v>
      </c>
      <c r="AV1" s="3">
        <v>46</v>
      </c>
      <c r="AW1" s="3">
        <v>47</v>
      </c>
      <c r="AX1" s="3">
        <v>48</v>
      </c>
      <c r="AY1" s="3">
        <v>49</v>
      </c>
      <c r="BA1" s="6">
        <v>41995</v>
      </c>
      <c r="BB1" s="7">
        <v>12</v>
      </c>
    </row>
    <row r="2" spans="1:147" x14ac:dyDescent="0.25">
      <c r="A2" s="2" t="s">
        <v>395</v>
      </c>
      <c r="C2">
        <v>4</v>
      </c>
      <c r="D2">
        <v>4</v>
      </c>
      <c r="E2">
        <v>4</v>
      </c>
      <c r="F2">
        <v>4</v>
      </c>
      <c r="G2">
        <v>5</v>
      </c>
      <c r="H2">
        <v>6</v>
      </c>
      <c r="I2">
        <v>5</v>
      </c>
      <c r="J2">
        <v>3</v>
      </c>
      <c r="K2">
        <v>3</v>
      </c>
      <c r="M2">
        <v>2</v>
      </c>
      <c r="N2">
        <v>3</v>
      </c>
      <c r="O2">
        <v>2</v>
      </c>
      <c r="P2">
        <v>1</v>
      </c>
      <c r="Q2">
        <v>3</v>
      </c>
      <c r="R2">
        <v>5</v>
      </c>
      <c r="S2">
        <v>3</v>
      </c>
      <c r="T2">
        <v>4</v>
      </c>
      <c r="U2">
        <v>2</v>
      </c>
      <c r="V2">
        <v>5</v>
      </c>
      <c r="W2">
        <v>8</v>
      </c>
      <c r="X2">
        <v>6</v>
      </c>
      <c r="Y2">
        <v>3</v>
      </c>
      <c r="Z2">
        <v>3</v>
      </c>
      <c r="AA2">
        <v>5</v>
      </c>
      <c r="AB2">
        <v>1</v>
      </c>
      <c r="AC2">
        <v>3</v>
      </c>
      <c r="AD2">
        <v>4</v>
      </c>
      <c r="AE2">
        <v>2</v>
      </c>
      <c r="AF2">
        <v>2</v>
      </c>
      <c r="AG2">
        <v>5</v>
      </c>
      <c r="AH2">
        <v>4</v>
      </c>
      <c r="AI2">
        <v>7</v>
      </c>
      <c r="AJ2">
        <v>3</v>
      </c>
      <c r="AK2">
        <v>4</v>
      </c>
      <c r="AL2">
        <v>3</v>
      </c>
      <c r="AM2">
        <v>4</v>
      </c>
      <c r="AN2">
        <v>3</v>
      </c>
      <c r="AO2">
        <v>3</v>
      </c>
      <c r="AP2">
        <v>6</v>
      </c>
      <c r="AQ2">
        <v>3</v>
      </c>
      <c r="AR2">
        <v>3</v>
      </c>
      <c r="AS2">
        <v>4</v>
      </c>
      <c r="AT2">
        <v>3</v>
      </c>
      <c r="AU2">
        <v>3</v>
      </c>
      <c r="AV2">
        <v>4</v>
      </c>
      <c r="AW2">
        <v>2</v>
      </c>
      <c r="AX2">
        <v>6</v>
      </c>
      <c r="AY2">
        <v>7</v>
      </c>
      <c r="BA2" s="5">
        <f ca="1">TODAY()</f>
        <v>42902</v>
      </c>
      <c r="BB2">
        <v>6</v>
      </c>
    </row>
    <row r="3" spans="1:147" x14ac:dyDescent="0.25">
      <c r="A3" s="2" t="s">
        <v>396</v>
      </c>
      <c r="C3">
        <v>1</v>
      </c>
      <c r="D3">
        <v>6</v>
      </c>
      <c r="E3">
        <v>4</v>
      </c>
      <c r="F3">
        <v>1</v>
      </c>
      <c r="G3">
        <v>2</v>
      </c>
      <c r="H3">
        <v>3</v>
      </c>
      <c r="I3">
        <v>6</v>
      </c>
      <c r="J3">
        <v>7</v>
      </c>
      <c r="K3">
        <v>3</v>
      </c>
      <c r="L3">
        <v>4</v>
      </c>
      <c r="M3">
        <v>3</v>
      </c>
      <c r="N3">
        <v>1</v>
      </c>
      <c r="O3">
        <v>5</v>
      </c>
      <c r="P3">
        <v>5</v>
      </c>
      <c r="Q3">
        <v>2</v>
      </c>
      <c r="R3">
        <v>2</v>
      </c>
      <c r="S3">
        <v>7</v>
      </c>
      <c r="T3">
        <v>5</v>
      </c>
      <c r="U3">
        <v>3</v>
      </c>
      <c r="V3">
        <v>3</v>
      </c>
      <c r="W3">
        <v>6</v>
      </c>
      <c r="X3">
        <v>6</v>
      </c>
      <c r="Y3">
        <v>7</v>
      </c>
      <c r="Z3">
        <v>4</v>
      </c>
      <c r="AA3">
        <v>3</v>
      </c>
      <c r="AB3">
        <v>3</v>
      </c>
      <c r="AC3">
        <v>3</v>
      </c>
      <c r="AD3">
        <v>3</v>
      </c>
      <c r="AE3">
        <v>7</v>
      </c>
      <c r="AF3">
        <v>1</v>
      </c>
      <c r="AG3">
        <v>5</v>
      </c>
      <c r="AH3">
        <v>3</v>
      </c>
      <c r="AI3">
        <v>2</v>
      </c>
      <c r="AJ3">
        <v>2</v>
      </c>
      <c r="AK3">
        <v>2</v>
      </c>
      <c r="AL3">
        <v>4</v>
      </c>
      <c r="AM3">
        <v>4</v>
      </c>
      <c r="AN3">
        <v>1</v>
      </c>
      <c r="AO3">
        <v>5</v>
      </c>
      <c r="AP3">
        <v>2</v>
      </c>
      <c r="AQ3">
        <v>3</v>
      </c>
      <c r="AR3">
        <v>4</v>
      </c>
      <c r="AS3">
        <v>2</v>
      </c>
      <c r="AT3">
        <v>2</v>
      </c>
      <c r="AU3">
        <v>2</v>
      </c>
      <c r="AV3">
        <v>5</v>
      </c>
      <c r="AW3">
        <v>2</v>
      </c>
      <c r="AX3">
        <v>3</v>
      </c>
      <c r="AY3">
        <v>6</v>
      </c>
    </row>
    <row r="4" spans="1:147" x14ac:dyDescent="0.25">
      <c r="A4" s="2" t="s">
        <v>397</v>
      </c>
      <c r="C4">
        <v>2</v>
      </c>
      <c r="D4">
        <v>3</v>
      </c>
      <c r="E4">
        <v>4</v>
      </c>
      <c r="F4">
        <v>2</v>
      </c>
      <c r="G4">
        <v>4</v>
      </c>
      <c r="H4">
        <v>5</v>
      </c>
      <c r="I4">
        <v>2</v>
      </c>
      <c r="J4">
        <v>4</v>
      </c>
      <c r="K4">
        <v>7</v>
      </c>
      <c r="L4">
        <v>4</v>
      </c>
      <c r="M4">
        <v>3</v>
      </c>
      <c r="N4">
        <v>4</v>
      </c>
      <c r="O4">
        <v>3</v>
      </c>
      <c r="P4">
        <v>4</v>
      </c>
      <c r="Q4">
        <v>4</v>
      </c>
      <c r="R4">
        <v>2</v>
      </c>
      <c r="S4">
        <v>1</v>
      </c>
      <c r="T4">
        <v>2</v>
      </c>
      <c r="U4">
        <v>3</v>
      </c>
      <c r="V4">
        <v>9</v>
      </c>
      <c r="W4">
        <v>3</v>
      </c>
      <c r="X4">
        <v>2</v>
      </c>
      <c r="Y4">
        <v>1</v>
      </c>
      <c r="Z4">
        <v>4</v>
      </c>
      <c r="AA4">
        <v>4</v>
      </c>
      <c r="AB4">
        <v>2</v>
      </c>
      <c r="AC4">
        <v>2</v>
      </c>
      <c r="AD4">
        <v>7</v>
      </c>
      <c r="AE4">
        <v>4</v>
      </c>
      <c r="AF4">
        <v>6</v>
      </c>
      <c r="AG4">
        <v>3</v>
      </c>
      <c r="AH4">
        <v>2</v>
      </c>
      <c r="AI4">
        <v>9</v>
      </c>
      <c r="AJ4">
        <v>2</v>
      </c>
      <c r="AK4">
        <v>5</v>
      </c>
      <c r="AL4">
        <v>6</v>
      </c>
      <c r="AM4">
        <v>1</v>
      </c>
      <c r="AN4">
        <v>8</v>
      </c>
      <c r="AO4">
        <v>8</v>
      </c>
      <c r="AP4">
        <v>2</v>
      </c>
      <c r="AQ4">
        <v>5</v>
      </c>
      <c r="AR4">
        <v>3</v>
      </c>
      <c r="AS4">
        <v>3</v>
      </c>
      <c r="AT4">
        <v>6</v>
      </c>
      <c r="AU4">
        <v>5</v>
      </c>
      <c r="AV4">
        <v>3</v>
      </c>
      <c r="AW4">
        <v>8</v>
      </c>
      <c r="AY4">
        <v>3</v>
      </c>
    </row>
    <row r="5" spans="1:147" x14ac:dyDescent="0.25">
      <c r="A5" s="2" t="s">
        <v>398</v>
      </c>
      <c r="C5">
        <v>4</v>
      </c>
      <c r="D5">
        <v>4</v>
      </c>
      <c r="E5">
        <v>7</v>
      </c>
      <c r="F5">
        <v>4</v>
      </c>
      <c r="H5">
        <v>3</v>
      </c>
      <c r="I5">
        <v>4</v>
      </c>
      <c r="J5">
        <v>1</v>
      </c>
      <c r="K5">
        <v>4</v>
      </c>
      <c r="L5">
        <v>2</v>
      </c>
      <c r="M5">
        <v>2</v>
      </c>
      <c r="N5">
        <v>6</v>
      </c>
      <c r="O5">
        <v>4</v>
      </c>
      <c r="P5">
        <v>3</v>
      </c>
      <c r="Q5">
        <v>3</v>
      </c>
      <c r="R5">
        <v>3</v>
      </c>
      <c r="S5">
        <v>2</v>
      </c>
      <c r="T5">
        <v>3</v>
      </c>
      <c r="U5">
        <v>4</v>
      </c>
      <c r="V5">
        <v>3</v>
      </c>
      <c r="W5">
        <v>3</v>
      </c>
      <c r="X5">
        <v>5</v>
      </c>
      <c r="Y5">
        <v>2</v>
      </c>
      <c r="Z5">
        <v>1</v>
      </c>
      <c r="AA5">
        <v>5</v>
      </c>
      <c r="AB5">
        <v>3</v>
      </c>
      <c r="AC5">
        <v>3</v>
      </c>
      <c r="AD5">
        <v>7</v>
      </c>
      <c r="AE5">
        <v>3</v>
      </c>
      <c r="AF5">
        <v>6</v>
      </c>
      <c r="AG5">
        <v>8</v>
      </c>
      <c r="AH5">
        <v>8</v>
      </c>
      <c r="AI5">
        <v>1</v>
      </c>
      <c r="AJ5">
        <v>3</v>
      </c>
      <c r="AK5">
        <v>2</v>
      </c>
      <c r="AL5">
        <v>4</v>
      </c>
      <c r="AM5">
        <v>3</v>
      </c>
      <c r="AN5">
        <v>3</v>
      </c>
      <c r="AO5">
        <v>1</v>
      </c>
      <c r="AP5">
        <v>4</v>
      </c>
      <c r="AQ5">
        <v>1</v>
      </c>
      <c r="AR5">
        <v>5</v>
      </c>
      <c r="AS5">
        <v>4</v>
      </c>
      <c r="AT5">
        <v>1</v>
      </c>
      <c r="AU5">
        <v>2</v>
      </c>
      <c r="AV5">
        <v>4</v>
      </c>
      <c r="AW5">
        <v>2</v>
      </c>
      <c r="AX5">
        <v>5</v>
      </c>
      <c r="AY5">
        <v>3</v>
      </c>
    </row>
    <row r="6" spans="1:147" x14ac:dyDescent="0.25">
      <c r="A6" s="2" t="s">
        <v>399</v>
      </c>
      <c r="C6">
        <v>4</v>
      </c>
      <c r="D6">
        <v>1</v>
      </c>
      <c r="E6">
        <v>2</v>
      </c>
      <c r="F6">
        <v>4</v>
      </c>
      <c r="G6">
        <v>3</v>
      </c>
      <c r="H6">
        <v>5</v>
      </c>
      <c r="I6">
        <v>4</v>
      </c>
      <c r="J6">
        <v>9</v>
      </c>
      <c r="K6">
        <v>3</v>
      </c>
      <c r="L6">
        <v>2</v>
      </c>
      <c r="M6">
        <v>2</v>
      </c>
      <c r="N6">
        <v>5</v>
      </c>
      <c r="O6">
        <v>5</v>
      </c>
      <c r="P6">
        <v>5</v>
      </c>
      <c r="Q6">
        <v>3</v>
      </c>
      <c r="R6">
        <v>3</v>
      </c>
      <c r="S6">
        <v>7</v>
      </c>
      <c r="T6">
        <v>1</v>
      </c>
      <c r="U6">
        <v>5</v>
      </c>
      <c r="V6">
        <v>5</v>
      </c>
      <c r="W6">
        <v>3</v>
      </c>
      <c r="X6">
        <v>3</v>
      </c>
      <c r="Y6">
        <v>7</v>
      </c>
      <c r="Z6">
        <v>9</v>
      </c>
      <c r="AA6">
        <v>2</v>
      </c>
      <c r="AB6">
        <v>5</v>
      </c>
      <c r="AC6">
        <v>3</v>
      </c>
      <c r="AE6">
        <v>3</v>
      </c>
      <c r="AF6">
        <v>2</v>
      </c>
      <c r="AG6">
        <v>4</v>
      </c>
      <c r="AH6">
        <v>6</v>
      </c>
      <c r="AI6">
        <v>4</v>
      </c>
      <c r="AJ6">
        <v>2</v>
      </c>
      <c r="AK6">
        <v>2</v>
      </c>
      <c r="AL6">
        <v>5</v>
      </c>
      <c r="AM6">
        <v>1</v>
      </c>
      <c r="AN6">
        <v>2</v>
      </c>
      <c r="AO6">
        <v>2</v>
      </c>
      <c r="AP6">
        <v>2</v>
      </c>
      <c r="AQ6">
        <v>3</v>
      </c>
      <c r="AR6">
        <v>3</v>
      </c>
      <c r="AS6">
        <v>5</v>
      </c>
      <c r="AT6">
        <v>3</v>
      </c>
      <c r="AU6">
        <v>7</v>
      </c>
      <c r="AV6">
        <v>4</v>
      </c>
      <c r="AW6">
        <v>4</v>
      </c>
      <c r="AX6">
        <v>5</v>
      </c>
      <c r="AY6">
        <v>3</v>
      </c>
      <c r="EQ6">
        <v>2</v>
      </c>
    </row>
    <row r="7" spans="1:147" x14ac:dyDescent="0.25">
      <c r="A7" s="2" t="s">
        <v>400</v>
      </c>
      <c r="C7">
        <v>4</v>
      </c>
      <c r="D7">
        <v>3</v>
      </c>
      <c r="E7">
        <v>3</v>
      </c>
      <c r="F7">
        <v>1</v>
      </c>
      <c r="G7">
        <v>5</v>
      </c>
      <c r="H7">
        <v>3</v>
      </c>
      <c r="I7">
        <v>3</v>
      </c>
      <c r="J7">
        <v>3</v>
      </c>
      <c r="K7">
        <v>5</v>
      </c>
      <c r="L7">
        <v>1</v>
      </c>
      <c r="M7">
        <v>3</v>
      </c>
      <c r="N7">
        <v>4</v>
      </c>
      <c r="O7">
        <v>1</v>
      </c>
      <c r="P7">
        <v>5</v>
      </c>
      <c r="Q7">
        <v>7</v>
      </c>
      <c r="R7">
        <v>3</v>
      </c>
      <c r="S7">
        <v>1</v>
      </c>
      <c r="T7">
        <v>5</v>
      </c>
      <c r="U7">
        <v>3</v>
      </c>
      <c r="V7">
        <v>7</v>
      </c>
      <c r="W7">
        <v>6</v>
      </c>
      <c r="X7">
        <v>5</v>
      </c>
      <c r="Y7">
        <v>5</v>
      </c>
      <c r="Z7">
        <v>3</v>
      </c>
      <c r="AA7">
        <v>2</v>
      </c>
      <c r="AB7">
        <v>3</v>
      </c>
      <c r="AC7">
        <v>2</v>
      </c>
      <c r="AD7">
        <v>3</v>
      </c>
      <c r="AE7">
        <v>5</v>
      </c>
      <c r="AF7">
        <v>2</v>
      </c>
      <c r="AG7">
        <v>4</v>
      </c>
      <c r="AH7">
        <v>2</v>
      </c>
      <c r="AI7">
        <v>2</v>
      </c>
      <c r="AJ7">
        <v>2</v>
      </c>
      <c r="AK7">
        <v>4</v>
      </c>
      <c r="AL7">
        <v>5</v>
      </c>
      <c r="AM7">
        <v>1</v>
      </c>
      <c r="AN7">
        <v>4</v>
      </c>
      <c r="AO7">
        <v>4</v>
      </c>
      <c r="AP7">
        <v>3</v>
      </c>
      <c r="AQ7">
        <v>3</v>
      </c>
      <c r="AR7">
        <v>3</v>
      </c>
      <c r="AS7">
        <v>2</v>
      </c>
      <c r="AT7">
        <v>4</v>
      </c>
      <c r="AV7">
        <v>5</v>
      </c>
      <c r="AW7">
        <v>4</v>
      </c>
      <c r="AX7">
        <v>1</v>
      </c>
      <c r="AY7">
        <v>2</v>
      </c>
    </row>
    <row r="8" spans="1:147" x14ac:dyDescent="0.25">
      <c r="A8" s="2" t="s">
        <v>401</v>
      </c>
      <c r="C8">
        <v>1</v>
      </c>
      <c r="D8">
        <v>4</v>
      </c>
      <c r="E8">
        <v>1</v>
      </c>
      <c r="F8">
        <v>3</v>
      </c>
      <c r="G8">
        <v>2</v>
      </c>
      <c r="H8">
        <v>6</v>
      </c>
      <c r="I8">
        <v>3</v>
      </c>
      <c r="J8">
        <v>2</v>
      </c>
      <c r="K8">
        <v>3</v>
      </c>
      <c r="L8">
        <v>2</v>
      </c>
      <c r="M8">
        <v>3</v>
      </c>
      <c r="N8">
        <v>1</v>
      </c>
      <c r="O8">
        <v>4</v>
      </c>
      <c r="P8">
        <v>2</v>
      </c>
      <c r="Q8">
        <v>2</v>
      </c>
      <c r="R8">
        <v>2</v>
      </c>
      <c r="S8">
        <v>1</v>
      </c>
      <c r="T8">
        <v>4</v>
      </c>
      <c r="U8">
        <v>3</v>
      </c>
      <c r="W8">
        <v>5</v>
      </c>
      <c r="X8">
        <v>3</v>
      </c>
      <c r="Z8">
        <v>2</v>
      </c>
      <c r="AA8">
        <v>2</v>
      </c>
      <c r="AB8">
        <v>4</v>
      </c>
      <c r="AC8">
        <v>3</v>
      </c>
      <c r="AD8">
        <v>1</v>
      </c>
      <c r="AE8">
        <v>1</v>
      </c>
      <c r="AF8">
        <v>4</v>
      </c>
      <c r="AG8">
        <v>3</v>
      </c>
      <c r="AH8">
        <v>2</v>
      </c>
      <c r="AI8">
        <v>2</v>
      </c>
      <c r="AJ8">
        <v>4</v>
      </c>
      <c r="AK8">
        <v>4</v>
      </c>
      <c r="AL8">
        <v>2</v>
      </c>
      <c r="AM8">
        <v>3</v>
      </c>
      <c r="AN8">
        <v>2</v>
      </c>
      <c r="AO8">
        <v>1</v>
      </c>
      <c r="AP8">
        <v>2</v>
      </c>
      <c r="AR8">
        <v>4</v>
      </c>
      <c r="AS8">
        <v>2</v>
      </c>
      <c r="AT8">
        <v>4</v>
      </c>
      <c r="AV8">
        <v>4</v>
      </c>
      <c r="AX8">
        <v>2</v>
      </c>
      <c r="AY8">
        <v>4</v>
      </c>
    </row>
    <row r="9" spans="1:147" x14ac:dyDescent="0.25">
      <c r="A9" s="2" t="s">
        <v>402</v>
      </c>
      <c r="C9">
        <v>3</v>
      </c>
      <c r="D9">
        <v>2</v>
      </c>
      <c r="E9">
        <v>2</v>
      </c>
      <c r="F9">
        <v>1</v>
      </c>
      <c r="G9">
        <v>3</v>
      </c>
      <c r="H9">
        <v>4</v>
      </c>
      <c r="I9">
        <v>2</v>
      </c>
      <c r="J9">
        <v>6</v>
      </c>
      <c r="K9">
        <v>2</v>
      </c>
      <c r="L9">
        <v>3</v>
      </c>
      <c r="M9">
        <v>5</v>
      </c>
      <c r="N9">
        <v>3</v>
      </c>
      <c r="O9">
        <v>2</v>
      </c>
      <c r="P9">
        <v>2</v>
      </c>
      <c r="Q9">
        <v>1</v>
      </c>
      <c r="R9">
        <v>2</v>
      </c>
      <c r="T9">
        <v>4</v>
      </c>
      <c r="U9">
        <v>4</v>
      </c>
      <c r="V9">
        <v>2</v>
      </c>
      <c r="W9">
        <v>4</v>
      </c>
      <c r="X9">
        <v>2</v>
      </c>
      <c r="Y9">
        <v>6</v>
      </c>
      <c r="Z9">
        <v>2</v>
      </c>
      <c r="AA9">
        <v>3</v>
      </c>
      <c r="AB9">
        <v>3</v>
      </c>
      <c r="AC9">
        <v>2</v>
      </c>
      <c r="AE9">
        <v>4</v>
      </c>
      <c r="AF9">
        <v>1</v>
      </c>
      <c r="AG9">
        <v>3</v>
      </c>
      <c r="AH9">
        <v>2</v>
      </c>
      <c r="AI9">
        <v>3</v>
      </c>
      <c r="AJ9">
        <v>3</v>
      </c>
      <c r="AK9">
        <v>3</v>
      </c>
      <c r="AL9">
        <v>4</v>
      </c>
      <c r="AM9">
        <v>3</v>
      </c>
      <c r="AN9">
        <v>4</v>
      </c>
      <c r="AO9">
        <v>1</v>
      </c>
      <c r="AP9">
        <v>3</v>
      </c>
      <c r="AQ9">
        <v>3</v>
      </c>
      <c r="AR9">
        <v>2</v>
      </c>
      <c r="AT9">
        <v>2</v>
      </c>
      <c r="AU9">
        <v>2</v>
      </c>
      <c r="AV9">
        <v>1</v>
      </c>
      <c r="AX9">
        <v>5</v>
      </c>
      <c r="AY9">
        <v>2</v>
      </c>
    </row>
    <row r="10" spans="1:147" x14ac:dyDescent="0.25">
      <c r="A10" s="2" t="s">
        <v>403</v>
      </c>
      <c r="C10">
        <v>3</v>
      </c>
      <c r="D10">
        <v>1</v>
      </c>
      <c r="E10">
        <v>6</v>
      </c>
      <c r="F10">
        <v>3</v>
      </c>
      <c r="G10">
        <v>2</v>
      </c>
      <c r="H10">
        <v>2</v>
      </c>
      <c r="I10">
        <v>1</v>
      </c>
      <c r="J10">
        <v>5</v>
      </c>
      <c r="K10">
        <v>4</v>
      </c>
      <c r="L10">
        <v>3</v>
      </c>
      <c r="M10">
        <v>3</v>
      </c>
      <c r="N10">
        <v>4</v>
      </c>
      <c r="O10">
        <v>2</v>
      </c>
      <c r="P10">
        <v>3</v>
      </c>
      <c r="Q10">
        <v>3</v>
      </c>
      <c r="R10">
        <v>2</v>
      </c>
      <c r="S10">
        <v>2</v>
      </c>
      <c r="T10">
        <v>1</v>
      </c>
      <c r="U10">
        <v>2</v>
      </c>
      <c r="V10">
        <v>2</v>
      </c>
      <c r="W10">
        <v>2</v>
      </c>
      <c r="X10">
        <v>1</v>
      </c>
      <c r="Y10">
        <v>1</v>
      </c>
      <c r="Z10">
        <v>4</v>
      </c>
      <c r="AA10">
        <v>4</v>
      </c>
      <c r="AB10">
        <v>3</v>
      </c>
      <c r="AC10">
        <v>3</v>
      </c>
      <c r="AD10">
        <v>4</v>
      </c>
      <c r="AE10">
        <v>2</v>
      </c>
      <c r="AF10">
        <v>2</v>
      </c>
      <c r="AG10">
        <v>5</v>
      </c>
      <c r="AH10">
        <v>3</v>
      </c>
      <c r="AI10">
        <v>2</v>
      </c>
      <c r="AJ10">
        <v>2</v>
      </c>
      <c r="AK10">
        <v>3</v>
      </c>
      <c r="AM10">
        <v>1</v>
      </c>
      <c r="AN10">
        <v>2</v>
      </c>
      <c r="AO10">
        <v>1</v>
      </c>
      <c r="AP10">
        <v>4</v>
      </c>
      <c r="AQ10">
        <v>4</v>
      </c>
      <c r="AU10">
        <v>1</v>
      </c>
      <c r="AV10">
        <v>1</v>
      </c>
      <c r="AW10">
        <v>3</v>
      </c>
      <c r="AX10">
        <v>5</v>
      </c>
      <c r="AY10">
        <v>2</v>
      </c>
    </row>
    <row r="11" spans="1:147" x14ac:dyDescent="0.25">
      <c r="A11" s="2" t="s">
        <v>404</v>
      </c>
      <c r="C11">
        <v>2</v>
      </c>
      <c r="D11">
        <v>2</v>
      </c>
      <c r="E11">
        <v>4</v>
      </c>
      <c r="F11">
        <v>1</v>
      </c>
      <c r="G11">
        <v>4</v>
      </c>
      <c r="H11">
        <v>5</v>
      </c>
      <c r="I11">
        <v>4</v>
      </c>
      <c r="J11">
        <v>3</v>
      </c>
      <c r="K11">
        <v>3</v>
      </c>
      <c r="L11">
        <v>1</v>
      </c>
      <c r="M11">
        <v>1</v>
      </c>
      <c r="O11">
        <v>3</v>
      </c>
      <c r="P11">
        <v>4</v>
      </c>
      <c r="Q11">
        <v>3</v>
      </c>
      <c r="R11">
        <v>2</v>
      </c>
      <c r="S11">
        <v>1</v>
      </c>
      <c r="T11">
        <v>4</v>
      </c>
      <c r="U11">
        <v>3</v>
      </c>
      <c r="V11">
        <v>4</v>
      </c>
      <c r="W11">
        <v>1</v>
      </c>
      <c r="X11">
        <v>3</v>
      </c>
      <c r="Y11">
        <v>2</v>
      </c>
      <c r="Z11">
        <v>3</v>
      </c>
      <c r="AA11">
        <v>3</v>
      </c>
      <c r="AB11">
        <v>3</v>
      </c>
      <c r="AC11">
        <v>5</v>
      </c>
      <c r="AD11">
        <v>5</v>
      </c>
      <c r="AE11">
        <v>1</v>
      </c>
      <c r="AF11">
        <v>3</v>
      </c>
      <c r="AG11">
        <v>2</v>
      </c>
      <c r="AH11">
        <v>2</v>
      </c>
      <c r="AI11">
        <v>1</v>
      </c>
      <c r="AJ11">
        <v>1</v>
      </c>
      <c r="AK11">
        <v>4</v>
      </c>
      <c r="AL11">
        <v>5</v>
      </c>
      <c r="AO11">
        <v>3</v>
      </c>
      <c r="AP11">
        <v>2</v>
      </c>
      <c r="AQ11">
        <v>3</v>
      </c>
      <c r="AR11">
        <v>1</v>
      </c>
      <c r="AS11">
        <v>1</v>
      </c>
      <c r="AT11">
        <v>2</v>
      </c>
      <c r="AU11">
        <v>2</v>
      </c>
      <c r="AV11">
        <v>3</v>
      </c>
      <c r="AW11">
        <v>1</v>
      </c>
      <c r="AX11">
        <v>5</v>
      </c>
      <c r="AY11">
        <v>5</v>
      </c>
    </row>
    <row r="12" spans="1:147" x14ac:dyDescent="0.25">
      <c r="A12" s="2" t="s">
        <v>405</v>
      </c>
      <c r="C12">
        <v>6</v>
      </c>
      <c r="D12">
        <v>4</v>
      </c>
      <c r="E12">
        <v>3</v>
      </c>
      <c r="F12">
        <v>2</v>
      </c>
      <c r="G12">
        <v>2</v>
      </c>
      <c r="H12">
        <v>1</v>
      </c>
      <c r="J12">
        <v>2</v>
      </c>
      <c r="K12">
        <v>1</v>
      </c>
      <c r="L12">
        <v>3</v>
      </c>
      <c r="M12">
        <v>3</v>
      </c>
      <c r="N12">
        <v>2</v>
      </c>
      <c r="O12">
        <v>1</v>
      </c>
      <c r="P12">
        <v>2</v>
      </c>
      <c r="Q12">
        <v>2</v>
      </c>
      <c r="S12">
        <v>4</v>
      </c>
      <c r="T12">
        <v>2</v>
      </c>
      <c r="U12">
        <v>4</v>
      </c>
      <c r="V12">
        <v>1</v>
      </c>
      <c r="W12">
        <v>3</v>
      </c>
      <c r="X12">
        <v>3</v>
      </c>
      <c r="Z12">
        <v>2</v>
      </c>
      <c r="AA12">
        <v>1</v>
      </c>
      <c r="AB12">
        <v>3</v>
      </c>
      <c r="AC12">
        <v>2</v>
      </c>
      <c r="AD12">
        <v>2</v>
      </c>
      <c r="AF12">
        <v>1</v>
      </c>
      <c r="AG12">
        <v>4</v>
      </c>
      <c r="AI12">
        <v>1</v>
      </c>
      <c r="AJ12">
        <v>2</v>
      </c>
      <c r="AK12">
        <v>3</v>
      </c>
      <c r="AL12">
        <v>3</v>
      </c>
      <c r="AM12">
        <v>4</v>
      </c>
      <c r="AN12">
        <v>2</v>
      </c>
      <c r="AO12">
        <v>3</v>
      </c>
      <c r="AP12">
        <v>6</v>
      </c>
      <c r="AQ12">
        <v>4</v>
      </c>
      <c r="AR12">
        <v>2</v>
      </c>
      <c r="AS12">
        <v>3</v>
      </c>
      <c r="AT12">
        <v>3</v>
      </c>
      <c r="AV12">
        <v>4</v>
      </c>
      <c r="AW12">
        <v>4</v>
      </c>
      <c r="AX12">
        <v>6</v>
      </c>
      <c r="AY12">
        <v>3</v>
      </c>
    </row>
    <row r="13" spans="1:147" x14ac:dyDescent="0.25">
      <c r="A13" s="2" t="s">
        <v>406</v>
      </c>
      <c r="C13">
        <v>2</v>
      </c>
      <c r="D13">
        <v>3</v>
      </c>
      <c r="E13">
        <v>2</v>
      </c>
      <c r="F13">
        <v>5</v>
      </c>
      <c r="G13">
        <v>4</v>
      </c>
      <c r="H13">
        <v>2</v>
      </c>
      <c r="I13">
        <v>1</v>
      </c>
      <c r="J13">
        <v>4</v>
      </c>
      <c r="K13">
        <v>2</v>
      </c>
      <c r="L13">
        <v>5</v>
      </c>
      <c r="M13">
        <v>5</v>
      </c>
      <c r="N13">
        <v>3</v>
      </c>
      <c r="P13">
        <v>2</v>
      </c>
      <c r="Q13">
        <v>3</v>
      </c>
      <c r="R13">
        <v>1</v>
      </c>
      <c r="S13">
        <v>3</v>
      </c>
      <c r="T13">
        <v>4</v>
      </c>
      <c r="U13">
        <v>5</v>
      </c>
      <c r="V13">
        <v>3</v>
      </c>
      <c r="W13">
        <v>3</v>
      </c>
      <c r="X13">
        <v>1</v>
      </c>
      <c r="Y13">
        <v>3</v>
      </c>
      <c r="Z13">
        <v>7</v>
      </c>
      <c r="AA13">
        <v>3</v>
      </c>
      <c r="AB13">
        <v>1</v>
      </c>
      <c r="AC13">
        <v>4</v>
      </c>
      <c r="AD13">
        <v>3</v>
      </c>
      <c r="AE13">
        <v>2</v>
      </c>
      <c r="AG13">
        <v>2</v>
      </c>
      <c r="AH13">
        <v>2</v>
      </c>
      <c r="AI13">
        <v>3</v>
      </c>
      <c r="AJ13">
        <v>2</v>
      </c>
      <c r="AK13">
        <v>3</v>
      </c>
      <c r="AL13">
        <v>6</v>
      </c>
      <c r="AM13">
        <v>5</v>
      </c>
      <c r="AN13">
        <v>3</v>
      </c>
      <c r="AO13">
        <v>3</v>
      </c>
      <c r="AP13">
        <v>1</v>
      </c>
      <c r="AQ13">
        <v>2</v>
      </c>
      <c r="AR13">
        <v>3</v>
      </c>
      <c r="AS13">
        <v>4</v>
      </c>
      <c r="AT13">
        <v>5</v>
      </c>
      <c r="AV13">
        <v>10</v>
      </c>
      <c r="AW13">
        <v>4</v>
      </c>
      <c r="AX13">
        <v>1</v>
      </c>
      <c r="AY13">
        <v>2</v>
      </c>
    </row>
    <row r="15" spans="1:147" s="3" customFormat="1" x14ac:dyDescent="0.25">
      <c r="A15" s="2"/>
      <c r="C15" s="3">
        <v>1</v>
      </c>
      <c r="D15" s="3">
        <v>2</v>
      </c>
      <c r="E15" s="3">
        <v>3</v>
      </c>
      <c r="F15" s="3">
        <v>4</v>
      </c>
      <c r="G15" s="3">
        <v>5</v>
      </c>
      <c r="H15" s="3">
        <v>6</v>
      </c>
      <c r="I15" s="3">
        <v>7</v>
      </c>
      <c r="J15" s="3">
        <v>8</v>
      </c>
      <c r="K15" s="3">
        <v>9</v>
      </c>
      <c r="L15" s="3">
        <v>10</v>
      </c>
      <c r="M15" s="3">
        <v>11</v>
      </c>
      <c r="N15" s="3">
        <v>12</v>
      </c>
      <c r="O15" s="3">
        <v>13</v>
      </c>
      <c r="P15" s="3">
        <v>14</v>
      </c>
      <c r="Q15" s="3">
        <v>15</v>
      </c>
      <c r="R15" s="3">
        <v>16</v>
      </c>
      <c r="S15" s="3">
        <v>17</v>
      </c>
      <c r="T15" s="3">
        <v>18</v>
      </c>
      <c r="U15" s="3">
        <v>19</v>
      </c>
      <c r="V15" s="3">
        <v>20</v>
      </c>
      <c r="W15" s="3">
        <v>21</v>
      </c>
      <c r="X15" s="3">
        <v>22</v>
      </c>
      <c r="Y15" s="3">
        <v>23</v>
      </c>
      <c r="Z15" s="3">
        <v>24</v>
      </c>
      <c r="AA15" s="3">
        <v>25</v>
      </c>
      <c r="AB15" s="3">
        <v>26</v>
      </c>
      <c r="AC15" s="3">
        <v>27</v>
      </c>
      <c r="AD15" s="3">
        <v>28</v>
      </c>
      <c r="AE15" s="3">
        <v>29</v>
      </c>
      <c r="AF15" s="3">
        <v>30</v>
      </c>
      <c r="AG15" s="3">
        <v>31</v>
      </c>
      <c r="AH15" s="3">
        <v>32</v>
      </c>
      <c r="AI15" s="3">
        <v>33</v>
      </c>
      <c r="AJ15" s="3">
        <v>34</v>
      </c>
      <c r="AK15" s="3">
        <v>35</v>
      </c>
      <c r="AL15" s="3">
        <v>36</v>
      </c>
      <c r="AM15" s="3">
        <v>37</v>
      </c>
      <c r="AN15" s="3">
        <v>38</v>
      </c>
      <c r="AO15" s="3">
        <v>39</v>
      </c>
      <c r="AP15" s="3">
        <v>40</v>
      </c>
      <c r="AQ15" s="3">
        <v>41</v>
      </c>
      <c r="AR15" s="3">
        <v>42</v>
      </c>
      <c r="AS15" s="3">
        <v>43</v>
      </c>
      <c r="AT15" s="3">
        <v>44</v>
      </c>
      <c r="AU15" s="3">
        <v>45</v>
      </c>
      <c r="AV15" s="3">
        <v>46</v>
      </c>
      <c r="AW15" s="3">
        <v>47</v>
      </c>
      <c r="AX15" s="3">
        <v>48</v>
      </c>
      <c r="AY15" s="3">
        <v>49</v>
      </c>
    </row>
    <row r="16" spans="1:147" x14ac:dyDescent="0.25">
      <c r="A16" s="2">
        <v>42901</v>
      </c>
      <c r="V16">
        <v>1</v>
      </c>
      <c r="W16">
        <v>1</v>
      </c>
      <c r="Y16">
        <v>1</v>
      </c>
      <c r="AG16">
        <v>1</v>
      </c>
      <c r="AM16">
        <v>1</v>
      </c>
      <c r="AO16">
        <v>1</v>
      </c>
      <c r="AW16">
        <v>1</v>
      </c>
    </row>
    <row r="17" spans="1:51" x14ac:dyDescent="0.25">
      <c r="A17" s="2">
        <v>42898</v>
      </c>
      <c r="K17">
        <v>1</v>
      </c>
      <c r="L17">
        <v>1</v>
      </c>
      <c r="Q17">
        <v>1</v>
      </c>
      <c r="U17">
        <v>1</v>
      </c>
      <c r="W17">
        <v>1</v>
      </c>
      <c r="Y17">
        <v>1</v>
      </c>
      <c r="AS17">
        <v>1</v>
      </c>
    </row>
    <row r="18" spans="1:51" x14ac:dyDescent="0.25">
      <c r="A18" s="2">
        <v>42894</v>
      </c>
      <c r="C18">
        <v>1</v>
      </c>
      <c r="G18">
        <v>1</v>
      </c>
      <c r="I18">
        <v>1</v>
      </c>
      <c r="X18">
        <v>1</v>
      </c>
      <c r="AA18">
        <v>1</v>
      </c>
      <c r="AJ18">
        <v>1</v>
      </c>
      <c r="AP18">
        <v>1</v>
      </c>
    </row>
    <row r="19" spans="1:51" x14ac:dyDescent="0.25">
      <c r="A19" s="2">
        <v>42891</v>
      </c>
      <c r="Q19">
        <v>1</v>
      </c>
      <c r="T19">
        <v>1</v>
      </c>
      <c r="W19">
        <v>1</v>
      </c>
      <c r="Y19">
        <v>1</v>
      </c>
      <c r="Z19">
        <v>1</v>
      </c>
      <c r="AO19">
        <v>1</v>
      </c>
      <c r="AP19">
        <v>1</v>
      </c>
    </row>
    <row r="20" spans="1:51" x14ac:dyDescent="0.25">
      <c r="A20" s="2">
        <v>42887</v>
      </c>
      <c r="D20">
        <v>1</v>
      </c>
      <c r="K20">
        <v>1</v>
      </c>
      <c r="Q20">
        <v>1</v>
      </c>
      <c r="S20">
        <v>1</v>
      </c>
      <c r="X20">
        <v>1</v>
      </c>
      <c r="AT20">
        <v>1</v>
      </c>
      <c r="AV20">
        <v>1</v>
      </c>
    </row>
    <row r="21" spans="1:51" x14ac:dyDescent="0.25">
      <c r="A21" s="2">
        <v>42551</v>
      </c>
      <c r="M21">
        <v>1</v>
      </c>
      <c r="N21">
        <v>1</v>
      </c>
      <c r="Q21">
        <v>1</v>
      </c>
      <c r="R21">
        <v>1</v>
      </c>
      <c r="W21">
        <v>1</v>
      </c>
      <c r="AH21">
        <v>1</v>
      </c>
      <c r="AW21">
        <v>1</v>
      </c>
    </row>
    <row r="22" spans="1:51" x14ac:dyDescent="0.25">
      <c r="A22" s="2">
        <v>42548</v>
      </c>
      <c r="C22">
        <v>1</v>
      </c>
      <c r="N22">
        <v>1</v>
      </c>
      <c r="Y22">
        <v>1</v>
      </c>
      <c r="Z22">
        <v>1</v>
      </c>
      <c r="AJ22">
        <v>1</v>
      </c>
      <c r="AN22">
        <v>1</v>
      </c>
      <c r="AP22">
        <v>1</v>
      </c>
    </row>
    <row r="23" spans="1:51" x14ac:dyDescent="0.25">
      <c r="A23" s="2">
        <v>42544</v>
      </c>
      <c r="C23">
        <v>1</v>
      </c>
      <c r="E23">
        <v>1</v>
      </c>
      <c r="G23">
        <v>1</v>
      </c>
      <c r="J23">
        <v>1</v>
      </c>
      <c r="V23">
        <v>1</v>
      </c>
      <c r="X23">
        <v>1</v>
      </c>
      <c r="AT23">
        <v>1</v>
      </c>
    </row>
    <row r="24" spans="1:51" x14ac:dyDescent="0.25">
      <c r="A24" s="2">
        <v>42541</v>
      </c>
      <c r="F24">
        <v>1</v>
      </c>
      <c r="H24">
        <v>1</v>
      </c>
      <c r="P24">
        <v>1</v>
      </c>
      <c r="T24">
        <v>1</v>
      </c>
      <c r="U24">
        <v>1</v>
      </c>
      <c r="AK24">
        <v>1</v>
      </c>
      <c r="AR24">
        <v>1</v>
      </c>
    </row>
    <row r="25" spans="1:51" x14ac:dyDescent="0.25">
      <c r="A25" s="2">
        <v>42537</v>
      </c>
      <c r="G25">
        <v>1</v>
      </c>
      <c r="M25">
        <v>1</v>
      </c>
      <c r="R25">
        <v>1</v>
      </c>
      <c r="AF25">
        <v>1</v>
      </c>
      <c r="AL25">
        <v>1</v>
      </c>
      <c r="AT25">
        <v>1</v>
      </c>
      <c r="AV25">
        <v>1</v>
      </c>
    </row>
    <row r="26" spans="1:51" x14ac:dyDescent="0.25">
      <c r="A26" s="2">
        <v>42534</v>
      </c>
      <c r="H26">
        <v>1</v>
      </c>
      <c r="T26">
        <v>1</v>
      </c>
      <c r="X26">
        <v>1</v>
      </c>
      <c r="Z26">
        <v>1</v>
      </c>
      <c r="AB26">
        <v>1</v>
      </c>
      <c r="AF26">
        <v>1</v>
      </c>
      <c r="AL26">
        <v>1</v>
      </c>
    </row>
    <row r="27" spans="1:51" x14ac:dyDescent="0.25">
      <c r="A27" s="2">
        <v>42530</v>
      </c>
      <c r="N27">
        <v>1</v>
      </c>
      <c r="W27">
        <v>1</v>
      </c>
      <c r="AC27">
        <v>1</v>
      </c>
      <c r="AD27">
        <v>1</v>
      </c>
      <c r="AK27">
        <v>1</v>
      </c>
      <c r="AS27">
        <v>1</v>
      </c>
      <c r="AW27">
        <v>1</v>
      </c>
    </row>
    <row r="28" spans="1:51" x14ac:dyDescent="0.25">
      <c r="A28" s="2">
        <v>42527</v>
      </c>
      <c r="D28">
        <v>1</v>
      </c>
      <c r="I28">
        <v>1</v>
      </c>
      <c r="N28">
        <v>1</v>
      </c>
      <c r="U28">
        <v>1</v>
      </c>
      <c r="V28">
        <v>1</v>
      </c>
      <c r="AE28">
        <v>1</v>
      </c>
      <c r="AL28">
        <v>1</v>
      </c>
    </row>
    <row r="29" spans="1:51" x14ac:dyDescent="0.25">
      <c r="A29" s="2">
        <v>42523</v>
      </c>
      <c r="C29">
        <v>1</v>
      </c>
      <c r="Q29">
        <v>1</v>
      </c>
      <c r="Y29">
        <v>1</v>
      </c>
      <c r="AA29">
        <v>1</v>
      </c>
      <c r="AI29">
        <v>1</v>
      </c>
      <c r="AR29">
        <v>1</v>
      </c>
      <c r="AT29">
        <v>1</v>
      </c>
    </row>
    <row r="30" spans="1:51" x14ac:dyDescent="0.25">
      <c r="A30" s="2">
        <v>42184</v>
      </c>
      <c r="D30">
        <v>1</v>
      </c>
      <c r="J30">
        <v>1</v>
      </c>
      <c r="P30">
        <v>1</v>
      </c>
      <c r="Q30">
        <v>1</v>
      </c>
      <c r="AB30">
        <v>1</v>
      </c>
      <c r="AE30">
        <v>1</v>
      </c>
      <c r="AG30">
        <v>1</v>
      </c>
    </row>
    <row r="31" spans="1:51" x14ac:dyDescent="0.25">
      <c r="A31" s="2">
        <v>42180</v>
      </c>
      <c r="P31">
        <v>1</v>
      </c>
      <c r="V31">
        <v>1</v>
      </c>
      <c r="AE31">
        <v>1</v>
      </c>
      <c r="AL31">
        <v>1</v>
      </c>
      <c r="AN31">
        <v>1</v>
      </c>
      <c r="AO31">
        <v>1</v>
      </c>
      <c r="AQ31">
        <v>1</v>
      </c>
    </row>
    <row r="32" spans="1:51" x14ac:dyDescent="0.25">
      <c r="A32" s="2">
        <v>42177</v>
      </c>
      <c r="E32">
        <v>1</v>
      </c>
      <c r="K32">
        <v>1</v>
      </c>
      <c r="T32">
        <v>1</v>
      </c>
      <c r="X32">
        <v>1</v>
      </c>
      <c r="AI32">
        <v>1</v>
      </c>
      <c r="AW32">
        <v>1</v>
      </c>
      <c r="AY32">
        <v>1</v>
      </c>
    </row>
    <row r="33" spans="1:51" x14ac:dyDescent="0.25">
      <c r="A33" s="2">
        <v>42173</v>
      </c>
      <c r="G33">
        <v>1</v>
      </c>
      <c r="Q33">
        <v>1</v>
      </c>
      <c r="V33">
        <v>1</v>
      </c>
      <c r="AD33">
        <v>1</v>
      </c>
      <c r="AK33">
        <v>1</v>
      </c>
      <c r="AO33">
        <v>1</v>
      </c>
      <c r="AV33">
        <v>1</v>
      </c>
    </row>
    <row r="34" spans="1:51" x14ac:dyDescent="0.25">
      <c r="A34" s="2">
        <v>42170</v>
      </c>
      <c r="K34">
        <v>1</v>
      </c>
      <c r="V34">
        <v>1</v>
      </c>
      <c r="W34">
        <v>1</v>
      </c>
      <c r="AB34">
        <v>1</v>
      </c>
      <c r="AC34">
        <v>1</v>
      </c>
      <c r="AE34">
        <v>1</v>
      </c>
      <c r="AX34">
        <v>1</v>
      </c>
    </row>
    <row r="35" spans="1:51" x14ac:dyDescent="0.25">
      <c r="A35" s="2">
        <v>42166</v>
      </c>
      <c r="I35">
        <v>1</v>
      </c>
      <c r="M35">
        <v>1</v>
      </c>
      <c r="O35">
        <v>1</v>
      </c>
      <c r="R35">
        <v>1</v>
      </c>
      <c r="AN35">
        <v>1</v>
      </c>
      <c r="AQ35">
        <v>1</v>
      </c>
      <c r="AV35">
        <v>1</v>
      </c>
    </row>
    <row r="36" spans="1:51" x14ac:dyDescent="0.25">
      <c r="A36" s="2">
        <v>42163</v>
      </c>
      <c r="V36">
        <v>1</v>
      </c>
      <c r="AG36">
        <v>1</v>
      </c>
      <c r="AK36">
        <v>1</v>
      </c>
      <c r="AN36">
        <v>1</v>
      </c>
      <c r="AR36">
        <v>1</v>
      </c>
      <c r="AV36">
        <v>1</v>
      </c>
      <c r="AY36">
        <v>1</v>
      </c>
    </row>
    <row r="37" spans="1:51" x14ac:dyDescent="0.25">
      <c r="A37" s="2">
        <v>42159</v>
      </c>
      <c r="E37">
        <v>1</v>
      </c>
      <c r="H37">
        <v>1</v>
      </c>
      <c r="J37">
        <v>1</v>
      </c>
      <c r="P37">
        <v>1</v>
      </c>
      <c r="T37">
        <v>1</v>
      </c>
      <c r="AG37">
        <v>1</v>
      </c>
      <c r="AQ37">
        <v>1</v>
      </c>
    </row>
    <row r="38" spans="1:51" x14ac:dyDescent="0.25">
      <c r="A38" s="2">
        <v>42156</v>
      </c>
      <c r="G38">
        <v>1</v>
      </c>
      <c r="K38">
        <v>1</v>
      </c>
      <c r="P38">
        <v>1</v>
      </c>
      <c r="AD38">
        <v>1</v>
      </c>
      <c r="AE38">
        <v>1</v>
      </c>
      <c r="AH38">
        <v>1</v>
      </c>
      <c r="AL38">
        <v>1</v>
      </c>
    </row>
  </sheetData>
  <conditionalFormatting sqref="C2:AY13">
    <cfRule type="cellIs" dxfId="0" priority="1" operator="equal">
      <formula>0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I332"/>
  <sheetViews>
    <sheetView tabSelected="1" workbookViewId="0">
      <selection activeCell="AG270" sqref="AG270"/>
    </sheetView>
  </sheetViews>
  <sheetFormatPr defaultRowHeight="15" x14ac:dyDescent="0.25"/>
  <cols>
    <col min="2" max="6" width="2" bestFit="1" customWidth="1"/>
    <col min="7" max="7" width="2.42578125" customWidth="1"/>
    <col min="9" max="11" width="4" bestFit="1" customWidth="1"/>
    <col min="12" max="12" width="2.5703125" customWidth="1"/>
    <col min="13" max="13" width="2.140625" bestFit="1" customWidth="1"/>
    <col min="14" max="14" width="2" bestFit="1" customWidth="1"/>
    <col min="15" max="15" width="2.140625" customWidth="1"/>
    <col min="16" max="20" width="2" bestFit="1" customWidth="1"/>
    <col min="21" max="21" width="1.85546875" customWidth="1"/>
    <col min="23" max="23" width="2.42578125" customWidth="1"/>
    <col min="24" max="28" width="4" hidden="1" customWidth="1"/>
    <col min="29" max="29" width="17.28515625" style="4" bestFit="1" customWidth="1"/>
    <col min="30" max="30" width="3.42578125" customWidth="1"/>
    <col min="31" max="31" width="2.7109375" customWidth="1"/>
    <col min="32" max="32" width="4.7109375" bestFit="1" customWidth="1"/>
    <col min="34" max="34" width="14.28515625" bestFit="1" customWidth="1"/>
    <col min="35" max="35" width="10.28515625" bestFit="1" customWidth="1"/>
  </cols>
  <sheetData>
    <row r="1" spans="1:35" ht="21" customHeight="1" thickBot="1" x14ac:dyDescent="0.3">
      <c r="I1" s="16" t="s">
        <v>428</v>
      </c>
      <c r="J1" s="16"/>
      <c r="K1" s="16"/>
      <c r="L1" s="9"/>
      <c r="M1" s="10"/>
      <c r="N1" s="10"/>
      <c r="O1" s="10"/>
      <c r="P1" s="10"/>
      <c r="Q1" s="10"/>
      <c r="R1" s="10"/>
      <c r="S1" s="10"/>
      <c r="T1" s="10"/>
      <c r="U1" s="11"/>
      <c r="V1" s="8"/>
      <c r="W1" s="8"/>
      <c r="X1" s="8"/>
      <c r="Y1" s="8"/>
      <c r="Z1" s="8"/>
      <c r="AA1" s="8"/>
      <c r="AB1" s="8"/>
      <c r="AC1" s="8"/>
      <c r="AD1" s="8"/>
    </row>
    <row r="2" spans="1:35" s="3" customFormat="1" x14ac:dyDescent="0.25">
      <c r="A2" s="3" t="s">
        <v>391</v>
      </c>
      <c r="H2" s="3" t="s">
        <v>409</v>
      </c>
      <c r="I2" s="3">
        <f>SUM(I3:I332)</f>
        <v>255</v>
      </c>
      <c r="J2" s="3" t="s">
        <v>410</v>
      </c>
      <c r="K2" s="3" t="s">
        <v>411</v>
      </c>
      <c r="M2" s="3" t="s">
        <v>412</v>
      </c>
      <c r="N2" s="3" t="s">
        <v>413</v>
      </c>
      <c r="V2" s="3" t="s">
        <v>414</v>
      </c>
      <c r="AC2" s="7" t="s">
        <v>415</v>
      </c>
      <c r="AF2" s="3" t="s">
        <v>416</v>
      </c>
      <c r="AG2" s="3" t="s">
        <v>414</v>
      </c>
      <c r="AH2" s="3" t="s">
        <v>417</v>
      </c>
      <c r="AI2" s="3" t="s">
        <v>391</v>
      </c>
    </row>
    <row r="3" spans="1:35" x14ac:dyDescent="0.25">
      <c r="A3">
        <v>0</v>
      </c>
      <c r="B3">
        <v>0</v>
      </c>
      <c r="C3">
        <v>0</v>
      </c>
      <c r="D3">
        <v>0</v>
      </c>
      <c r="E3">
        <v>0</v>
      </c>
      <c r="F3">
        <v>7</v>
      </c>
      <c r="H3" t="str">
        <f t="shared" ref="H3:H66" si="0">CONCATENATE(B3,"-",C3,"-",D3,"-",E3,"-",F3)</f>
        <v>0-0-0-0-7</v>
      </c>
      <c r="I3">
        <f>A3</f>
        <v>0</v>
      </c>
      <c r="J3">
        <f t="shared" ref="J3:J66" si="1">((9*B3)-((B3-1)*(B3))/2)+((19*C3)-((C3-1)*(C3))/2)+((29*D3)-((D3-1)*(D3))/2)+((39*E3)-((E3-1)*(E3))/2)+((49*F3)-((F3-1)*(F3))/2)</f>
        <v>322</v>
      </c>
      <c r="K3">
        <f t="shared" ref="K3:K66" si="2">((1*B3)+((B3-1)*(B3))/2)+((10*C3)+((C3-1)*(C3))/2)+((20*D3)+((D3-1)*(D3))/2)+((30*E3)+((E3-1)*(E3))/2)+((40*F3)+((F3-1)*(F3))/2)</f>
        <v>301</v>
      </c>
      <c r="M3">
        <f>D3+E3+F3</f>
        <v>7</v>
      </c>
      <c r="N3">
        <f>B3+C3+D3</f>
        <v>0</v>
      </c>
      <c r="P3">
        <f>LARGE($B3:$F3,1)</f>
        <v>7</v>
      </c>
      <c r="Q3">
        <f>LARGE($B3:$F3,2)</f>
        <v>0</v>
      </c>
      <c r="R3">
        <f>LARGE($B3:$F3,3)</f>
        <v>0</v>
      </c>
      <c r="S3">
        <f>LARGE($B3:$F3,4)</f>
        <v>0</v>
      </c>
      <c r="T3">
        <f>LARGE($B3:$F3,5)</f>
        <v>0</v>
      </c>
      <c r="V3" t="str">
        <f t="shared" ref="V3:V66" si="3">CONCATENATE(P3,"-",Q3,"-",R3,"-",S3,"-",T3)</f>
        <v>7-0-0-0-0</v>
      </c>
      <c r="X3">
        <f>PERMUT(9,B3)/PERMUT(B3,B3)</f>
        <v>1</v>
      </c>
      <c r="Y3">
        <f>PERMUT(9,C3)/PERMUT(C3,C3)</f>
        <v>1</v>
      </c>
      <c r="Z3">
        <f>PERMUT(9,D3)/PERMUT(D3,D3)</f>
        <v>1</v>
      </c>
      <c r="AA3">
        <f>PERMUT(9,E3)/PERMUT(E3,E3)</f>
        <v>1</v>
      </c>
      <c r="AB3">
        <f>PERMUT(9,F3)/PERMUT(F3,F3)</f>
        <v>36</v>
      </c>
      <c r="AC3" s="4">
        <f>X3*Y3*Z3*AA3*AB3</f>
        <v>36</v>
      </c>
      <c r="AF3">
        <f t="shared" ref="AF3:AF15" si="4">COUNTIF(V$3:V$332,AG3)</f>
        <v>60</v>
      </c>
      <c r="AG3" t="s">
        <v>418</v>
      </c>
      <c r="AH3" s="4">
        <f t="shared" ref="AH3:AH15" si="5">SUMIFS(AC$3:AC$332,V$3:V$332,AG3)</f>
        <v>14696640</v>
      </c>
      <c r="AI3">
        <f t="shared" ref="AI3:AI15" si="6">SUMIFS(A$3:A$332,V$3:V$332,AG3)</f>
        <v>89</v>
      </c>
    </row>
    <row r="4" spans="1:35" x14ac:dyDescent="0.25">
      <c r="A4">
        <v>0</v>
      </c>
      <c r="B4">
        <v>0</v>
      </c>
      <c r="C4">
        <v>0</v>
      </c>
      <c r="D4">
        <v>0</v>
      </c>
      <c r="E4">
        <v>7</v>
      </c>
      <c r="F4">
        <v>0</v>
      </c>
      <c r="H4" t="str">
        <f t="shared" si="0"/>
        <v>0-0-0-7-0</v>
      </c>
      <c r="I4">
        <f t="shared" ref="I4:I67" si="7">A4</f>
        <v>0</v>
      </c>
      <c r="J4">
        <f t="shared" si="1"/>
        <v>252</v>
      </c>
      <c r="K4">
        <f t="shared" si="2"/>
        <v>231</v>
      </c>
      <c r="M4">
        <f t="shared" ref="M4:M67" si="8">D4+E4+F4</f>
        <v>7</v>
      </c>
      <c r="N4">
        <f t="shared" ref="N4:N67" si="9">B4+C4+D4</f>
        <v>0</v>
      </c>
      <c r="P4">
        <f t="shared" ref="P4:P67" si="10">LARGE($B4:$F4,1)</f>
        <v>7</v>
      </c>
      <c r="Q4">
        <f t="shared" ref="Q4:Q67" si="11">LARGE($B4:$F4,2)</f>
        <v>0</v>
      </c>
      <c r="R4">
        <f t="shared" ref="R4:R67" si="12">LARGE($B4:$F4,3)</f>
        <v>0</v>
      </c>
      <c r="S4">
        <f t="shared" ref="S4:S67" si="13">LARGE($B4:$F4,4)</f>
        <v>0</v>
      </c>
      <c r="T4">
        <f t="shared" ref="T4:T67" si="14">LARGE($B4:$F4,5)</f>
        <v>0</v>
      </c>
      <c r="V4" t="str">
        <f t="shared" si="3"/>
        <v>7-0-0-0-0</v>
      </c>
      <c r="X4">
        <f t="shared" ref="X4:AB54" si="15">PERMUT(9,B4)/PERMUT(B4,B4)</f>
        <v>1</v>
      </c>
      <c r="Y4">
        <f t="shared" si="15"/>
        <v>1</v>
      </c>
      <c r="Z4">
        <f t="shared" si="15"/>
        <v>1</v>
      </c>
      <c r="AA4">
        <f t="shared" si="15"/>
        <v>36</v>
      </c>
      <c r="AB4">
        <f t="shared" si="15"/>
        <v>1</v>
      </c>
      <c r="AC4" s="4">
        <f t="shared" ref="AC4:AC67" si="16">X4*Y4*Z4*AA4*AB4</f>
        <v>36</v>
      </c>
      <c r="AF4">
        <f t="shared" si="4"/>
        <v>10</v>
      </c>
      <c r="AG4" t="s">
        <v>286</v>
      </c>
      <c r="AH4" s="4">
        <f t="shared" si="5"/>
        <v>9447840</v>
      </c>
      <c r="AI4">
        <f t="shared" si="6"/>
        <v>50</v>
      </c>
    </row>
    <row r="5" spans="1:35" x14ac:dyDescent="0.25">
      <c r="A5">
        <v>0</v>
      </c>
      <c r="B5">
        <v>0</v>
      </c>
      <c r="C5">
        <v>0</v>
      </c>
      <c r="D5">
        <v>7</v>
      </c>
      <c r="E5">
        <v>0</v>
      </c>
      <c r="F5">
        <v>0</v>
      </c>
      <c r="H5" t="str">
        <f t="shared" si="0"/>
        <v>0-0-7-0-0</v>
      </c>
      <c r="I5">
        <f t="shared" si="7"/>
        <v>0</v>
      </c>
      <c r="J5">
        <f t="shared" si="1"/>
        <v>182</v>
      </c>
      <c r="K5">
        <f t="shared" si="2"/>
        <v>161</v>
      </c>
      <c r="M5">
        <f t="shared" si="8"/>
        <v>7</v>
      </c>
      <c r="N5">
        <f t="shared" si="9"/>
        <v>7</v>
      </c>
      <c r="P5">
        <f t="shared" si="10"/>
        <v>7</v>
      </c>
      <c r="Q5">
        <f t="shared" si="11"/>
        <v>0</v>
      </c>
      <c r="R5">
        <f t="shared" si="12"/>
        <v>0</v>
      </c>
      <c r="S5">
        <f t="shared" si="13"/>
        <v>0</v>
      </c>
      <c r="T5">
        <f t="shared" si="14"/>
        <v>0</v>
      </c>
      <c r="V5" t="str">
        <f t="shared" si="3"/>
        <v>7-0-0-0-0</v>
      </c>
      <c r="X5">
        <f t="shared" si="15"/>
        <v>1</v>
      </c>
      <c r="Y5">
        <f t="shared" si="15"/>
        <v>1</v>
      </c>
      <c r="Z5">
        <f t="shared" si="15"/>
        <v>36</v>
      </c>
      <c r="AA5">
        <f t="shared" si="15"/>
        <v>1</v>
      </c>
      <c r="AB5">
        <f t="shared" si="15"/>
        <v>1</v>
      </c>
      <c r="AC5" s="4">
        <f t="shared" si="16"/>
        <v>36</v>
      </c>
      <c r="AF5">
        <f t="shared" si="4"/>
        <v>20</v>
      </c>
      <c r="AG5" t="s">
        <v>271</v>
      </c>
      <c r="AH5" s="4">
        <f t="shared" si="5"/>
        <v>8398080</v>
      </c>
      <c r="AI5">
        <f t="shared" si="6"/>
        <v>45</v>
      </c>
    </row>
    <row r="6" spans="1:35" x14ac:dyDescent="0.25">
      <c r="A6">
        <v>0</v>
      </c>
      <c r="B6">
        <v>0</v>
      </c>
      <c r="C6">
        <v>7</v>
      </c>
      <c r="D6">
        <v>0</v>
      </c>
      <c r="E6">
        <v>0</v>
      </c>
      <c r="F6">
        <v>0</v>
      </c>
      <c r="H6" t="str">
        <f t="shared" si="0"/>
        <v>0-7-0-0-0</v>
      </c>
      <c r="I6">
        <f t="shared" si="7"/>
        <v>0</v>
      </c>
      <c r="J6">
        <f t="shared" si="1"/>
        <v>112</v>
      </c>
      <c r="K6">
        <f t="shared" si="2"/>
        <v>91</v>
      </c>
      <c r="M6">
        <f t="shared" si="8"/>
        <v>0</v>
      </c>
      <c r="N6">
        <f t="shared" si="9"/>
        <v>7</v>
      </c>
      <c r="P6">
        <f t="shared" si="10"/>
        <v>7</v>
      </c>
      <c r="Q6">
        <f t="shared" si="11"/>
        <v>0</v>
      </c>
      <c r="R6">
        <f t="shared" si="12"/>
        <v>0</v>
      </c>
      <c r="S6">
        <f t="shared" si="13"/>
        <v>0</v>
      </c>
      <c r="T6">
        <f t="shared" si="14"/>
        <v>0</v>
      </c>
      <c r="V6" t="str">
        <f t="shared" si="3"/>
        <v>7-0-0-0-0</v>
      </c>
      <c r="X6">
        <f t="shared" si="15"/>
        <v>1</v>
      </c>
      <c r="Y6">
        <f t="shared" si="15"/>
        <v>36</v>
      </c>
      <c r="Z6">
        <f t="shared" si="15"/>
        <v>1</v>
      </c>
      <c r="AA6">
        <f t="shared" si="15"/>
        <v>1</v>
      </c>
      <c r="AB6">
        <f t="shared" si="15"/>
        <v>1</v>
      </c>
      <c r="AC6" s="4">
        <f t="shared" si="16"/>
        <v>36</v>
      </c>
      <c r="AF6">
        <f t="shared" si="4"/>
        <v>60</v>
      </c>
      <c r="AG6" t="s">
        <v>419</v>
      </c>
      <c r="AH6" s="4">
        <f t="shared" si="5"/>
        <v>2449440</v>
      </c>
      <c r="AI6">
        <f t="shared" si="6"/>
        <v>15</v>
      </c>
    </row>
    <row r="7" spans="1:35" x14ac:dyDescent="0.25">
      <c r="A7">
        <v>0</v>
      </c>
      <c r="B7">
        <v>7</v>
      </c>
      <c r="C7">
        <v>0</v>
      </c>
      <c r="D7">
        <v>0</v>
      </c>
      <c r="E7">
        <v>0</v>
      </c>
      <c r="F7">
        <v>0</v>
      </c>
      <c r="H7" t="str">
        <f t="shared" si="0"/>
        <v>7-0-0-0-0</v>
      </c>
      <c r="I7">
        <f t="shared" si="7"/>
        <v>0</v>
      </c>
      <c r="J7">
        <f t="shared" si="1"/>
        <v>42</v>
      </c>
      <c r="K7">
        <f t="shared" si="2"/>
        <v>28</v>
      </c>
      <c r="M7">
        <f t="shared" si="8"/>
        <v>0</v>
      </c>
      <c r="N7">
        <f t="shared" si="9"/>
        <v>7</v>
      </c>
      <c r="P7">
        <f t="shared" si="10"/>
        <v>7</v>
      </c>
      <c r="Q7">
        <f t="shared" si="11"/>
        <v>0</v>
      </c>
      <c r="R7">
        <f t="shared" si="12"/>
        <v>0</v>
      </c>
      <c r="S7">
        <f t="shared" si="13"/>
        <v>0</v>
      </c>
      <c r="T7">
        <f t="shared" si="14"/>
        <v>0</v>
      </c>
      <c r="V7" t="str">
        <f t="shared" si="3"/>
        <v>7-0-0-0-0</v>
      </c>
      <c r="X7">
        <f t="shared" si="15"/>
        <v>36</v>
      </c>
      <c r="Y7">
        <f t="shared" si="15"/>
        <v>1</v>
      </c>
      <c r="Z7">
        <f t="shared" si="15"/>
        <v>1</v>
      </c>
      <c r="AA7">
        <f t="shared" si="15"/>
        <v>1</v>
      </c>
      <c r="AB7">
        <f t="shared" si="15"/>
        <v>1</v>
      </c>
      <c r="AC7" s="4">
        <f t="shared" si="16"/>
        <v>36</v>
      </c>
      <c r="AF7">
        <f t="shared" si="4"/>
        <v>5</v>
      </c>
      <c r="AG7" t="s">
        <v>297</v>
      </c>
      <c r="AH7" s="4">
        <f t="shared" si="5"/>
        <v>2755620</v>
      </c>
      <c r="AI7">
        <f t="shared" si="6"/>
        <v>13</v>
      </c>
    </row>
    <row r="8" spans="1:35" x14ac:dyDescent="0.25">
      <c r="A8">
        <v>3</v>
      </c>
      <c r="B8">
        <v>1</v>
      </c>
      <c r="C8">
        <v>1</v>
      </c>
      <c r="D8">
        <v>1</v>
      </c>
      <c r="E8">
        <v>1</v>
      </c>
      <c r="F8">
        <v>3</v>
      </c>
      <c r="H8" t="str">
        <f t="shared" si="0"/>
        <v>1-1-1-1-3</v>
      </c>
      <c r="I8">
        <f t="shared" si="7"/>
        <v>3</v>
      </c>
      <c r="J8">
        <f t="shared" si="1"/>
        <v>240</v>
      </c>
      <c r="K8">
        <f t="shared" si="2"/>
        <v>184</v>
      </c>
      <c r="M8">
        <f t="shared" si="8"/>
        <v>5</v>
      </c>
      <c r="N8">
        <f t="shared" si="9"/>
        <v>3</v>
      </c>
      <c r="P8">
        <f t="shared" si="10"/>
        <v>3</v>
      </c>
      <c r="Q8">
        <f t="shared" si="11"/>
        <v>1</v>
      </c>
      <c r="R8">
        <f t="shared" si="12"/>
        <v>1</v>
      </c>
      <c r="S8">
        <f t="shared" si="13"/>
        <v>1</v>
      </c>
      <c r="T8">
        <f t="shared" si="14"/>
        <v>1</v>
      </c>
      <c r="V8" t="str">
        <f t="shared" si="3"/>
        <v>3-1-1-1-1</v>
      </c>
      <c r="X8">
        <f t="shared" si="15"/>
        <v>9</v>
      </c>
      <c r="Y8">
        <f t="shared" si="15"/>
        <v>9</v>
      </c>
      <c r="Z8">
        <f t="shared" si="15"/>
        <v>9</v>
      </c>
      <c r="AA8">
        <f t="shared" si="15"/>
        <v>9</v>
      </c>
      <c r="AB8">
        <f t="shared" si="15"/>
        <v>84</v>
      </c>
      <c r="AC8" s="4">
        <f t="shared" si="16"/>
        <v>551124</v>
      </c>
      <c r="AF8">
        <f t="shared" si="4"/>
        <v>20</v>
      </c>
      <c r="AG8" t="s">
        <v>322</v>
      </c>
      <c r="AH8" s="4">
        <f t="shared" si="5"/>
        <v>1837080</v>
      </c>
      <c r="AI8">
        <f t="shared" si="6"/>
        <v>14</v>
      </c>
    </row>
    <row r="9" spans="1:35" x14ac:dyDescent="0.25">
      <c r="A9">
        <v>3</v>
      </c>
      <c r="B9">
        <v>1</v>
      </c>
      <c r="C9">
        <v>1</v>
      </c>
      <c r="D9">
        <v>1</v>
      </c>
      <c r="E9">
        <v>3</v>
      </c>
      <c r="F9">
        <v>1</v>
      </c>
      <c r="H9" t="str">
        <f t="shared" si="0"/>
        <v>1-1-1-3-1</v>
      </c>
      <c r="I9">
        <f t="shared" si="7"/>
        <v>3</v>
      </c>
      <c r="J9">
        <f t="shared" si="1"/>
        <v>220</v>
      </c>
      <c r="K9">
        <f t="shared" si="2"/>
        <v>164</v>
      </c>
      <c r="M9">
        <f t="shared" si="8"/>
        <v>5</v>
      </c>
      <c r="N9">
        <f t="shared" si="9"/>
        <v>3</v>
      </c>
      <c r="P9">
        <f t="shared" si="10"/>
        <v>3</v>
      </c>
      <c r="Q9">
        <f t="shared" si="11"/>
        <v>1</v>
      </c>
      <c r="R9">
        <f t="shared" si="12"/>
        <v>1</v>
      </c>
      <c r="S9">
        <f t="shared" si="13"/>
        <v>1</v>
      </c>
      <c r="T9">
        <f t="shared" si="14"/>
        <v>1</v>
      </c>
      <c r="V9" t="str">
        <f t="shared" si="3"/>
        <v>3-1-1-1-1</v>
      </c>
      <c r="X9">
        <f t="shared" si="15"/>
        <v>9</v>
      </c>
      <c r="Y9">
        <f t="shared" si="15"/>
        <v>9</v>
      </c>
      <c r="Z9">
        <f t="shared" si="15"/>
        <v>9</v>
      </c>
      <c r="AA9">
        <f t="shared" si="15"/>
        <v>84</v>
      </c>
      <c r="AB9">
        <f t="shared" si="15"/>
        <v>9</v>
      </c>
      <c r="AC9" s="4">
        <f t="shared" si="16"/>
        <v>551124</v>
      </c>
      <c r="AF9">
        <f t="shared" si="4"/>
        <v>30</v>
      </c>
      <c r="AG9" t="s">
        <v>420</v>
      </c>
      <c r="AH9" s="4">
        <f t="shared" si="5"/>
        <v>1905120</v>
      </c>
      <c r="AI9">
        <f t="shared" si="6"/>
        <v>14</v>
      </c>
    </row>
    <row r="10" spans="1:35" x14ac:dyDescent="0.25">
      <c r="A10">
        <v>4</v>
      </c>
      <c r="B10">
        <v>1</v>
      </c>
      <c r="C10">
        <v>1</v>
      </c>
      <c r="D10">
        <v>3</v>
      </c>
      <c r="E10">
        <v>1</v>
      </c>
      <c r="F10">
        <v>1</v>
      </c>
      <c r="H10" t="str">
        <f t="shared" si="0"/>
        <v>1-1-3-1-1</v>
      </c>
      <c r="I10">
        <f t="shared" si="7"/>
        <v>4</v>
      </c>
      <c r="J10">
        <f t="shared" si="1"/>
        <v>200</v>
      </c>
      <c r="K10">
        <f t="shared" si="2"/>
        <v>144</v>
      </c>
      <c r="M10">
        <f t="shared" si="8"/>
        <v>5</v>
      </c>
      <c r="N10">
        <f t="shared" si="9"/>
        <v>5</v>
      </c>
      <c r="P10">
        <f t="shared" si="10"/>
        <v>3</v>
      </c>
      <c r="Q10">
        <f t="shared" si="11"/>
        <v>1</v>
      </c>
      <c r="R10">
        <f t="shared" si="12"/>
        <v>1</v>
      </c>
      <c r="S10">
        <f t="shared" si="13"/>
        <v>1</v>
      </c>
      <c r="T10">
        <f t="shared" si="14"/>
        <v>1</v>
      </c>
      <c r="V10" t="str">
        <f t="shared" si="3"/>
        <v>3-1-1-1-1</v>
      </c>
      <c r="X10">
        <f t="shared" si="15"/>
        <v>9</v>
      </c>
      <c r="Y10">
        <f t="shared" si="15"/>
        <v>9</v>
      </c>
      <c r="Z10">
        <f t="shared" si="15"/>
        <v>84</v>
      </c>
      <c r="AA10">
        <f t="shared" si="15"/>
        <v>9</v>
      </c>
      <c r="AB10">
        <f t="shared" si="15"/>
        <v>9</v>
      </c>
      <c r="AC10" s="4">
        <f t="shared" si="16"/>
        <v>551124</v>
      </c>
      <c r="AF10">
        <f t="shared" si="4"/>
        <v>30</v>
      </c>
      <c r="AG10" t="s">
        <v>421</v>
      </c>
      <c r="AH10" s="4">
        <f t="shared" si="5"/>
        <v>3265920</v>
      </c>
      <c r="AI10">
        <f t="shared" si="6"/>
        <v>12</v>
      </c>
    </row>
    <row r="11" spans="1:35" x14ac:dyDescent="0.25">
      <c r="A11">
        <v>1</v>
      </c>
      <c r="B11">
        <v>1</v>
      </c>
      <c r="C11">
        <v>3</v>
      </c>
      <c r="D11">
        <v>1</v>
      </c>
      <c r="E11">
        <v>1</v>
      </c>
      <c r="F11">
        <v>1</v>
      </c>
      <c r="H11" t="str">
        <f t="shared" si="0"/>
        <v>1-3-1-1-1</v>
      </c>
      <c r="I11">
        <f t="shared" si="7"/>
        <v>1</v>
      </c>
      <c r="J11">
        <f t="shared" si="1"/>
        <v>180</v>
      </c>
      <c r="K11">
        <f t="shared" si="2"/>
        <v>124</v>
      </c>
      <c r="M11">
        <f t="shared" si="8"/>
        <v>3</v>
      </c>
      <c r="N11">
        <f t="shared" si="9"/>
        <v>5</v>
      </c>
      <c r="P11">
        <f t="shared" si="10"/>
        <v>3</v>
      </c>
      <c r="Q11">
        <f t="shared" si="11"/>
        <v>1</v>
      </c>
      <c r="R11">
        <f t="shared" si="12"/>
        <v>1</v>
      </c>
      <c r="S11">
        <f t="shared" si="13"/>
        <v>1</v>
      </c>
      <c r="T11">
        <f t="shared" si="14"/>
        <v>1</v>
      </c>
      <c r="V11" t="str">
        <f t="shared" si="3"/>
        <v>3-1-1-1-1</v>
      </c>
      <c r="X11">
        <f t="shared" si="15"/>
        <v>9</v>
      </c>
      <c r="Y11">
        <f t="shared" si="15"/>
        <v>84</v>
      </c>
      <c r="Z11">
        <f t="shared" si="15"/>
        <v>9</v>
      </c>
      <c r="AA11">
        <f t="shared" si="15"/>
        <v>9</v>
      </c>
      <c r="AB11">
        <f t="shared" si="15"/>
        <v>9</v>
      </c>
      <c r="AC11" s="4">
        <f t="shared" si="16"/>
        <v>551124</v>
      </c>
      <c r="AF11">
        <f t="shared" si="4"/>
        <v>30</v>
      </c>
      <c r="AG11" t="s">
        <v>422</v>
      </c>
      <c r="AH11" s="4">
        <f t="shared" si="5"/>
        <v>306180</v>
      </c>
      <c r="AI11">
        <f t="shared" si="6"/>
        <v>3</v>
      </c>
    </row>
    <row r="12" spans="1:35" x14ac:dyDescent="0.25">
      <c r="A12">
        <v>2</v>
      </c>
      <c r="B12">
        <v>3</v>
      </c>
      <c r="C12">
        <v>1</v>
      </c>
      <c r="D12">
        <v>1</v>
      </c>
      <c r="E12">
        <v>1</v>
      </c>
      <c r="F12">
        <v>1</v>
      </c>
      <c r="H12" t="str">
        <f t="shared" si="0"/>
        <v>3-1-1-1-1</v>
      </c>
      <c r="I12">
        <f t="shared" si="7"/>
        <v>2</v>
      </c>
      <c r="J12">
        <f t="shared" si="1"/>
        <v>160</v>
      </c>
      <c r="K12">
        <f t="shared" si="2"/>
        <v>106</v>
      </c>
      <c r="M12">
        <f t="shared" si="8"/>
        <v>3</v>
      </c>
      <c r="N12">
        <f t="shared" si="9"/>
        <v>5</v>
      </c>
      <c r="P12">
        <f t="shared" si="10"/>
        <v>3</v>
      </c>
      <c r="Q12">
        <f t="shared" si="11"/>
        <v>1</v>
      </c>
      <c r="R12">
        <f t="shared" si="12"/>
        <v>1</v>
      </c>
      <c r="S12">
        <f t="shared" si="13"/>
        <v>1</v>
      </c>
      <c r="T12">
        <f t="shared" si="14"/>
        <v>1</v>
      </c>
      <c r="V12" t="str">
        <f t="shared" si="3"/>
        <v>3-1-1-1-1</v>
      </c>
      <c r="X12">
        <f t="shared" si="15"/>
        <v>84</v>
      </c>
      <c r="Y12">
        <f t="shared" si="15"/>
        <v>9</v>
      </c>
      <c r="Z12">
        <f t="shared" si="15"/>
        <v>9</v>
      </c>
      <c r="AA12">
        <f t="shared" si="15"/>
        <v>9</v>
      </c>
      <c r="AB12">
        <f t="shared" si="15"/>
        <v>9</v>
      </c>
      <c r="AC12" s="4">
        <f t="shared" si="16"/>
        <v>551124</v>
      </c>
      <c r="AF12">
        <f t="shared" si="4"/>
        <v>5</v>
      </c>
      <c r="AG12" t="s">
        <v>423</v>
      </c>
      <c r="AH12" s="4">
        <f t="shared" si="5"/>
        <v>180</v>
      </c>
      <c r="AI12">
        <f t="shared" si="6"/>
        <v>0</v>
      </c>
    </row>
    <row r="13" spans="1:35" x14ac:dyDescent="0.25">
      <c r="A13">
        <v>4</v>
      </c>
      <c r="B13">
        <v>1</v>
      </c>
      <c r="C13">
        <v>1</v>
      </c>
      <c r="D13">
        <v>1</v>
      </c>
      <c r="E13">
        <v>2</v>
      </c>
      <c r="F13">
        <v>2</v>
      </c>
      <c r="H13" t="str">
        <f t="shared" si="0"/>
        <v>1-1-1-2-2</v>
      </c>
      <c r="I13">
        <f t="shared" si="7"/>
        <v>4</v>
      </c>
      <c r="J13">
        <f t="shared" si="1"/>
        <v>231</v>
      </c>
      <c r="K13">
        <f t="shared" si="2"/>
        <v>173</v>
      </c>
      <c r="M13">
        <f t="shared" si="8"/>
        <v>5</v>
      </c>
      <c r="N13">
        <f t="shared" si="9"/>
        <v>3</v>
      </c>
      <c r="P13">
        <f t="shared" si="10"/>
        <v>2</v>
      </c>
      <c r="Q13">
        <f t="shared" si="11"/>
        <v>2</v>
      </c>
      <c r="R13">
        <f t="shared" si="12"/>
        <v>1</v>
      </c>
      <c r="S13">
        <f t="shared" si="13"/>
        <v>1</v>
      </c>
      <c r="T13">
        <f t="shared" si="14"/>
        <v>1</v>
      </c>
      <c r="V13" t="str">
        <f t="shared" si="3"/>
        <v>2-2-1-1-1</v>
      </c>
      <c r="X13">
        <f t="shared" si="15"/>
        <v>9</v>
      </c>
      <c r="Y13">
        <f t="shared" si="15"/>
        <v>9</v>
      </c>
      <c r="Z13">
        <f t="shared" si="15"/>
        <v>9</v>
      </c>
      <c r="AA13">
        <f t="shared" si="15"/>
        <v>36</v>
      </c>
      <c r="AB13">
        <f t="shared" si="15"/>
        <v>36</v>
      </c>
      <c r="AC13" s="4">
        <f t="shared" si="16"/>
        <v>944784</v>
      </c>
      <c r="AF13">
        <f t="shared" si="4"/>
        <v>20</v>
      </c>
      <c r="AG13" t="s">
        <v>424</v>
      </c>
      <c r="AH13" s="4">
        <f t="shared" si="5"/>
        <v>15120</v>
      </c>
      <c r="AI13">
        <f t="shared" si="6"/>
        <v>0</v>
      </c>
    </row>
    <row r="14" spans="1:35" x14ac:dyDescent="0.25">
      <c r="A14">
        <v>6</v>
      </c>
      <c r="B14">
        <v>1</v>
      </c>
      <c r="C14">
        <v>1</v>
      </c>
      <c r="D14">
        <v>2</v>
      </c>
      <c r="E14">
        <v>1</v>
      </c>
      <c r="F14">
        <v>2</v>
      </c>
      <c r="H14" t="str">
        <f t="shared" si="0"/>
        <v>1-1-2-1-2</v>
      </c>
      <c r="I14">
        <f t="shared" si="7"/>
        <v>6</v>
      </c>
      <c r="J14">
        <f t="shared" si="1"/>
        <v>221</v>
      </c>
      <c r="K14">
        <f t="shared" si="2"/>
        <v>163</v>
      </c>
      <c r="M14">
        <f t="shared" si="8"/>
        <v>5</v>
      </c>
      <c r="N14">
        <f t="shared" si="9"/>
        <v>4</v>
      </c>
      <c r="P14">
        <f t="shared" si="10"/>
        <v>2</v>
      </c>
      <c r="Q14">
        <f t="shared" si="11"/>
        <v>2</v>
      </c>
      <c r="R14">
        <f t="shared" si="12"/>
        <v>1</v>
      </c>
      <c r="S14">
        <f t="shared" si="13"/>
        <v>1</v>
      </c>
      <c r="T14">
        <f t="shared" si="14"/>
        <v>1</v>
      </c>
      <c r="V14" t="str">
        <f t="shared" si="3"/>
        <v>2-2-1-1-1</v>
      </c>
      <c r="X14">
        <f t="shared" si="15"/>
        <v>9</v>
      </c>
      <c r="Y14">
        <f t="shared" si="15"/>
        <v>9</v>
      </c>
      <c r="Z14">
        <f t="shared" si="15"/>
        <v>36</v>
      </c>
      <c r="AA14">
        <f t="shared" si="15"/>
        <v>9</v>
      </c>
      <c r="AB14">
        <f t="shared" si="15"/>
        <v>36</v>
      </c>
      <c r="AC14" s="4">
        <f t="shared" si="16"/>
        <v>944784</v>
      </c>
      <c r="AF14">
        <f t="shared" si="4"/>
        <v>20</v>
      </c>
      <c r="AG14" t="s">
        <v>425</v>
      </c>
      <c r="AH14" s="4">
        <f t="shared" si="5"/>
        <v>90720</v>
      </c>
      <c r="AI14">
        <f t="shared" si="6"/>
        <v>0</v>
      </c>
    </row>
    <row r="15" spans="1:35" x14ac:dyDescent="0.25">
      <c r="A15">
        <v>8</v>
      </c>
      <c r="B15">
        <v>1</v>
      </c>
      <c r="C15">
        <v>1</v>
      </c>
      <c r="D15">
        <v>2</v>
      </c>
      <c r="E15">
        <v>2</v>
      </c>
      <c r="F15">
        <v>1</v>
      </c>
      <c r="H15" t="str">
        <f t="shared" si="0"/>
        <v>1-1-2-2-1</v>
      </c>
      <c r="I15">
        <f t="shared" si="7"/>
        <v>8</v>
      </c>
      <c r="J15">
        <f t="shared" si="1"/>
        <v>211</v>
      </c>
      <c r="K15">
        <f t="shared" si="2"/>
        <v>153</v>
      </c>
      <c r="M15">
        <f t="shared" si="8"/>
        <v>5</v>
      </c>
      <c r="N15">
        <f t="shared" si="9"/>
        <v>4</v>
      </c>
      <c r="P15">
        <f t="shared" si="10"/>
        <v>2</v>
      </c>
      <c r="Q15">
        <f t="shared" si="11"/>
        <v>2</v>
      </c>
      <c r="R15">
        <f t="shared" si="12"/>
        <v>1</v>
      </c>
      <c r="S15">
        <f t="shared" si="13"/>
        <v>1</v>
      </c>
      <c r="T15">
        <f t="shared" si="14"/>
        <v>1</v>
      </c>
      <c r="V15" t="str">
        <f t="shared" si="3"/>
        <v>2-2-1-1-1</v>
      </c>
      <c r="X15">
        <f t="shared" si="15"/>
        <v>9</v>
      </c>
      <c r="Y15">
        <f t="shared" si="15"/>
        <v>9</v>
      </c>
      <c r="Z15">
        <f t="shared" si="15"/>
        <v>36</v>
      </c>
      <c r="AA15">
        <f t="shared" si="15"/>
        <v>36</v>
      </c>
      <c r="AB15">
        <f t="shared" si="15"/>
        <v>9</v>
      </c>
      <c r="AC15" s="4">
        <f t="shared" si="16"/>
        <v>944784</v>
      </c>
      <c r="AF15">
        <f t="shared" si="4"/>
        <v>20</v>
      </c>
      <c r="AG15" t="s">
        <v>426</v>
      </c>
      <c r="AH15" s="4">
        <f t="shared" si="5"/>
        <v>211680</v>
      </c>
      <c r="AI15">
        <f t="shared" si="6"/>
        <v>0</v>
      </c>
    </row>
    <row r="16" spans="1:35" x14ac:dyDescent="0.25">
      <c r="A16">
        <v>2</v>
      </c>
      <c r="B16">
        <v>1</v>
      </c>
      <c r="C16">
        <v>2</v>
      </c>
      <c r="D16">
        <v>1</v>
      </c>
      <c r="E16">
        <v>1</v>
      </c>
      <c r="F16">
        <v>2</v>
      </c>
      <c r="H16" t="str">
        <f t="shared" si="0"/>
        <v>1-2-1-1-2</v>
      </c>
      <c r="I16">
        <f t="shared" si="7"/>
        <v>2</v>
      </c>
      <c r="J16">
        <f t="shared" si="1"/>
        <v>211</v>
      </c>
      <c r="K16">
        <f t="shared" si="2"/>
        <v>153</v>
      </c>
      <c r="M16">
        <f t="shared" si="8"/>
        <v>4</v>
      </c>
      <c r="N16">
        <f t="shared" si="9"/>
        <v>4</v>
      </c>
      <c r="P16">
        <f t="shared" si="10"/>
        <v>2</v>
      </c>
      <c r="Q16">
        <f t="shared" si="11"/>
        <v>2</v>
      </c>
      <c r="R16">
        <f t="shared" si="12"/>
        <v>1</v>
      </c>
      <c r="S16">
        <f t="shared" si="13"/>
        <v>1</v>
      </c>
      <c r="T16">
        <f t="shared" si="14"/>
        <v>1</v>
      </c>
      <c r="V16" t="str">
        <f t="shared" si="3"/>
        <v>2-2-1-1-1</v>
      </c>
      <c r="X16">
        <f t="shared" si="15"/>
        <v>9</v>
      </c>
      <c r="Y16">
        <f t="shared" si="15"/>
        <v>36</v>
      </c>
      <c r="Z16">
        <f t="shared" si="15"/>
        <v>9</v>
      </c>
      <c r="AA16">
        <f t="shared" si="15"/>
        <v>9</v>
      </c>
      <c r="AB16">
        <f t="shared" si="15"/>
        <v>36</v>
      </c>
      <c r="AC16" s="4">
        <f t="shared" si="16"/>
        <v>944784</v>
      </c>
      <c r="AH16" s="4"/>
    </row>
    <row r="17" spans="1:34" x14ac:dyDescent="0.25">
      <c r="A17">
        <v>8</v>
      </c>
      <c r="B17">
        <v>1</v>
      </c>
      <c r="C17">
        <v>2</v>
      </c>
      <c r="D17">
        <v>1</v>
      </c>
      <c r="E17">
        <v>2</v>
      </c>
      <c r="F17">
        <v>1</v>
      </c>
      <c r="H17" t="str">
        <f t="shared" si="0"/>
        <v>1-2-1-2-1</v>
      </c>
      <c r="I17">
        <f t="shared" si="7"/>
        <v>8</v>
      </c>
      <c r="J17">
        <f t="shared" si="1"/>
        <v>201</v>
      </c>
      <c r="K17">
        <f t="shared" si="2"/>
        <v>143</v>
      </c>
      <c r="M17">
        <f t="shared" si="8"/>
        <v>4</v>
      </c>
      <c r="N17">
        <f t="shared" si="9"/>
        <v>4</v>
      </c>
      <c r="P17">
        <f t="shared" si="10"/>
        <v>2</v>
      </c>
      <c r="Q17">
        <f t="shared" si="11"/>
        <v>2</v>
      </c>
      <c r="R17">
        <f t="shared" si="12"/>
        <v>1</v>
      </c>
      <c r="S17">
        <f t="shared" si="13"/>
        <v>1</v>
      </c>
      <c r="T17">
        <f t="shared" si="14"/>
        <v>1</v>
      </c>
      <c r="V17" t="str">
        <f t="shared" si="3"/>
        <v>2-2-1-1-1</v>
      </c>
      <c r="X17">
        <f t="shared" si="15"/>
        <v>9</v>
      </c>
      <c r="Y17">
        <f t="shared" si="15"/>
        <v>36</v>
      </c>
      <c r="Z17">
        <f t="shared" si="15"/>
        <v>9</v>
      </c>
      <c r="AA17">
        <f t="shared" si="15"/>
        <v>36</v>
      </c>
      <c r="AB17">
        <f t="shared" si="15"/>
        <v>9</v>
      </c>
      <c r="AC17" s="4">
        <f t="shared" si="16"/>
        <v>944784</v>
      </c>
      <c r="AG17" t="s">
        <v>427</v>
      </c>
      <c r="AH17" s="4">
        <f>SUM(AH3:AH15)</f>
        <v>45379620</v>
      </c>
    </row>
    <row r="18" spans="1:34" x14ac:dyDescent="0.25">
      <c r="A18">
        <v>6</v>
      </c>
      <c r="B18">
        <v>1</v>
      </c>
      <c r="C18">
        <v>2</v>
      </c>
      <c r="D18">
        <v>2</v>
      </c>
      <c r="E18">
        <v>1</v>
      </c>
      <c r="F18">
        <v>1</v>
      </c>
      <c r="H18" t="str">
        <f t="shared" si="0"/>
        <v>1-2-2-1-1</v>
      </c>
      <c r="I18">
        <f t="shared" si="7"/>
        <v>6</v>
      </c>
      <c r="J18">
        <f t="shared" si="1"/>
        <v>191</v>
      </c>
      <c r="K18">
        <f t="shared" si="2"/>
        <v>133</v>
      </c>
      <c r="M18">
        <f t="shared" si="8"/>
        <v>4</v>
      </c>
      <c r="N18">
        <f t="shared" si="9"/>
        <v>5</v>
      </c>
      <c r="P18">
        <f t="shared" si="10"/>
        <v>2</v>
      </c>
      <c r="Q18">
        <f t="shared" si="11"/>
        <v>2</v>
      </c>
      <c r="R18">
        <f t="shared" si="12"/>
        <v>1</v>
      </c>
      <c r="S18">
        <f t="shared" si="13"/>
        <v>1</v>
      </c>
      <c r="T18">
        <f t="shared" si="14"/>
        <v>1</v>
      </c>
      <c r="V18" t="str">
        <f t="shared" si="3"/>
        <v>2-2-1-1-1</v>
      </c>
      <c r="X18">
        <f t="shared" si="15"/>
        <v>9</v>
      </c>
      <c r="Y18">
        <f t="shared" si="15"/>
        <v>36</v>
      </c>
      <c r="Z18">
        <f t="shared" si="15"/>
        <v>36</v>
      </c>
      <c r="AA18">
        <f t="shared" si="15"/>
        <v>9</v>
      </c>
      <c r="AB18">
        <f t="shared" si="15"/>
        <v>9</v>
      </c>
      <c r="AC18" s="4">
        <f t="shared" si="16"/>
        <v>944784</v>
      </c>
    </row>
    <row r="19" spans="1:34" x14ac:dyDescent="0.25">
      <c r="A19">
        <v>8</v>
      </c>
      <c r="B19">
        <v>2</v>
      </c>
      <c r="C19">
        <v>1</v>
      </c>
      <c r="D19">
        <v>1</v>
      </c>
      <c r="E19">
        <v>1</v>
      </c>
      <c r="F19">
        <v>2</v>
      </c>
      <c r="H19" t="str">
        <f t="shared" si="0"/>
        <v>2-1-1-1-2</v>
      </c>
      <c r="I19">
        <f t="shared" si="7"/>
        <v>8</v>
      </c>
      <c r="J19">
        <f t="shared" si="1"/>
        <v>201</v>
      </c>
      <c r="K19">
        <f t="shared" si="2"/>
        <v>144</v>
      </c>
      <c r="M19">
        <f t="shared" si="8"/>
        <v>4</v>
      </c>
      <c r="N19">
        <f t="shared" si="9"/>
        <v>4</v>
      </c>
      <c r="P19">
        <f t="shared" si="10"/>
        <v>2</v>
      </c>
      <c r="Q19">
        <f t="shared" si="11"/>
        <v>2</v>
      </c>
      <c r="R19">
        <f t="shared" si="12"/>
        <v>1</v>
      </c>
      <c r="S19">
        <f t="shared" si="13"/>
        <v>1</v>
      </c>
      <c r="T19">
        <f t="shared" si="14"/>
        <v>1</v>
      </c>
      <c r="V19" t="str">
        <f t="shared" si="3"/>
        <v>2-2-1-1-1</v>
      </c>
      <c r="X19">
        <f t="shared" si="15"/>
        <v>36</v>
      </c>
      <c r="Y19">
        <f t="shared" si="15"/>
        <v>9</v>
      </c>
      <c r="Z19">
        <f t="shared" si="15"/>
        <v>9</v>
      </c>
      <c r="AA19">
        <f t="shared" si="15"/>
        <v>9</v>
      </c>
      <c r="AB19">
        <f t="shared" si="15"/>
        <v>36</v>
      </c>
      <c r="AC19" s="4">
        <f t="shared" si="16"/>
        <v>944784</v>
      </c>
    </row>
    <row r="20" spans="1:34" x14ac:dyDescent="0.25">
      <c r="A20">
        <v>3</v>
      </c>
      <c r="B20">
        <v>2</v>
      </c>
      <c r="C20">
        <v>1</v>
      </c>
      <c r="D20">
        <v>1</v>
      </c>
      <c r="E20">
        <v>2</v>
      </c>
      <c r="F20">
        <v>1</v>
      </c>
      <c r="H20" t="str">
        <f t="shared" si="0"/>
        <v>2-1-1-2-1</v>
      </c>
      <c r="I20">
        <f t="shared" si="7"/>
        <v>3</v>
      </c>
      <c r="J20">
        <f t="shared" si="1"/>
        <v>191</v>
      </c>
      <c r="K20">
        <f t="shared" si="2"/>
        <v>134</v>
      </c>
      <c r="M20">
        <f t="shared" si="8"/>
        <v>4</v>
      </c>
      <c r="N20">
        <f t="shared" si="9"/>
        <v>4</v>
      </c>
      <c r="P20">
        <f t="shared" si="10"/>
        <v>2</v>
      </c>
      <c r="Q20">
        <f t="shared" si="11"/>
        <v>2</v>
      </c>
      <c r="R20">
        <f t="shared" si="12"/>
        <v>1</v>
      </c>
      <c r="S20">
        <f t="shared" si="13"/>
        <v>1</v>
      </c>
      <c r="T20">
        <f t="shared" si="14"/>
        <v>1</v>
      </c>
      <c r="V20" t="str">
        <f t="shared" si="3"/>
        <v>2-2-1-1-1</v>
      </c>
      <c r="X20">
        <f t="shared" si="15"/>
        <v>36</v>
      </c>
      <c r="Y20">
        <f t="shared" si="15"/>
        <v>9</v>
      </c>
      <c r="Z20">
        <f t="shared" si="15"/>
        <v>9</v>
      </c>
      <c r="AA20">
        <f t="shared" si="15"/>
        <v>36</v>
      </c>
      <c r="AB20">
        <f t="shared" si="15"/>
        <v>9</v>
      </c>
      <c r="AC20" s="4">
        <f t="shared" si="16"/>
        <v>944784</v>
      </c>
    </row>
    <row r="21" spans="1:34" x14ac:dyDescent="0.25">
      <c r="A21">
        <v>3</v>
      </c>
      <c r="B21">
        <v>2</v>
      </c>
      <c r="C21">
        <v>1</v>
      </c>
      <c r="D21">
        <v>2</v>
      </c>
      <c r="E21">
        <v>1</v>
      </c>
      <c r="F21">
        <v>1</v>
      </c>
      <c r="H21" t="str">
        <f t="shared" si="0"/>
        <v>2-1-2-1-1</v>
      </c>
      <c r="I21">
        <f t="shared" si="7"/>
        <v>3</v>
      </c>
      <c r="J21">
        <f t="shared" si="1"/>
        <v>181</v>
      </c>
      <c r="K21">
        <f t="shared" si="2"/>
        <v>124</v>
      </c>
      <c r="M21">
        <f t="shared" si="8"/>
        <v>4</v>
      </c>
      <c r="N21">
        <f t="shared" si="9"/>
        <v>5</v>
      </c>
      <c r="P21">
        <f t="shared" si="10"/>
        <v>2</v>
      </c>
      <c r="Q21">
        <f t="shared" si="11"/>
        <v>2</v>
      </c>
      <c r="R21">
        <f t="shared" si="12"/>
        <v>1</v>
      </c>
      <c r="S21">
        <f t="shared" si="13"/>
        <v>1</v>
      </c>
      <c r="T21">
        <f t="shared" si="14"/>
        <v>1</v>
      </c>
      <c r="V21" t="str">
        <f t="shared" si="3"/>
        <v>2-2-1-1-1</v>
      </c>
      <c r="X21">
        <f t="shared" si="15"/>
        <v>36</v>
      </c>
      <c r="Y21">
        <f t="shared" si="15"/>
        <v>9</v>
      </c>
      <c r="Z21">
        <f t="shared" si="15"/>
        <v>36</v>
      </c>
      <c r="AA21">
        <f t="shared" si="15"/>
        <v>9</v>
      </c>
      <c r="AB21">
        <f t="shared" si="15"/>
        <v>9</v>
      </c>
      <c r="AC21" s="4">
        <f t="shared" si="16"/>
        <v>944784</v>
      </c>
    </row>
    <row r="22" spans="1:34" x14ac:dyDescent="0.25">
      <c r="A22">
        <v>2</v>
      </c>
      <c r="B22">
        <v>2</v>
      </c>
      <c r="C22">
        <v>2</v>
      </c>
      <c r="D22">
        <v>1</v>
      </c>
      <c r="E22">
        <v>1</v>
      </c>
      <c r="F22">
        <v>1</v>
      </c>
      <c r="H22" t="str">
        <f t="shared" si="0"/>
        <v>2-2-1-1-1</v>
      </c>
      <c r="I22">
        <f t="shared" si="7"/>
        <v>2</v>
      </c>
      <c r="J22">
        <f t="shared" si="1"/>
        <v>171</v>
      </c>
      <c r="K22">
        <f t="shared" si="2"/>
        <v>114</v>
      </c>
      <c r="M22">
        <f t="shared" si="8"/>
        <v>3</v>
      </c>
      <c r="N22">
        <f t="shared" si="9"/>
        <v>5</v>
      </c>
      <c r="P22">
        <f t="shared" si="10"/>
        <v>2</v>
      </c>
      <c r="Q22">
        <f t="shared" si="11"/>
        <v>2</v>
      </c>
      <c r="R22">
        <f t="shared" si="12"/>
        <v>1</v>
      </c>
      <c r="S22">
        <f t="shared" si="13"/>
        <v>1</v>
      </c>
      <c r="T22">
        <f t="shared" si="14"/>
        <v>1</v>
      </c>
      <c r="V22" t="str">
        <f t="shared" si="3"/>
        <v>2-2-1-1-1</v>
      </c>
      <c r="X22">
        <f t="shared" si="15"/>
        <v>36</v>
      </c>
      <c r="Y22">
        <f t="shared" si="15"/>
        <v>36</v>
      </c>
      <c r="Z22">
        <f t="shared" si="15"/>
        <v>9</v>
      </c>
      <c r="AA22">
        <f t="shared" si="15"/>
        <v>9</v>
      </c>
      <c r="AB22">
        <f t="shared" si="15"/>
        <v>9</v>
      </c>
      <c r="AC22" s="4">
        <f t="shared" si="16"/>
        <v>944784</v>
      </c>
    </row>
    <row r="23" spans="1:34" x14ac:dyDescent="0.25">
      <c r="A23">
        <v>1</v>
      </c>
      <c r="B23">
        <v>0</v>
      </c>
      <c r="C23">
        <v>1</v>
      </c>
      <c r="D23">
        <v>2</v>
      </c>
      <c r="E23">
        <v>2</v>
      </c>
      <c r="F23">
        <v>2</v>
      </c>
      <c r="H23" t="str">
        <f t="shared" si="0"/>
        <v>0-1-2-2-2</v>
      </c>
      <c r="I23">
        <f t="shared" si="7"/>
        <v>1</v>
      </c>
      <c r="J23">
        <f t="shared" si="1"/>
        <v>250</v>
      </c>
      <c r="K23">
        <f t="shared" si="2"/>
        <v>193</v>
      </c>
      <c r="M23">
        <f t="shared" si="8"/>
        <v>6</v>
      </c>
      <c r="N23">
        <f t="shared" si="9"/>
        <v>3</v>
      </c>
      <c r="P23">
        <f t="shared" si="10"/>
        <v>2</v>
      </c>
      <c r="Q23">
        <f t="shared" si="11"/>
        <v>2</v>
      </c>
      <c r="R23">
        <f t="shared" si="12"/>
        <v>2</v>
      </c>
      <c r="S23">
        <f t="shared" si="13"/>
        <v>1</v>
      </c>
      <c r="T23">
        <f t="shared" si="14"/>
        <v>0</v>
      </c>
      <c r="V23" t="str">
        <f t="shared" si="3"/>
        <v>2-2-2-1-0</v>
      </c>
      <c r="X23">
        <f t="shared" si="15"/>
        <v>1</v>
      </c>
      <c r="Y23">
        <f t="shared" si="15"/>
        <v>9</v>
      </c>
      <c r="Z23">
        <f t="shared" si="15"/>
        <v>36</v>
      </c>
      <c r="AA23">
        <f t="shared" si="15"/>
        <v>36</v>
      </c>
      <c r="AB23">
        <f t="shared" si="15"/>
        <v>36</v>
      </c>
      <c r="AC23" s="4">
        <f t="shared" si="16"/>
        <v>419904</v>
      </c>
    </row>
    <row r="24" spans="1:34" x14ac:dyDescent="0.25">
      <c r="A24">
        <v>7</v>
      </c>
      <c r="B24">
        <v>0</v>
      </c>
      <c r="C24">
        <v>2</v>
      </c>
      <c r="D24">
        <v>1</v>
      </c>
      <c r="E24">
        <v>2</v>
      </c>
      <c r="F24">
        <v>2</v>
      </c>
      <c r="H24" t="str">
        <f t="shared" si="0"/>
        <v>0-2-1-2-2</v>
      </c>
      <c r="I24">
        <f t="shared" si="7"/>
        <v>7</v>
      </c>
      <c r="J24">
        <f t="shared" si="1"/>
        <v>240</v>
      </c>
      <c r="K24">
        <f t="shared" si="2"/>
        <v>183</v>
      </c>
      <c r="M24">
        <f t="shared" si="8"/>
        <v>5</v>
      </c>
      <c r="N24">
        <f t="shared" si="9"/>
        <v>3</v>
      </c>
      <c r="P24">
        <f t="shared" si="10"/>
        <v>2</v>
      </c>
      <c r="Q24">
        <f t="shared" si="11"/>
        <v>2</v>
      </c>
      <c r="R24">
        <f t="shared" si="12"/>
        <v>2</v>
      </c>
      <c r="S24">
        <f t="shared" si="13"/>
        <v>1</v>
      </c>
      <c r="T24">
        <f t="shared" si="14"/>
        <v>0</v>
      </c>
      <c r="V24" t="str">
        <f t="shared" si="3"/>
        <v>2-2-2-1-0</v>
      </c>
      <c r="X24">
        <f t="shared" si="15"/>
        <v>1</v>
      </c>
      <c r="Y24">
        <f t="shared" si="15"/>
        <v>36</v>
      </c>
      <c r="Z24">
        <f t="shared" si="15"/>
        <v>9</v>
      </c>
      <c r="AA24">
        <f t="shared" si="15"/>
        <v>36</v>
      </c>
      <c r="AB24">
        <f t="shared" si="15"/>
        <v>36</v>
      </c>
      <c r="AC24" s="4">
        <f t="shared" si="16"/>
        <v>419904</v>
      </c>
    </row>
    <row r="25" spans="1:34" x14ac:dyDescent="0.25">
      <c r="A25">
        <v>1</v>
      </c>
      <c r="B25">
        <v>0</v>
      </c>
      <c r="C25">
        <v>2</v>
      </c>
      <c r="D25">
        <v>2</v>
      </c>
      <c r="E25">
        <v>1</v>
      </c>
      <c r="F25">
        <v>2</v>
      </c>
      <c r="H25" t="str">
        <f t="shared" si="0"/>
        <v>0-2-2-1-2</v>
      </c>
      <c r="I25">
        <f t="shared" si="7"/>
        <v>1</v>
      </c>
      <c r="J25">
        <f t="shared" si="1"/>
        <v>230</v>
      </c>
      <c r="K25">
        <f t="shared" si="2"/>
        <v>173</v>
      </c>
      <c r="M25">
        <f t="shared" si="8"/>
        <v>5</v>
      </c>
      <c r="N25">
        <f t="shared" si="9"/>
        <v>4</v>
      </c>
      <c r="P25">
        <f t="shared" si="10"/>
        <v>2</v>
      </c>
      <c r="Q25">
        <f t="shared" si="11"/>
        <v>2</v>
      </c>
      <c r="R25">
        <f t="shared" si="12"/>
        <v>2</v>
      </c>
      <c r="S25">
        <f t="shared" si="13"/>
        <v>1</v>
      </c>
      <c r="T25">
        <f t="shared" si="14"/>
        <v>0</v>
      </c>
      <c r="V25" t="str">
        <f t="shared" si="3"/>
        <v>2-2-2-1-0</v>
      </c>
      <c r="X25">
        <f t="shared" si="15"/>
        <v>1</v>
      </c>
      <c r="Y25">
        <f t="shared" si="15"/>
        <v>36</v>
      </c>
      <c r="Z25">
        <f t="shared" si="15"/>
        <v>36</v>
      </c>
      <c r="AA25">
        <f t="shared" si="15"/>
        <v>9</v>
      </c>
      <c r="AB25">
        <f t="shared" si="15"/>
        <v>36</v>
      </c>
      <c r="AC25" s="4">
        <f t="shared" si="16"/>
        <v>419904</v>
      </c>
    </row>
    <row r="26" spans="1:34" x14ac:dyDescent="0.25">
      <c r="A26">
        <v>1</v>
      </c>
      <c r="B26">
        <v>0</v>
      </c>
      <c r="C26">
        <v>2</v>
      </c>
      <c r="D26">
        <v>2</v>
      </c>
      <c r="E26">
        <v>2</v>
      </c>
      <c r="F26">
        <v>1</v>
      </c>
      <c r="H26" t="str">
        <f t="shared" si="0"/>
        <v>0-2-2-2-1</v>
      </c>
      <c r="I26">
        <f t="shared" si="7"/>
        <v>1</v>
      </c>
      <c r="J26">
        <f t="shared" si="1"/>
        <v>220</v>
      </c>
      <c r="K26">
        <f t="shared" si="2"/>
        <v>163</v>
      </c>
      <c r="M26">
        <f t="shared" si="8"/>
        <v>5</v>
      </c>
      <c r="N26">
        <f t="shared" si="9"/>
        <v>4</v>
      </c>
      <c r="P26">
        <f t="shared" si="10"/>
        <v>2</v>
      </c>
      <c r="Q26">
        <f t="shared" si="11"/>
        <v>2</v>
      </c>
      <c r="R26">
        <f t="shared" si="12"/>
        <v>2</v>
      </c>
      <c r="S26">
        <f t="shared" si="13"/>
        <v>1</v>
      </c>
      <c r="T26">
        <f t="shared" si="14"/>
        <v>0</v>
      </c>
      <c r="V26" t="str">
        <f t="shared" si="3"/>
        <v>2-2-2-1-0</v>
      </c>
      <c r="X26">
        <f t="shared" si="15"/>
        <v>1</v>
      </c>
      <c r="Y26">
        <f t="shared" si="15"/>
        <v>36</v>
      </c>
      <c r="Z26">
        <f t="shared" si="15"/>
        <v>36</v>
      </c>
      <c r="AA26">
        <f t="shared" si="15"/>
        <v>36</v>
      </c>
      <c r="AB26">
        <f t="shared" si="15"/>
        <v>9</v>
      </c>
      <c r="AC26" s="4">
        <f t="shared" si="16"/>
        <v>419904</v>
      </c>
    </row>
    <row r="27" spans="1:34" x14ac:dyDescent="0.25">
      <c r="A27">
        <v>1</v>
      </c>
      <c r="B27">
        <v>1</v>
      </c>
      <c r="C27">
        <v>0</v>
      </c>
      <c r="D27">
        <v>2</v>
      </c>
      <c r="E27">
        <v>2</v>
      </c>
      <c r="F27">
        <v>2</v>
      </c>
      <c r="H27" t="str">
        <f t="shared" si="0"/>
        <v>1-0-2-2-2</v>
      </c>
      <c r="I27">
        <f t="shared" si="7"/>
        <v>1</v>
      </c>
      <c r="J27">
        <f t="shared" si="1"/>
        <v>240</v>
      </c>
      <c r="K27">
        <f t="shared" si="2"/>
        <v>184</v>
      </c>
      <c r="M27">
        <f t="shared" si="8"/>
        <v>6</v>
      </c>
      <c r="N27">
        <f t="shared" si="9"/>
        <v>3</v>
      </c>
      <c r="P27">
        <f t="shared" si="10"/>
        <v>2</v>
      </c>
      <c r="Q27">
        <f t="shared" si="11"/>
        <v>2</v>
      </c>
      <c r="R27">
        <f t="shared" si="12"/>
        <v>2</v>
      </c>
      <c r="S27">
        <f t="shared" si="13"/>
        <v>1</v>
      </c>
      <c r="T27">
        <f t="shared" si="14"/>
        <v>0</v>
      </c>
      <c r="V27" t="str">
        <f t="shared" si="3"/>
        <v>2-2-2-1-0</v>
      </c>
      <c r="X27">
        <f t="shared" si="15"/>
        <v>9</v>
      </c>
      <c r="Y27">
        <f t="shared" si="15"/>
        <v>1</v>
      </c>
      <c r="Z27">
        <f t="shared" si="15"/>
        <v>36</v>
      </c>
      <c r="AA27">
        <f t="shared" si="15"/>
        <v>36</v>
      </c>
      <c r="AB27">
        <f t="shared" si="15"/>
        <v>36</v>
      </c>
      <c r="AC27" s="4">
        <f t="shared" si="16"/>
        <v>419904</v>
      </c>
    </row>
    <row r="28" spans="1:34" x14ac:dyDescent="0.25">
      <c r="A28">
        <v>5</v>
      </c>
      <c r="B28">
        <v>1</v>
      </c>
      <c r="C28">
        <v>2</v>
      </c>
      <c r="D28">
        <v>0</v>
      </c>
      <c r="E28">
        <v>2</v>
      </c>
      <c r="F28">
        <v>2</v>
      </c>
      <c r="H28" t="str">
        <f t="shared" si="0"/>
        <v>1-2-0-2-2</v>
      </c>
      <c r="I28">
        <f t="shared" si="7"/>
        <v>5</v>
      </c>
      <c r="J28">
        <f t="shared" si="1"/>
        <v>220</v>
      </c>
      <c r="K28">
        <f t="shared" si="2"/>
        <v>164</v>
      </c>
      <c r="M28">
        <f t="shared" si="8"/>
        <v>4</v>
      </c>
      <c r="N28">
        <f t="shared" si="9"/>
        <v>3</v>
      </c>
      <c r="P28">
        <f t="shared" si="10"/>
        <v>2</v>
      </c>
      <c r="Q28">
        <f t="shared" si="11"/>
        <v>2</v>
      </c>
      <c r="R28">
        <f t="shared" si="12"/>
        <v>2</v>
      </c>
      <c r="S28">
        <f t="shared" si="13"/>
        <v>1</v>
      </c>
      <c r="T28">
        <f t="shared" si="14"/>
        <v>0</v>
      </c>
      <c r="V28" t="str">
        <f t="shared" si="3"/>
        <v>2-2-2-1-0</v>
      </c>
      <c r="X28">
        <f t="shared" si="15"/>
        <v>9</v>
      </c>
      <c r="Y28">
        <f t="shared" si="15"/>
        <v>36</v>
      </c>
      <c r="Z28">
        <f t="shared" si="15"/>
        <v>1</v>
      </c>
      <c r="AA28">
        <f t="shared" si="15"/>
        <v>36</v>
      </c>
      <c r="AB28">
        <f t="shared" si="15"/>
        <v>36</v>
      </c>
      <c r="AC28" s="4">
        <f t="shared" si="16"/>
        <v>419904</v>
      </c>
    </row>
    <row r="29" spans="1:34" x14ac:dyDescent="0.25">
      <c r="A29">
        <v>1</v>
      </c>
      <c r="B29">
        <v>1</v>
      </c>
      <c r="C29">
        <v>2</v>
      </c>
      <c r="D29">
        <v>2</v>
      </c>
      <c r="E29">
        <v>0</v>
      </c>
      <c r="F29">
        <v>2</v>
      </c>
      <c r="H29" t="str">
        <f t="shared" si="0"/>
        <v>1-2-2-0-2</v>
      </c>
      <c r="I29">
        <f t="shared" si="7"/>
        <v>1</v>
      </c>
      <c r="J29">
        <f t="shared" si="1"/>
        <v>200</v>
      </c>
      <c r="K29">
        <f t="shared" si="2"/>
        <v>144</v>
      </c>
      <c r="M29">
        <f t="shared" si="8"/>
        <v>4</v>
      </c>
      <c r="N29">
        <f t="shared" si="9"/>
        <v>5</v>
      </c>
      <c r="P29">
        <f t="shared" si="10"/>
        <v>2</v>
      </c>
      <c r="Q29">
        <f t="shared" si="11"/>
        <v>2</v>
      </c>
      <c r="R29">
        <f t="shared" si="12"/>
        <v>2</v>
      </c>
      <c r="S29">
        <f t="shared" si="13"/>
        <v>1</v>
      </c>
      <c r="T29">
        <f t="shared" si="14"/>
        <v>0</v>
      </c>
      <c r="V29" t="str">
        <f t="shared" si="3"/>
        <v>2-2-2-1-0</v>
      </c>
      <c r="X29">
        <f t="shared" si="15"/>
        <v>9</v>
      </c>
      <c r="Y29">
        <f t="shared" si="15"/>
        <v>36</v>
      </c>
      <c r="Z29">
        <f t="shared" si="15"/>
        <v>36</v>
      </c>
      <c r="AA29">
        <f t="shared" si="15"/>
        <v>1</v>
      </c>
      <c r="AB29">
        <f t="shared" si="15"/>
        <v>36</v>
      </c>
      <c r="AC29" s="4">
        <f t="shared" si="16"/>
        <v>419904</v>
      </c>
    </row>
    <row r="30" spans="1:34" x14ac:dyDescent="0.25">
      <c r="A30">
        <v>1</v>
      </c>
      <c r="B30">
        <v>1</v>
      </c>
      <c r="C30">
        <v>2</v>
      </c>
      <c r="D30">
        <v>2</v>
      </c>
      <c r="E30">
        <v>2</v>
      </c>
      <c r="F30">
        <v>0</v>
      </c>
      <c r="H30" t="str">
        <f t="shared" si="0"/>
        <v>1-2-2-2-0</v>
      </c>
      <c r="I30">
        <f t="shared" si="7"/>
        <v>1</v>
      </c>
      <c r="J30">
        <f t="shared" si="1"/>
        <v>180</v>
      </c>
      <c r="K30">
        <f t="shared" si="2"/>
        <v>124</v>
      </c>
      <c r="M30">
        <f t="shared" si="8"/>
        <v>4</v>
      </c>
      <c r="N30">
        <f t="shared" si="9"/>
        <v>5</v>
      </c>
      <c r="P30">
        <f t="shared" si="10"/>
        <v>2</v>
      </c>
      <c r="Q30">
        <f t="shared" si="11"/>
        <v>2</v>
      </c>
      <c r="R30">
        <f t="shared" si="12"/>
        <v>2</v>
      </c>
      <c r="S30">
        <f t="shared" si="13"/>
        <v>1</v>
      </c>
      <c r="T30">
        <f t="shared" si="14"/>
        <v>0</v>
      </c>
      <c r="V30" t="str">
        <f t="shared" si="3"/>
        <v>2-2-2-1-0</v>
      </c>
      <c r="X30">
        <f t="shared" si="15"/>
        <v>9</v>
      </c>
      <c r="Y30">
        <f t="shared" si="15"/>
        <v>36</v>
      </c>
      <c r="Z30">
        <f t="shared" si="15"/>
        <v>36</v>
      </c>
      <c r="AA30">
        <f t="shared" si="15"/>
        <v>36</v>
      </c>
      <c r="AB30">
        <f t="shared" si="15"/>
        <v>1</v>
      </c>
      <c r="AC30" s="4">
        <f t="shared" si="16"/>
        <v>419904</v>
      </c>
    </row>
    <row r="31" spans="1:34" x14ac:dyDescent="0.25">
      <c r="A31">
        <v>0</v>
      </c>
      <c r="B31">
        <v>2</v>
      </c>
      <c r="C31">
        <v>0</v>
      </c>
      <c r="D31">
        <v>1</v>
      </c>
      <c r="E31">
        <v>2</v>
      </c>
      <c r="F31">
        <v>2</v>
      </c>
      <c r="H31" t="str">
        <f t="shared" si="0"/>
        <v>2-0-1-2-2</v>
      </c>
      <c r="I31">
        <f t="shared" si="7"/>
        <v>0</v>
      </c>
      <c r="J31">
        <f t="shared" si="1"/>
        <v>220</v>
      </c>
      <c r="K31">
        <f t="shared" si="2"/>
        <v>165</v>
      </c>
      <c r="M31">
        <f t="shared" si="8"/>
        <v>5</v>
      </c>
      <c r="N31">
        <f t="shared" si="9"/>
        <v>3</v>
      </c>
      <c r="P31">
        <f t="shared" si="10"/>
        <v>2</v>
      </c>
      <c r="Q31">
        <f t="shared" si="11"/>
        <v>2</v>
      </c>
      <c r="R31">
        <f t="shared" si="12"/>
        <v>2</v>
      </c>
      <c r="S31">
        <f t="shared" si="13"/>
        <v>1</v>
      </c>
      <c r="T31">
        <f t="shared" si="14"/>
        <v>0</v>
      </c>
      <c r="V31" t="str">
        <f t="shared" si="3"/>
        <v>2-2-2-1-0</v>
      </c>
      <c r="X31">
        <f t="shared" si="15"/>
        <v>36</v>
      </c>
      <c r="Y31">
        <f t="shared" si="15"/>
        <v>1</v>
      </c>
      <c r="Z31">
        <f t="shared" si="15"/>
        <v>9</v>
      </c>
      <c r="AA31">
        <f t="shared" si="15"/>
        <v>36</v>
      </c>
      <c r="AB31">
        <f t="shared" si="15"/>
        <v>36</v>
      </c>
      <c r="AC31" s="4">
        <f t="shared" si="16"/>
        <v>419904</v>
      </c>
    </row>
    <row r="32" spans="1:34" x14ac:dyDescent="0.25">
      <c r="A32">
        <v>0</v>
      </c>
      <c r="B32">
        <v>2</v>
      </c>
      <c r="C32">
        <v>0</v>
      </c>
      <c r="D32">
        <v>2</v>
      </c>
      <c r="E32">
        <v>1</v>
      </c>
      <c r="F32">
        <v>2</v>
      </c>
      <c r="H32" t="str">
        <f t="shared" si="0"/>
        <v>2-0-2-1-2</v>
      </c>
      <c r="I32">
        <f t="shared" si="7"/>
        <v>0</v>
      </c>
      <c r="J32">
        <f t="shared" si="1"/>
        <v>210</v>
      </c>
      <c r="K32">
        <f t="shared" si="2"/>
        <v>155</v>
      </c>
      <c r="M32">
        <f t="shared" si="8"/>
        <v>5</v>
      </c>
      <c r="N32">
        <f t="shared" si="9"/>
        <v>4</v>
      </c>
      <c r="P32">
        <f t="shared" si="10"/>
        <v>2</v>
      </c>
      <c r="Q32">
        <f t="shared" si="11"/>
        <v>2</v>
      </c>
      <c r="R32">
        <f t="shared" si="12"/>
        <v>2</v>
      </c>
      <c r="S32">
        <f t="shared" si="13"/>
        <v>1</v>
      </c>
      <c r="T32">
        <f t="shared" si="14"/>
        <v>0</v>
      </c>
      <c r="V32" t="str">
        <f t="shared" si="3"/>
        <v>2-2-2-1-0</v>
      </c>
      <c r="X32">
        <f t="shared" si="15"/>
        <v>36</v>
      </c>
      <c r="Y32">
        <f t="shared" si="15"/>
        <v>1</v>
      </c>
      <c r="Z32">
        <f t="shared" si="15"/>
        <v>36</v>
      </c>
      <c r="AA32">
        <f t="shared" si="15"/>
        <v>9</v>
      </c>
      <c r="AB32">
        <f t="shared" si="15"/>
        <v>36</v>
      </c>
      <c r="AC32" s="4">
        <f t="shared" si="16"/>
        <v>419904</v>
      </c>
    </row>
    <row r="33" spans="1:29" x14ac:dyDescent="0.25">
      <c r="A33">
        <v>4</v>
      </c>
      <c r="B33">
        <v>2</v>
      </c>
      <c r="C33">
        <v>0</v>
      </c>
      <c r="D33">
        <v>2</v>
      </c>
      <c r="E33">
        <v>2</v>
      </c>
      <c r="F33">
        <v>1</v>
      </c>
      <c r="H33" t="str">
        <f t="shared" si="0"/>
        <v>2-0-2-2-1</v>
      </c>
      <c r="I33">
        <f t="shared" si="7"/>
        <v>4</v>
      </c>
      <c r="J33">
        <f t="shared" si="1"/>
        <v>200</v>
      </c>
      <c r="K33">
        <f t="shared" si="2"/>
        <v>145</v>
      </c>
      <c r="M33">
        <f t="shared" si="8"/>
        <v>5</v>
      </c>
      <c r="N33">
        <f t="shared" si="9"/>
        <v>4</v>
      </c>
      <c r="P33">
        <f t="shared" si="10"/>
        <v>2</v>
      </c>
      <c r="Q33">
        <f t="shared" si="11"/>
        <v>2</v>
      </c>
      <c r="R33">
        <f t="shared" si="12"/>
        <v>2</v>
      </c>
      <c r="S33">
        <f t="shared" si="13"/>
        <v>1</v>
      </c>
      <c r="T33">
        <f t="shared" si="14"/>
        <v>0</v>
      </c>
      <c r="V33" t="str">
        <f t="shared" si="3"/>
        <v>2-2-2-1-0</v>
      </c>
      <c r="X33">
        <f t="shared" si="15"/>
        <v>36</v>
      </c>
      <c r="Y33">
        <f t="shared" si="15"/>
        <v>1</v>
      </c>
      <c r="Z33">
        <f t="shared" si="15"/>
        <v>36</v>
      </c>
      <c r="AA33">
        <f t="shared" si="15"/>
        <v>36</v>
      </c>
      <c r="AB33">
        <f t="shared" si="15"/>
        <v>9</v>
      </c>
      <c r="AC33" s="4">
        <f t="shared" si="16"/>
        <v>419904</v>
      </c>
    </row>
    <row r="34" spans="1:29" x14ac:dyDescent="0.25">
      <c r="A34">
        <v>3</v>
      </c>
      <c r="B34">
        <v>2</v>
      </c>
      <c r="C34">
        <v>1</v>
      </c>
      <c r="D34">
        <v>0</v>
      </c>
      <c r="E34">
        <v>2</v>
      </c>
      <c r="F34">
        <v>2</v>
      </c>
      <c r="H34" t="str">
        <f t="shared" si="0"/>
        <v>2-1-0-2-2</v>
      </c>
      <c r="I34">
        <f t="shared" si="7"/>
        <v>3</v>
      </c>
      <c r="J34">
        <f t="shared" si="1"/>
        <v>210</v>
      </c>
      <c r="K34">
        <f t="shared" si="2"/>
        <v>155</v>
      </c>
      <c r="M34">
        <f t="shared" si="8"/>
        <v>4</v>
      </c>
      <c r="N34">
        <f t="shared" si="9"/>
        <v>3</v>
      </c>
      <c r="P34">
        <f t="shared" si="10"/>
        <v>2</v>
      </c>
      <c r="Q34">
        <f t="shared" si="11"/>
        <v>2</v>
      </c>
      <c r="R34">
        <f t="shared" si="12"/>
        <v>2</v>
      </c>
      <c r="S34">
        <f t="shared" si="13"/>
        <v>1</v>
      </c>
      <c r="T34">
        <f t="shared" si="14"/>
        <v>0</v>
      </c>
      <c r="V34" t="str">
        <f t="shared" si="3"/>
        <v>2-2-2-1-0</v>
      </c>
      <c r="X34">
        <f t="shared" si="15"/>
        <v>36</v>
      </c>
      <c r="Y34">
        <f t="shared" si="15"/>
        <v>9</v>
      </c>
      <c r="Z34">
        <f t="shared" si="15"/>
        <v>1</v>
      </c>
      <c r="AA34">
        <f t="shared" si="15"/>
        <v>36</v>
      </c>
      <c r="AB34">
        <f t="shared" si="15"/>
        <v>36</v>
      </c>
      <c r="AC34" s="4">
        <f t="shared" si="16"/>
        <v>419904</v>
      </c>
    </row>
    <row r="35" spans="1:29" x14ac:dyDescent="0.25">
      <c r="A35">
        <v>0</v>
      </c>
      <c r="B35">
        <v>2</v>
      </c>
      <c r="C35">
        <v>1</v>
      </c>
      <c r="D35">
        <v>2</v>
      </c>
      <c r="E35">
        <v>0</v>
      </c>
      <c r="F35">
        <v>2</v>
      </c>
      <c r="H35" t="str">
        <f t="shared" si="0"/>
        <v>2-1-2-0-2</v>
      </c>
      <c r="I35">
        <f t="shared" si="7"/>
        <v>0</v>
      </c>
      <c r="J35">
        <f t="shared" si="1"/>
        <v>190</v>
      </c>
      <c r="K35">
        <f t="shared" si="2"/>
        <v>135</v>
      </c>
      <c r="M35">
        <f t="shared" si="8"/>
        <v>4</v>
      </c>
      <c r="N35">
        <f t="shared" si="9"/>
        <v>5</v>
      </c>
      <c r="P35">
        <f t="shared" si="10"/>
        <v>2</v>
      </c>
      <c r="Q35">
        <f t="shared" si="11"/>
        <v>2</v>
      </c>
      <c r="R35">
        <f t="shared" si="12"/>
        <v>2</v>
      </c>
      <c r="S35">
        <f t="shared" si="13"/>
        <v>1</v>
      </c>
      <c r="T35">
        <f t="shared" si="14"/>
        <v>0</v>
      </c>
      <c r="V35" t="str">
        <f t="shared" si="3"/>
        <v>2-2-2-1-0</v>
      </c>
      <c r="X35">
        <f t="shared" si="15"/>
        <v>36</v>
      </c>
      <c r="Y35">
        <f t="shared" si="15"/>
        <v>9</v>
      </c>
      <c r="Z35">
        <f t="shared" si="15"/>
        <v>36</v>
      </c>
      <c r="AA35">
        <f t="shared" si="15"/>
        <v>1</v>
      </c>
      <c r="AB35">
        <f t="shared" si="15"/>
        <v>36</v>
      </c>
      <c r="AC35" s="4">
        <f t="shared" si="16"/>
        <v>419904</v>
      </c>
    </row>
    <row r="36" spans="1:29" x14ac:dyDescent="0.25">
      <c r="A36">
        <v>5</v>
      </c>
      <c r="B36">
        <v>2</v>
      </c>
      <c r="C36">
        <v>1</v>
      </c>
      <c r="D36">
        <v>2</v>
      </c>
      <c r="E36">
        <v>2</v>
      </c>
      <c r="F36">
        <v>0</v>
      </c>
      <c r="H36" t="str">
        <f t="shared" si="0"/>
        <v>2-1-2-2-0</v>
      </c>
      <c r="I36">
        <f t="shared" si="7"/>
        <v>5</v>
      </c>
      <c r="J36">
        <f t="shared" si="1"/>
        <v>170</v>
      </c>
      <c r="K36">
        <f t="shared" si="2"/>
        <v>115</v>
      </c>
      <c r="M36">
        <f t="shared" si="8"/>
        <v>4</v>
      </c>
      <c r="N36">
        <f t="shared" si="9"/>
        <v>5</v>
      </c>
      <c r="P36">
        <f t="shared" si="10"/>
        <v>2</v>
      </c>
      <c r="Q36">
        <f t="shared" si="11"/>
        <v>2</v>
      </c>
      <c r="R36">
        <f t="shared" si="12"/>
        <v>2</v>
      </c>
      <c r="S36">
        <f t="shared" si="13"/>
        <v>1</v>
      </c>
      <c r="T36">
        <f t="shared" si="14"/>
        <v>0</v>
      </c>
      <c r="V36" t="str">
        <f t="shared" si="3"/>
        <v>2-2-2-1-0</v>
      </c>
      <c r="X36">
        <f t="shared" si="15"/>
        <v>36</v>
      </c>
      <c r="Y36">
        <f t="shared" si="15"/>
        <v>9</v>
      </c>
      <c r="Z36">
        <f t="shared" si="15"/>
        <v>36</v>
      </c>
      <c r="AA36">
        <f t="shared" si="15"/>
        <v>36</v>
      </c>
      <c r="AB36">
        <f t="shared" si="15"/>
        <v>1</v>
      </c>
      <c r="AC36" s="4">
        <f t="shared" si="16"/>
        <v>419904</v>
      </c>
    </row>
    <row r="37" spans="1:29" x14ac:dyDescent="0.25">
      <c r="A37">
        <v>3</v>
      </c>
      <c r="B37">
        <v>2</v>
      </c>
      <c r="C37">
        <v>2</v>
      </c>
      <c r="D37">
        <v>0</v>
      </c>
      <c r="E37">
        <v>1</v>
      </c>
      <c r="F37">
        <v>2</v>
      </c>
      <c r="H37" t="str">
        <f t="shared" si="0"/>
        <v>2-2-0-1-2</v>
      </c>
      <c r="I37">
        <f t="shared" si="7"/>
        <v>3</v>
      </c>
      <c r="J37">
        <f t="shared" si="1"/>
        <v>190</v>
      </c>
      <c r="K37">
        <f t="shared" si="2"/>
        <v>135</v>
      </c>
      <c r="M37">
        <f t="shared" si="8"/>
        <v>3</v>
      </c>
      <c r="N37">
        <f t="shared" si="9"/>
        <v>4</v>
      </c>
      <c r="P37">
        <f t="shared" si="10"/>
        <v>2</v>
      </c>
      <c r="Q37">
        <f t="shared" si="11"/>
        <v>2</v>
      </c>
      <c r="R37">
        <f t="shared" si="12"/>
        <v>2</v>
      </c>
      <c r="S37">
        <f t="shared" si="13"/>
        <v>1</v>
      </c>
      <c r="T37">
        <f t="shared" si="14"/>
        <v>0</v>
      </c>
      <c r="V37" t="str">
        <f t="shared" si="3"/>
        <v>2-2-2-1-0</v>
      </c>
      <c r="X37">
        <f t="shared" si="15"/>
        <v>36</v>
      </c>
      <c r="Y37">
        <f t="shared" si="15"/>
        <v>36</v>
      </c>
      <c r="Z37">
        <f t="shared" si="15"/>
        <v>1</v>
      </c>
      <c r="AA37">
        <f t="shared" si="15"/>
        <v>9</v>
      </c>
      <c r="AB37">
        <f t="shared" si="15"/>
        <v>36</v>
      </c>
      <c r="AC37" s="4">
        <f t="shared" si="16"/>
        <v>419904</v>
      </c>
    </row>
    <row r="38" spans="1:29" x14ac:dyDescent="0.25">
      <c r="A38">
        <v>0</v>
      </c>
      <c r="B38">
        <v>2</v>
      </c>
      <c r="C38">
        <v>2</v>
      </c>
      <c r="D38">
        <v>0</v>
      </c>
      <c r="E38">
        <v>2</v>
      </c>
      <c r="F38">
        <v>1</v>
      </c>
      <c r="H38" t="str">
        <f t="shared" si="0"/>
        <v>2-2-0-2-1</v>
      </c>
      <c r="I38">
        <f t="shared" si="7"/>
        <v>0</v>
      </c>
      <c r="J38">
        <f t="shared" si="1"/>
        <v>180</v>
      </c>
      <c r="K38">
        <f t="shared" si="2"/>
        <v>125</v>
      </c>
      <c r="M38">
        <f t="shared" si="8"/>
        <v>3</v>
      </c>
      <c r="N38">
        <f t="shared" si="9"/>
        <v>4</v>
      </c>
      <c r="P38">
        <f t="shared" si="10"/>
        <v>2</v>
      </c>
      <c r="Q38">
        <f t="shared" si="11"/>
        <v>2</v>
      </c>
      <c r="R38">
        <f t="shared" si="12"/>
        <v>2</v>
      </c>
      <c r="S38">
        <f t="shared" si="13"/>
        <v>1</v>
      </c>
      <c r="T38">
        <f t="shared" si="14"/>
        <v>0</v>
      </c>
      <c r="V38" t="str">
        <f t="shared" si="3"/>
        <v>2-2-2-1-0</v>
      </c>
      <c r="X38">
        <f t="shared" si="15"/>
        <v>36</v>
      </c>
      <c r="Y38">
        <f t="shared" si="15"/>
        <v>36</v>
      </c>
      <c r="Z38">
        <f t="shared" si="15"/>
        <v>1</v>
      </c>
      <c r="AA38">
        <f t="shared" si="15"/>
        <v>36</v>
      </c>
      <c r="AB38">
        <f t="shared" si="15"/>
        <v>9</v>
      </c>
      <c r="AC38" s="4">
        <f t="shared" si="16"/>
        <v>419904</v>
      </c>
    </row>
    <row r="39" spans="1:29" x14ac:dyDescent="0.25">
      <c r="A39">
        <v>1</v>
      </c>
      <c r="B39">
        <v>2</v>
      </c>
      <c r="C39">
        <v>2</v>
      </c>
      <c r="D39">
        <v>1</v>
      </c>
      <c r="E39">
        <v>0</v>
      </c>
      <c r="F39">
        <v>2</v>
      </c>
      <c r="H39" t="str">
        <f t="shared" si="0"/>
        <v>2-2-1-0-2</v>
      </c>
      <c r="I39">
        <f t="shared" si="7"/>
        <v>1</v>
      </c>
      <c r="J39">
        <f t="shared" si="1"/>
        <v>180</v>
      </c>
      <c r="K39">
        <f t="shared" si="2"/>
        <v>125</v>
      </c>
      <c r="M39">
        <f t="shared" si="8"/>
        <v>3</v>
      </c>
      <c r="N39">
        <f t="shared" si="9"/>
        <v>5</v>
      </c>
      <c r="P39">
        <f t="shared" si="10"/>
        <v>2</v>
      </c>
      <c r="Q39">
        <f t="shared" si="11"/>
        <v>2</v>
      </c>
      <c r="R39">
        <f t="shared" si="12"/>
        <v>2</v>
      </c>
      <c r="S39">
        <f t="shared" si="13"/>
        <v>1</v>
      </c>
      <c r="T39">
        <f t="shared" si="14"/>
        <v>0</v>
      </c>
      <c r="V39" t="str">
        <f t="shared" si="3"/>
        <v>2-2-2-1-0</v>
      </c>
      <c r="X39">
        <f t="shared" si="15"/>
        <v>36</v>
      </c>
      <c r="Y39">
        <f t="shared" si="15"/>
        <v>36</v>
      </c>
      <c r="Z39">
        <f t="shared" si="15"/>
        <v>9</v>
      </c>
      <c r="AA39">
        <f t="shared" si="15"/>
        <v>1</v>
      </c>
      <c r="AB39">
        <f t="shared" si="15"/>
        <v>36</v>
      </c>
      <c r="AC39" s="4">
        <f t="shared" si="16"/>
        <v>419904</v>
      </c>
    </row>
    <row r="40" spans="1:29" x14ac:dyDescent="0.25">
      <c r="A40">
        <v>2</v>
      </c>
      <c r="B40">
        <v>2</v>
      </c>
      <c r="C40">
        <v>2</v>
      </c>
      <c r="D40">
        <v>1</v>
      </c>
      <c r="E40">
        <v>2</v>
      </c>
      <c r="F40">
        <v>0</v>
      </c>
      <c r="H40" t="str">
        <f t="shared" si="0"/>
        <v>2-2-1-2-0</v>
      </c>
      <c r="I40">
        <f t="shared" si="7"/>
        <v>2</v>
      </c>
      <c r="J40">
        <f t="shared" si="1"/>
        <v>160</v>
      </c>
      <c r="K40">
        <f t="shared" si="2"/>
        <v>105</v>
      </c>
      <c r="M40">
        <f t="shared" si="8"/>
        <v>3</v>
      </c>
      <c r="N40">
        <f t="shared" si="9"/>
        <v>5</v>
      </c>
      <c r="P40">
        <f t="shared" si="10"/>
        <v>2</v>
      </c>
      <c r="Q40">
        <f t="shared" si="11"/>
        <v>2</v>
      </c>
      <c r="R40">
        <f t="shared" si="12"/>
        <v>2</v>
      </c>
      <c r="S40">
        <f t="shared" si="13"/>
        <v>1</v>
      </c>
      <c r="T40">
        <f t="shared" si="14"/>
        <v>0</v>
      </c>
      <c r="V40" t="str">
        <f t="shared" si="3"/>
        <v>2-2-2-1-0</v>
      </c>
      <c r="X40">
        <f t="shared" si="15"/>
        <v>36</v>
      </c>
      <c r="Y40">
        <f t="shared" si="15"/>
        <v>36</v>
      </c>
      <c r="Z40">
        <f t="shared" si="15"/>
        <v>9</v>
      </c>
      <c r="AA40">
        <f t="shared" si="15"/>
        <v>36</v>
      </c>
      <c r="AB40">
        <f t="shared" si="15"/>
        <v>1</v>
      </c>
      <c r="AC40" s="4">
        <f t="shared" si="16"/>
        <v>419904</v>
      </c>
    </row>
    <row r="41" spans="1:29" x14ac:dyDescent="0.25">
      <c r="A41">
        <v>2</v>
      </c>
      <c r="B41">
        <v>2</v>
      </c>
      <c r="C41">
        <v>2</v>
      </c>
      <c r="D41">
        <v>2</v>
      </c>
      <c r="E41">
        <v>0</v>
      </c>
      <c r="F41">
        <v>1</v>
      </c>
      <c r="H41" t="str">
        <f t="shared" si="0"/>
        <v>2-2-2-0-1</v>
      </c>
      <c r="I41">
        <f t="shared" si="7"/>
        <v>2</v>
      </c>
      <c r="J41">
        <f t="shared" si="1"/>
        <v>160</v>
      </c>
      <c r="K41">
        <f t="shared" si="2"/>
        <v>105</v>
      </c>
      <c r="M41">
        <f t="shared" si="8"/>
        <v>3</v>
      </c>
      <c r="N41">
        <f t="shared" si="9"/>
        <v>6</v>
      </c>
      <c r="P41">
        <f t="shared" si="10"/>
        <v>2</v>
      </c>
      <c r="Q41">
        <f t="shared" si="11"/>
        <v>2</v>
      </c>
      <c r="R41">
        <f t="shared" si="12"/>
        <v>2</v>
      </c>
      <c r="S41">
        <f t="shared" si="13"/>
        <v>1</v>
      </c>
      <c r="T41">
        <f t="shared" si="14"/>
        <v>0</v>
      </c>
      <c r="V41" t="str">
        <f t="shared" si="3"/>
        <v>2-2-2-1-0</v>
      </c>
      <c r="X41">
        <f t="shared" si="15"/>
        <v>36</v>
      </c>
      <c r="Y41">
        <f t="shared" si="15"/>
        <v>36</v>
      </c>
      <c r="Z41">
        <f t="shared" si="15"/>
        <v>36</v>
      </c>
      <c r="AA41">
        <f t="shared" si="15"/>
        <v>1</v>
      </c>
      <c r="AB41">
        <f t="shared" si="15"/>
        <v>9</v>
      </c>
      <c r="AC41" s="4">
        <f t="shared" si="16"/>
        <v>419904</v>
      </c>
    </row>
    <row r="42" spans="1:29" x14ac:dyDescent="0.25">
      <c r="A42">
        <v>7</v>
      </c>
      <c r="B42">
        <v>2</v>
      </c>
      <c r="C42">
        <v>2</v>
      </c>
      <c r="D42">
        <v>2</v>
      </c>
      <c r="E42">
        <v>1</v>
      </c>
      <c r="F42">
        <v>0</v>
      </c>
      <c r="H42" t="str">
        <f t="shared" si="0"/>
        <v>2-2-2-1-0</v>
      </c>
      <c r="I42">
        <f t="shared" si="7"/>
        <v>7</v>
      </c>
      <c r="J42">
        <f t="shared" si="1"/>
        <v>150</v>
      </c>
      <c r="K42">
        <f t="shared" si="2"/>
        <v>95</v>
      </c>
      <c r="M42">
        <f t="shared" si="8"/>
        <v>3</v>
      </c>
      <c r="N42">
        <f t="shared" si="9"/>
        <v>6</v>
      </c>
      <c r="P42">
        <f t="shared" si="10"/>
        <v>2</v>
      </c>
      <c r="Q42">
        <f t="shared" si="11"/>
        <v>2</v>
      </c>
      <c r="R42">
        <f t="shared" si="12"/>
        <v>2</v>
      </c>
      <c r="S42">
        <f t="shared" si="13"/>
        <v>1</v>
      </c>
      <c r="T42">
        <f t="shared" si="14"/>
        <v>0</v>
      </c>
      <c r="V42" t="str">
        <f t="shared" si="3"/>
        <v>2-2-2-1-0</v>
      </c>
      <c r="X42">
        <f t="shared" si="15"/>
        <v>36</v>
      </c>
      <c r="Y42">
        <f t="shared" si="15"/>
        <v>36</v>
      </c>
      <c r="Z42">
        <f t="shared" si="15"/>
        <v>36</v>
      </c>
      <c r="AA42">
        <f t="shared" si="15"/>
        <v>9</v>
      </c>
      <c r="AB42">
        <f t="shared" si="15"/>
        <v>1</v>
      </c>
      <c r="AC42" s="4">
        <f t="shared" si="16"/>
        <v>419904</v>
      </c>
    </row>
    <row r="43" spans="1:29" x14ac:dyDescent="0.25">
      <c r="A43">
        <v>0</v>
      </c>
      <c r="B43">
        <v>0</v>
      </c>
      <c r="C43">
        <v>1</v>
      </c>
      <c r="D43">
        <v>1</v>
      </c>
      <c r="E43">
        <v>1</v>
      </c>
      <c r="F43">
        <v>4</v>
      </c>
      <c r="H43" t="str">
        <f t="shared" si="0"/>
        <v>0-1-1-1-4</v>
      </c>
      <c r="I43">
        <f t="shared" si="7"/>
        <v>0</v>
      </c>
      <c r="J43">
        <f t="shared" si="1"/>
        <v>277</v>
      </c>
      <c r="K43">
        <f t="shared" si="2"/>
        <v>226</v>
      </c>
      <c r="M43">
        <f t="shared" si="8"/>
        <v>6</v>
      </c>
      <c r="N43">
        <f t="shared" si="9"/>
        <v>2</v>
      </c>
      <c r="P43">
        <f t="shared" si="10"/>
        <v>4</v>
      </c>
      <c r="Q43">
        <f t="shared" si="11"/>
        <v>1</v>
      </c>
      <c r="R43">
        <f t="shared" si="12"/>
        <v>1</v>
      </c>
      <c r="S43">
        <f t="shared" si="13"/>
        <v>1</v>
      </c>
      <c r="T43">
        <f t="shared" si="14"/>
        <v>0</v>
      </c>
      <c r="V43" t="str">
        <f t="shared" si="3"/>
        <v>4-1-1-1-0</v>
      </c>
      <c r="X43">
        <f t="shared" si="15"/>
        <v>1</v>
      </c>
      <c r="Y43">
        <f t="shared" si="15"/>
        <v>9</v>
      </c>
      <c r="Z43">
        <f t="shared" si="15"/>
        <v>9</v>
      </c>
      <c r="AA43">
        <f t="shared" si="15"/>
        <v>9</v>
      </c>
      <c r="AB43">
        <f t="shared" si="15"/>
        <v>126</v>
      </c>
      <c r="AC43" s="4">
        <f t="shared" si="16"/>
        <v>91854</v>
      </c>
    </row>
    <row r="44" spans="1:29" x14ac:dyDescent="0.25">
      <c r="A44">
        <v>0</v>
      </c>
      <c r="B44">
        <v>0</v>
      </c>
      <c r="C44">
        <v>1</v>
      </c>
      <c r="D44">
        <v>1</v>
      </c>
      <c r="E44">
        <v>4</v>
      </c>
      <c r="F44">
        <v>1</v>
      </c>
      <c r="H44" t="str">
        <f t="shared" si="0"/>
        <v>0-1-1-4-1</v>
      </c>
      <c r="I44">
        <f t="shared" si="7"/>
        <v>0</v>
      </c>
      <c r="J44">
        <f t="shared" si="1"/>
        <v>247</v>
      </c>
      <c r="K44">
        <f t="shared" si="2"/>
        <v>196</v>
      </c>
      <c r="M44">
        <f t="shared" si="8"/>
        <v>6</v>
      </c>
      <c r="N44">
        <f t="shared" si="9"/>
        <v>2</v>
      </c>
      <c r="P44">
        <f t="shared" si="10"/>
        <v>4</v>
      </c>
      <c r="Q44">
        <f t="shared" si="11"/>
        <v>1</v>
      </c>
      <c r="R44">
        <f t="shared" si="12"/>
        <v>1</v>
      </c>
      <c r="S44">
        <f t="shared" si="13"/>
        <v>1</v>
      </c>
      <c r="T44">
        <f t="shared" si="14"/>
        <v>0</v>
      </c>
      <c r="V44" t="str">
        <f t="shared" si="3"/>
        <v>4-1-1-1-0</v>
      </c>
      <c r="X44">
        <f t="shared" si="15"/>
        <v>1</v>
      </c>
      <c r="Y44">
        <f t="shared" si="15"/>
        <v>9</v>
      </c>
      <c r="Z44">
        <f t="shared" si="15"/>
        <v>9</v>
      </c>
      <c r="AA44">
        <f t="shared" si="15"/>
        <v>126</v>
      </c>
      <c r="AB44">
        <f t="shared" si="15"/>
        <v>9</v>
      </c>
      <c r="AC44" s="4">
        <f t="shared" si="16"/>
        <v>91854</v>
      </c>
    </row>
    <row r="45" spans="1:29" x14ac:dyDescent="0.25">
      <c r="A45">
        <v>1</v>
      </c>
      <c r="B45">
        <v>0</v>
      </c>
      <c r="C45">
        <v>1</v>
      </c>
      <c r="D45">
        <v>4</v>
      </c>
      <c r="E45">
        <v>1</v>
      </c>
      <c r="F45">
        <v>1</v>
      </c>
      <c r="H45" t="str">
        <f t="shared" si="0"/>
        <v>0-1-4-1-1</v>
      </c>
      <c r="I45">
        <f t="shared" si="7"/>
        <v>1</v>
      </c>
      <c r="J45">
        <f t="shared" si="1"/>
        <v>217</v>
      </c>
      <c r="K45">
        <f t="shared" si="2"/>
        <v>166</v>
      </c>
      <c r="M45">
        <f t="shared" si="8"/>
        <v>6</v>
      </c>
      <c r="N45">
        <f t="shared" si="9"/>
        <v>5</v>
      </c>
      <c r="P45">
        <f t="shared" si="10"/>
        <v>4</v>
      </c>
      <c r="Q45">
        <f t="shared" si="11"/>
        <v>1</v>
      </c>
      <c r="R45">
        <f t="shared" si="12"/>
        <v>1</v>
      </c>
      <c r="S45">
        <f t="shared" si="13"/>
        <v>1</v>
      </c>
      <c r="T45">
        <f t="shared" si="14"/>
        <v>0</v>
      </c>
      <c r="V45" t="str">
        <f t="shared" si="3"/>
        <v>4-1-1-1-0</v>
      </c>
      <c r="X45">
        <f t="shared" si="15"/>
        <v>1</v>
      </c>
      <c r="Y45">
        <f t="shared" si="15"/>
        <v>9</v>
      </c>
      <c r="Z45">
        <f t="shared" si="15"/>
        <v>126</v>
      </c>
      <c r="AA45">
        <f t="shared" si="15"/>
        <v>9</v>
      </c>
      <c r="AB45">
        <f t="shared" si="15"/>
        <v>9</v>
      </c>
      <c r="AC45" s="4">
        <f t="shared" si="16"/>
        <v>91854</v>
      </c>
    </row>
    <row r="46" spans="1:29" x14ac:dyDescent="0.25">
      <c r="A46">
        <v>2</v>
      </c>
      <c r="B46">
        <v>0</v>
      </c>
      <c r="C46">
        <v>4</v>
      </c>
      <c r="D46">
        <v>1</v>
      </c>
      <c r="E46">
        <v>1</v>
      </c>
      <c r="F46">
        <v>1</v>
      </c>
      <c r="H46" t="str">
        <f t="shared" si="0"/>
        <v>0-4-1-1-1</v>
      </c>
      <c r="I46">
        <f t="shared" si="7"/>
        <v>2</v>
      </c>
      <c r="J46">
        <f t="shared" si="1"/>
        <v>187</v>
      </c>
      <c r="K46">
        <f t="shared" si="2"/>
        <v>136</v>
      </c>
      <c r="M46">
        <f t="shared" si="8"/>
        <v>3</v>
      </c>
      <c r="N46">
        <f t="shared" si="9"/>
        <v>5</v>
      </c>
      <c r="P46">
        <f t="shared" si="10"/>
        <v>4</v>
      </c>
      <c r="Q46">
        <f t="shared" si="11"/>
        <v>1</v>
      </c>
      <c r="R46">
        <f t="shared" si="12"/>
        <v>1</v>
      </c>
      <c r="S46">
        <f t="shared" si="13"/>
        <v>1</v>
      </c>
      <c r="T46">
        <f t="shared" si="14"/>
        <v>0</v>
      </c>
      <c r="V46" t="str">
        <f t="shared" si="3"/>
        <v>4-1-1-1-0</v>
      </c>
      <c r="X46">
        <f t="shared" si="15"/>
        <v>1</v>
      </c>
      <c r="Y46">
        <f t="shared" si="15"/>
        <v>126</v>
      </c>
      <c r="Z46">
        <f t="shared" si="15"/>
        <v>9</v>
      </c>
      <c r="AA46">
        <f t="shared" si="15"/>
        <v>9</v>
      </c>
      <c r="AB46">
        <f t="shared" si="15"/>
        <v>9</v>
      </c>
      <c r="AC46" s="4">
        <f t="shared" si="16"/>
        <v>91854</v>
      </c>
    </row>
    <row r="47" spans="1:29" x14ac:dyDescent="0.25">
      <c r="A47">
        <v>1</v>
      </c>
      <c r="B47">
        <v>1</v>
      </c>
      <c r="C47">
        <v>0</v>
      </c>
      <c r="D47">
        <v>1</v>
      </c>
      <c r="E47">
        <v>1</v>
      </c>
      <c r="F47">
        <v>4</v>
      </c>
      <c r="H47" t="str">
        <f t="shared" si="0"/>
        <v>1-0-1-1-4</v>
      </c>
      <c r="I47">
        <f t="shared" si="7"/>
        <v>1</v>
      </c>
      <c r="J47">
        <f t="shared" si="1"/>
        <v>267</v>
      </c>
      <c r="K47">
        <f t="shared" si="2"/>
        <v>217</v>
      </c>
      <c r="M47">
        <f t="shared" si="8"/>
        <v>6</v>
      </c>
      <c r="N47">
        <f t="shared" si="9"/>
        <v>2</v>
      </c>
      <c r="P47">
        <f t="shared" si="10"/>
        <v>4</v>
      </c>
      <c r="Q47">
        <f t="shared" si="11"/>
        <v>1</v>
      </c>
      <c r="R47">
        <f t="shared" si="12"/>
        <v>1</v>
      </c>
      <c r="S47">
        <f t="shared" si="13"/>
        <v>1</v>
      </c>
      <c r="T47">
        <f t="shared" si="14"/>
        <v>0</v>
      </c>
      <c r="V47" t="str">
        <f t="shared" si="3"/>
        <v>4-1-1-1-0</v>
      </c>
      <c r="X47">
        <f t="shared" si="15"/>
        <v>9</v>
      </c>
      <c r="Y47">
        <f t="shared" si="15"/>
        <v>1</v>
      </c>
      <c r="Z47">
        <f t="shared" si="15"/>
        <v>9</v>
      </c>
      <c r="AA47">
        <f t="shared" si="15"/>
        <v>9</v>
      </c>
      <c r="AB47">
        <f t="shared" si="15"/>
        <v>126</v>
      </c>
      <c r="AC47" s="4">
        <f t="shared" si="16"/>
        <v>91854</v>
      </c>
    </row>
    <row r="48" spans="1:29" x14ac:dyDescent="0.25">
      <c r="A48">
        <v>2</v>
      </c>
      <c r="B48">
        <v>1</v>
      </c>
      <c r="C48">
        <v>0</v>
      </c>
      <c r="D48">
        <v>1</v>
      </c>
      <c r="E48">
        <v>4</v>
      </c>
      <c r="F48">
        <v>1</v>
      </c>
      <c r="H48" t="str">
        <f t="shared" si="0"/>
        <v>1-0-1-4-1</v>
      </c>
      <c r="I48">
        <f t="shared" si="7"/>
        <v>2</v>
      </c>
      <c r="J48">
        <f t="shared" si="1"/>
        <v>237</v>
      </c>
      <c r="K48">
        <f t="shared" si="2"/>
        <v>187</v>
      </c>
      <c r="M48">
        <f t="shared" si="8"/>
        <v>6</v>
      </c>
      <c r="N48">
        <f t="shared" si="9"/>
        <v>2</v>
      </c>
      <c r="P48">
        <f t="shared" si="10"/>
        <v>4</v>
      </c>
      <c r="Q48">
        <f t="shared" si="11"/>
        <v>1</v>
      </c>
      <c r="R48">
        <f t="shared" si="12"/>
        <v>1</v>
      </c>
      <c r="S48">
        <f t="shared" si="13"/>
        <v>1</v>
      </c>
      <c r="T48">
        <f t="shared" si="14"/>
        <v>0</v>
      </c>
      <c r="V48" t="str">
        <f t="shared" si="3"/>
        <v>4-1-1-1-0</v>
      </c>
      <c r="X48">
        <f t="shared" si="15"/>
        <v>9</v>
      </c>
      <c r="Y48">
        <f t="shared" si="15"/>
        <v>1</v>
      </c>
      <c r="Z48">
        <f t="shared" si="15"/>
        <v>9</v>
      </c>
      <c r="AA48">
        <f t="shared" si="15"/>
        <v>126</v>
      </c>
      <c r="AB48">
        <f t="shared" si="15"/>
        <v>9</v>
      </c>
      <c r="AC48" s="4">
        <f t="shared" si="16"/>
        <v>91854</v>
      </c>
    </row>
    <row r="49" spans="1:29" x14ac:dyDescent="0.25">
      <c r="A49">
        <v>0</v>
      </c>
      <c r="B49">
        <v>1</v>
      </c>
      <c r="C49">
        <v>0</v>
      </c>
      <c r="D49">
        <v>4</v>
      </c>
      <c r="E49">
        <v>1</v>
      </c>
      <c r="F49">
        <v>1</v>
      </c>
      <c r="H49" t="str">
        <f t="shared" si="0"/>
        <v>1-0-4-1-1</v>
      </c>
      <c r="I49">
        <f t="shared" si="7"/>
        <v>0</v>
      </c>
      <c r="J49">
        <f t="shared" si="1"/>
        <v>207</v>
      </c>
      <c r="K49">
        <f t="shared" si="2"/>
        <v>157</v>
      </c>
      <c r="M49">
        <f t="shared" si="8"/>
        <v>6</v>
      </c>
      <c r="N49">
        <f t="shared" si="9"/>
        <v>5</v>
      </c>
      <c r="P49">
        <f t="shared" si="10"/>
        <v>4</v>
      </c>
      <c r="Q49">
        <f t="shared" si="11"/>
        <v>1</v>
      </c>
      <c r="R49">
        <f t="shared" si="12"/>
        <v>1</v>
      </c>
      <c r="S49">
        <f t="shared" si="13"/>
        <v>1</v>
      </c>
      <c r="T49">
        <f t="shared" si="14"/>
        <v>0</v>
      </c>
      <c r="V49" t="str">
        <f t="shared" si="3"/>
        <v>4-1-1-1-0</v>
      </c>
      <c r="X49">
        <f t="shared" si="15"/>
        <v>9</v>
      </c>
      <c r="Y49">
        <f t="shared" si="15"/>
        <v>1</v>
      </c>
      <c r="Z49">
        <f t="shared" si="15"/>
        <v>126</v>
      </c>
      <c r="AA49">
        <f t="shared" si="15"/>
        <v>9</v>
      </c>
      <c r="AB49">
        <f t="shared" si="15"/>
        <v>9</v>
      </c>
      <c r="AC49" s="4">
        <f t="shared" si="16"/>
        <v>91854</v>
      </c>
    </row>
    <row r="50" spans="1:29" x14ac:dyDescent="0.25">
      <c r="A50">
        <v>1</v>
      </c>
      <c r="B50">
        <v>1</v>
      </c>
      <c r="C50">
        <v>1</v>
      </c>
      <c r="D50">
        <v>0</v>
      </c>
      <c r="E50">
        <v>1</v>
      </c>
      <c r="F50">
        <v>4</v>
      </c>
      <c r="H50" t="str">
        <f t="shared" si="0"/>
        <v>1-1-0-1-4</v>
      </c>
      <c r="I50">
        <f t="shared" si="7"/>
        <v>1</v>
      </c>
      <c r="J50">
        <f t="shared" si="1"/>
        <v>257</v>
      </c>
      <c r="K50">
        <f t="shared" si="2"/>
        <v>207</v>
      </c>
      <c r="M50">
        <f t="shared" si="8"/>
        <v>5</v>
      </c>
      <c r="N50">
        <f t="shared" si="9"/>
        <v>2</v>
      </c>
      <c r="P50">
        <f t="shared" si="10"/>
        <v>4</v>
      </c>
      <c r="Q50">
        <f t="shared" si="11"/>
        <v>1</v>
      </c>
      <c r="R50">
        <f t="shared" si="12"/>
        <v>1</v>
      </c>
      <c r="S50">
        <f t="shared" si="13"/>
        <v>1</v>
      </c>
      <c r="T50">
        <f t="shared" si="14"/>
        <v>0</v>
      </c>
      <c r="V50" t="str">
        <f t="shared" si="3"/>
        <v>4-1-1-1-0</v>
      </c>
      <c r="X50">
        <f t="shared" si="15"/>
        <v>9</v>
      </c>
      <c r="Y50">
        <f t="shared" si="15"/>
        <v>9</v>
      </c>
      <c r="Z50">
        <f t="shared" si="15"/>
        <v>1</v>
      </c>
      <c r="AA50">
        <f t="shared" si="15"/>
        <v>9</v>
      </c>
      <c r="AB50">
        <f t="shared" si="15"/>
        <v>126</v>
      </c>
      <c r="AC50" s="4">
        <f t="shared" si="16"/>
        <v>91854</v>
      </c>
    </row>
    <row r="51" spans="1:29" x14ac:dyDescent="0.25">
      <c r="A51">
        <v>0</v>
      </c>
      <c r="B51">
        <v>1</v>
      </c>
      <c r="C51">
        <v>1</v>
      </c>
      <c r="D51">
        <v>0</v>
      </c>
      <c r="E51">
        <v>4</v>
      </c>
      <c r="F51">
        <v>1</v>
      </c>
      <c r="H51" t="str">
        <f t="shared" si="0"/>
        <v>1-1-0-4-1</v>
      </c>
      <c r="I51">
        <f t="shared" si="7"/>
        <v>0</v>
      </c>
      <c r="J51">
        <f t="shared" si="1"/>
        <v>227</v>
      </c>
      <c r="K51">
        <f t="shared" si="2"/>
        <v>177</v>
      </c>
      <c r="M51">
        <f t="shared" si="8"/>
        <v>5</v>
      </c>
      <c r="N51">
        <f t="shared" si="9"/>
        <v>2</v>
      </c>
      <c r="P51">
        <f t="shared" si="10"/>
        <v>4</v>
      </c>
      <c r="Q51">
        <f t="shared" si="11"/>
        <v>1</v>
      </c>
      <c r="R51">
        <f t="shared" si="12"/>
        <v>1</v>
      </c>
      <c r="S51">
        <f t="shared" si="13"/>
        <v>1</v>
      </c>
      <c r="T51">
        <f t="shared" si="14"/>
        <v>0</v>
      </c>
      <c r="V51" t="str">
        <f t="shared" si="3"/>
        <v>4-1-1-1-0</v>
      </c>
      <c r="X51">
        <f t="shared" si="15"/>
        <v>9</v>
      </c>
      <c r="Y51">
        <f t="shared" si="15"/>
        <v>9</v>
      </c>
      <c r="Z51">
        <f t="shared" si="15"/>
        <v>1</v>
      </c>
      <c r="AA51">
        <f t="shared" si="15"/>
        <v>126</v>
      </c>
      <c r="AB51">
        <f t="shared" si="15"/>
        <v>9</v>
      </c>
      <c r="AC51" s="4">
        <f t="shared" si="16"/>
        <v>91854</v>
      </c>
    </row>
    <row r="52" spans="1:29" x14ac:dyDescent="0.25">
      <c r="A52">
        <v>1</v>
      </c>
      <c r="B52">
        <v>1</v>
      </c>
      <c r="C52">
        <v>1</v>
      </c>
      <c r="D52">
        <v>1</v>
      </c>
      <c r="E52">
        <v>0</v>
      </c>
      <c r="F52">
        <v>4</v>
      </c>
      <c r="H52" t="str">
        <f t="shared" si="0"/>
        <v>1-1-1-0-4</v>
      </c>
      <c r="I52">
        <f t="shared" si="7"/>
        <v>1</v>
      </c>
      <c r="J52">
        <f t="shared" si="1"/>
        <v>247</v>
      </c>
      <c r="K52">
        <f t="shared" si="2"/>
        <v>197</v>
      </c>
      <c r="M52">
        <f t="shared" si="8"/>
        <v>5</v>
      </c>
      <c r="N52">
        <f t="shared" si="9"/>
        <v>3</v>
      </c>
      <c r="P52">
        <f t="shared" si="10"/>
        <v>4</v>
      </c>
      <c r="Q52">
        <f t="shared" si="11"/>
        <v>1</v>
      </c>
      <c r="R52">
        <f t="shared" si="12"/>
        <v>1</v>
      </c>
      <c r="S52">
        <f t="shared" si="13"/>
        <v>1</v>
      </c>
      <c r="T52">
        <f t="shared" si="14"/>
        <v>0</v>
      </c>
      <c r="V52" t="str">
        <f t="shared" si="3"/>
        <v>4-1-1-1-0</v>
      </c>
      <c r="X52">
        <f t="shared" si="15"/>
        <v>9</v>
      </c>
      <c r="Y52">
        <f t="shared" si="15"/>
        <v>9</v>
      </c>
      <c r="Z52">
        <f t="shared" si="15"/>
        <v>9</v>
      </c>
      <c r="AA52">
        <f t="shared" si="15"/>
        <v>1</v>
      </c>
      <c r="AB52">
        <f t="shared" si="15"/>
        <v>126</v>
      </c>
      <c r="AC52" s="4">
        <f t="shared" si="16"/>
        <v>91854</v>
      </c>
    </row>
    <row r="53" spans="1:29" x14ac:dyDescent="0.25">
      <c r="A53">
        <v>0</v>
      </c>
      <c r="B53">
        <v>1</v>
      </c>
      <c r="C53">
        <v>1</v>
      </c>
      <c r="D53">
        <v>1</v>
      </c>
      <c r="E53">
        <v>4</v>
      </c>
      <c r="F53">
        <v>0</v>
      </c>
      <c r="H53" t="str">
        <f t="shared" si="0"/>
        <v>1-1-1-4-0</v>
      </c>
      <c r="I53">
        <f t="shared" si="7"/>
        <v>0</v>
      </c>
      <c r="J53">
        <f t="shared" si="1"/>
        <v>207</v>
      </c>
      <c r="K53">
        <f t="shared" si="2"/>
        <v>157</v>
      </c>
      <c r="M53">
        <f t="shared" si="8"/>
        <v>5</v>
      </c>
      <c r="N53">
        <f t="shared" si="9"/>
        <v>3</v>
      </c>
      <c r="P53">
        <f t="shared" si="10"/>
        <v>4</v>
      </c>
      <c r="Q53">
        <f t="shared" si="11"/>
        <v>1</v>
      </c>
      <c r="R53">
        <f t="shared" si="12"/>
        <v>1</v>
      </c>
      <c r="S53">
        <f t="shared" si="13"/>
        <v>1</v>
      </c>
      <c r="T53">
        <f t="shared" si="14"/>
        <v>0</v>
      </c>
      <c r="V53" t="str">
        <f t="shared" si="3"/>
        <v>4-1-1-1-0</v>
      </c>
      <c r="X53">
        <f t="shared" si="15"/>
        <v>9</v>
      </c>
      <c r="Y53">
        <f t="shared" si="15"/>
        <v>9</v>
      </c>
      <c r="Z53">
        <f t="shared" si="15"/>
        <v>9</v>
      </c>
      <c r="AA53">
        <f t="shared" si="15"/>
        <v>126</v>
      </c>
      <c r="AB53">
        <f t="shared" si="15"/>
        <v>1</v>
      </c>
      <c r="AC53" s="4">
        <f t="shared" si="16"/>
        <v>91854</v>
      </c>
    </row>
    <row r="54" spans="1:29" x14ac:dyDescent="0.25">
      <c r="A54">
        <v>1</v>
      </c>
      <c r="B54">
        <v>1</v>
      </c>
      <c r="C54">
        <v>1</v>
      </c>
      <c r="D54">
        <v>4</v>
      </c>
      <c r="E54">
        <v>0</v>
      </c>
      <c r="F54">
        <v>1</v>
      </c>
      <c r="H54" t="str">
        <f t="shared" si="0"/>
        <v>1-1-4-0-1</v>
      </c>
      <c r="I54">
        <f t="shared" si="7"/>
        <v>1</v>
      </c>
      <c r="J54">
        <f t="shared" si="1"/>
        <v>187</v>
      </c>
      <c r="K54">
        <f t="shared" si="2"/>
        <v>137</v>
      </c>
      <c r="M54">
        <f t="shared" si="8"/>
        <v>5</v>
      </c>
      <c r="N54">
        <f t="shared" si="9"/>
        <v>6</v>
      </c>
      <c r="P54">
        <f t="shared" si="10"/>
        <v>4</v>
      </c>
      <c r="Q54">
        <f t="shared" si="11"/>
        <v>1</v>
      </c>
      <c r="R54">
        <f t="shared" si="12"/>
        <v>1</v>
      </c>
      <c r="S54">
        <f t="shared" si="13"/>
        <v>1</v>
      </c>
      <c r="T54">
        <f t="shared" si="14"/>
        <v>0</v>
      </c>
      <c r="V54" t="str">
        <f t="shared" si="3"/>
        <v>4-1-1-1-0</v>
      </c>
      <c r="X54">
        <f t="shared" si="15"/>
        <v>9</v>
      </c>
      <c r="Y54">
        <f t="shared" si="15"/>
        <v>9</v>
      </c>
      <c r="Z54">
        <f t="shared" si="15"/>
        <v>126</v>
      </c>
      <c r="AA54">
        <f t="shared" si="15"/>
        <v>1</v>
      </c>
      <c r="AB54">
        <f t="shared" si="15"/>
        <v>9</v>
      </c>
      <c r="AC54" s="4">
        <f t="shared" si="16"/>
        <v>91854</v>
      </c>
    </row>
    <row r="55" spans="1:29" x14ac:dyDescent="0.25">
      <c r="A55">
        <v>0</v>
      </c>
      <c r="B55">
        <v>1</v>
      </c>
      <c r="C55">
        <v>1</v>
      </c>
      <c r="D55">
        <v>4</v>
      </c>
      <c r="E55">
        <v>1</v>
      </c>
      <c r="F55">
        <v>0</v>
      </c>
      <c r="H55" t="str">
        <f t="shared" si="0"/>
        <v>1-1-4-1-0</v>
      </c>
      <c r="I55">
        <f t="shared" si="7"/>
        <v>0</v>
      </c>
      <c r="J55">
        <f t="shared" si="1"/>
        <v>177</v>
      </c>
      <c r="K55">
        <f t="shared" si="2"/>
        <v>127</v>
      </c>
      <c r="M55">
        <f t="shared" si="8"/>
        <v>5</v>
      </c>
      <c r="N55">
        <f t="shared" si="9"/>
        <v>6</v>
      </c>
      <c r="P55">
        <f t="shared" si="10"/>
        <v>4</v>
      </c>
      <c r="Q55">
        <f t="shared" si="11"/>
        <v>1</v>
      </c>
      <c r="R55">
        <f t="shared" si="12"/>
        <v>1</v>
      </c>
      <c r="S55">
        <f t="shared" si="13"/>
        <v>1</v>
      </c>
      <c r="T55">
        <f t="shared" si="14"/>
        <v>0</v>
      </c>
      <c r="V55" t="str">
        <f t="shared" si="3"/>
        <v>4-1-1-1-0</v>
      </c>
      <c r="X55">
        <f t="shared" ref="X55:AB105" si="17">PERMUT(9,B55)/PERMUT(B55,B55)</f>
        <v>9</v>
      </c>
      <c r="Y55">
        <f t="shared" si="17"/>
        <v>9</v>
      </c>
      <c r="Z55">
        <f t="shared" si="17"/>
        <v>126</v>
      </c>
      <c r="AA55">
        <f t="shared" si="17"/>
        <v>9</v>
      </c>
      <c r="AB55">
        <f t="shared" si="17"/>
        <v>1</v>
      </c>
      <c r="AC55" s="4">
        <f t="shared" si="16"/>
        <v>91854</v>
      </c>
    </row>
    <row r="56" spans="1:29" x14ac:dyDescent="0.25">
      <c r="A56">
        <v>1</v>
      </c>
      <c r="B56">
        <v>1</v>
      </c>
      <c r="C56">
        <v>4</v>
      </c>
      <c r="D56">
        <v>0</v>
      </c>
      <c r="E56">
        <v>1</v>
      </c>
      <c r="F56">
        <v>1</v>
      </c>
      <c r="H56" t="str">
        <f t="shared" si="0"/>
        <v>1-4-0-1-1</v>
      </c>
      <c r="I56">
        <f t="shared" si="7"/>
        <v>1</v>
      </c>
      <c r="J56">
        <f t="shared" si="1"/>
        <v>167</v>
      </c>
      <c r="K56">
        <f t="shared" si="2"/>
        <v>117</v>
      </c>
      <c r="M56">
        <f t="shared" si="8"/>
        <v>2</v>
      </c>
      <c r="N56">
        <f t="shared" si="9"/>
        <v>5</v>
      </c>
      <c r="P56">
        <f t="shared" si="10"/>
        <v>4</v>
      </c>
      <c r="Q56">
        <f t="shared" si="11"/>
        <v>1</v>
      </c>
      <c r="R56">
        <f t="shared" si="12"/>
        <v>1</v>
      </c>
      <c r="S56">
        <f t="shared" si="13"/>
        <v>1</v>
      </c>
      <c r="T56">
        <f t="shared" si="14"/>
        <v>0</v>
      </c>
      <c r="V56" t="str">
        <f t="shared" si="3"/>
        <v>4-1-1-1-0</v>
      </c>
      <c r="X56">
        <f t="shared" si="17"/>
        <v>9</v>
      </c>
      <c r="Y56">
        <f t="shared" si="17"/>
        <v>126</v>
      </c>
      <c r="Z56">
        <f t="shared" si="17"/>
        <v>1</v>
      </c>
      <c r="AA56">
        <f t="shared" si="17"/>
        <v>9</v>
      </c>
      <c r="AB56">
        <f t="shared" si="17"/>
        <v>9</v>
      </c>
      <c r="AC56" s="4">
        <f t="shared" si="16"/>
        <v>91854</v>
      </c>
    </row>
    <row r="57" spans="1:29" x14ac:dyDescent="0.25">
      <c r="A57">
        <v>1</v>
      </c>
      <c r="B57">
        <v>1</v>
      </c>
      <c r="C57">
        <v>4</v>
      </c>
      <c r="D57">
        <v>1</v>
      </c>
      <c r="E57">
        <v>0</v>
      </c>
      <c r="F57">
        <v>1</v>
      </c>
      <c r="H57" t="str">
        <f t="shared" si="0"/>
        <v>1-4-1-0-1</v>
      </c>
      <c r="I57">
        <f t="shared" si="7"/>
        <v>1</v>
      </c>
      <c r="J57">
        <f t="shared" si="1"/>
        <v>157</v>
      </c>
      <c r="K57">
        <f t="shared" si="2"/>
        <v>107</v>
      </c>
      <c r="M57">
        <f t="shared" si="8"/>
        <v>2</v>
      </c>
      <c r="N57">
        <f t="shared" si="9"/>
        <v>6</v>
      </c>
      <c r="P57">
        <f t="shared" si="10"/>
        <v>4</v>
      </c>
      <c r="Q57">
        <f t="shared" si="11"/>
        <v>1</v>
      </c>
      <c r="R57">
        <f t="shared" si="12"/>
        <v>1</v>
      </c>
      <c r="S57">
        <f t="shared" si="13"/>
        <v>1</v>
      </c>
      <c r="T57">
        <f t="shared" si="14"/>
        <v>0</v>
      </c>
      <c r="V57" t="str">
        <f t="shared" si="3"/>
        <v>4-1-1-1-0</v>
      </c>
      <c r="X57">
        <f t="shared" si="17"/>
        <v>9</v>
      </c>
      <c r="Y57">
        <f t="shared" si="17"/>
        <v>126</v>
      </c>
      <c r="Z57">
        <f t="shared" si="17"/>
        <v>9</v>
      </c>
      <c r="AA57">
        <f t="shared" si="17"/>
        <v>1</v>
      </c>
      <c r="AB57">
        <f t="shared" si="17"/>
        <v>9</v>
      </c>
      <c r="AC57" s="4">
        <f t="shared" si="16"/>
        <v>91854</v>
      </c>
    </row>
    <row r="58" spans="1:29" x14ac:dyDescent="0.25">
      <c r="A58">
        <v>0</v>
      </c>
      <c r="B58">
        <v>1</v>
      </c>
      <c r="C58">
        <v>4</v>
      </c>
      <c r="D58">
        <v>1</v>
      </c>
      <c r="E58">
        <v>1</v>
      </c>
      <c r="F58">
        <v>0</v>
      </c>
      <c r="H58" t="str">
        <f t="shared" si="0"/>
        <v>1-4-1-1-0</v>
      </c>
      <c r="I58">
        <f t="shared" si="7"/>
        <v>0</v>
      </c>
      <c r="J58">
        <f t="shared" si="1"/>
        <v>147</v>
      </c>
      <c r="K58">
        <f t="shared" si="2"/>
        <v>97</v>
      </c>
      <c r="M58">
        <f t="shared" si="8"/>
        <v>2</v>
      </c>
      <c r="N58">
        <f t="shared" si="9"/>
        <v>6</v>
      </c>
      <c r="P58">
        <f t="shared" si="10"/>
        <v>4</v>
      </c>
      <c r="Q58">
        <f t="shared" si="11"/>
        <v>1</v>
      </c>
      <c r="R58">
        <f t="shared" si="12"/>
        <v>1</v>
      </c>
      <c r="S58">
        <f t="shared" si="13"/>
        <v>1</v>
      </c>
      <c r="T58">
        <f t="shared" si="14"/>
        <v>0</v>
      </c>
      <c r="V58" t="str">
        <f t="shared" si="3"/>
        <v>4-1-1-1-0</v>
      </c>
      <c r="X58">
        <f t="shared" si="17"/>
        <v>9</v>
      </c>
      <c r="Y58">
        <f t="shared" si="17"/>
        <v>126</v>
      </c>
      <c r="Z58">
        <f t="shared" si="17"/>
        <v>9</v>
      </c>
      <c r="AA58">
        <f t="shared" si="17"/>
        <v>9</v>
      </c>
      <c r="AB58">
        <f t="shared" si="17"/>
        <v>1</v>
      </c>
      <c r="AC58" s="4">
        <f t="shared" si="16"/>
        <v>91854</v>
      </c>
    </row>
    <row r="59" spans="1:29" x14ac:dyDescent="0.25">
      <c r="A59">
        <v>0</v>
      </c>
      <c r="B59">
        <v>4</v>
      </c>
      <c r="C59">
        <v>0</v>
      </c>
      <c r="D59">
        <v>1</v>
      </c>
      <c r="E59">
        <v>1</v>
      </c>
      <c r="F59">
        <v>1</v>
      </c>
      <c r="H59" t="str">
        <f t="shared" si="0"/>
        <v>4-0-1-1-1</v>
      </c>
      <c r="I59">
        <f t="shared" si="7"/>
        <v>0</v>
      </c>
      <c r="J59">
        <f t="shared" si="1"/>
        <v>147</v>
      </c>
      <c r="K59">
        <f t="shared" si="2"/>
        <v>100</v>
      </c>
      <c r="M59">
        <f t="shared" si="8"/>
        <v>3</v>
      </c>
      <c r="N59">
        <f t="shared" si="9"/>
        <v>5</v>
      </c>
      <c r="P59">
        <f t="shared" si="10"/>
        <v>4</v>
      </c>
      <c r="Q59">
        <f t="shared" si="11"/>
        <v>1</v>
      </c>
      <c r="R59">
        <f t="shared" si="12"/>
        <v>1</v>
      </c>
      <c r="S59">
        <f t="shared" si="13"/>
        <v>1</v>
      </c>
      <c r="T59">
        <f t="shared" si="14"/>
        <v>0</v>
      </c>
      <c r="V59" t="str">
        <f t="shared" si="3"/>
        <v>4-1-1-1-0</v>
      </c>
      <c r="X59">
        <f t="shared" si="17"/>
        <v>126</v>
      </c>
      <c r="Y59">
        <f t="shared" si="17"/>
        <v>1</v>
      </c>
      <c r="Z59">
        <f t="shared" si="17"/>
        <v>9</v>
      </c>
      <c r="AA59">
        <f t="shared" si="17"/>
        <v>9</v>
      </c>
      <c r="AB59">
        <f t="shared" si="17"/>
        <v>9</v>
      </c>
      <c r="AC59" s="4">
        <f t="shared" si="16"/>
        <v>91854</v>
      </c>
    </row>
    <row r="60" spans="1:29" x14ac:dyDescent="0.25">
      <c r="A60">
        <v>1</v>
      </c>
      <c r="B60">
        <v>4</v>
      </c>
      <c r="C60">
        <v>1</v>
      </c>
      <c r="D60">
        <v>0</v>
      </c>
      <c r="E60">
        <v>1</v>
      </c>
      <c r="F60">
        <v>1</v>
      </c>
      <c r="H60" t="str">
        <f t="shared" si="0"/>
        <v>4-1-0-1-1</v>
      </c>
      <c r="I60">
        <f t="shared" si="7"/>
        <v>1</v>
      </c>
      <c r="J60">
        <f t="shared" si="1"/>
        <v>137</v>
      </c>
      <c r="K60">
        <f t="shared" si="2"/>
        <v>90</v>
      </c>
      <c r="M60">
        <f t="shared" si="8"/>
        <v>2</v>
      </c>
      <c r="N60">
        <f t="shared" si="9"/>
        <v>5</v>
      </c>
      <c r="P60">
        <f t="shared" si="10"/>
        <v>4</v>
      </c>
      <c r="Q60">
        <f t="shared" si="11"/>
        <v>1</v>
      </c>
      <c r="R60">
        <f t="shared" si="12"/>
        <v>1</v>
      </c>
      <c r="S60">
        <f t="shared" si="13"/>
        <v>1</v>
      </c>
      <c r="T60">
        <f t="shared" si="14"/>
        <v>0</v>
      </c>
      <c r="V60" t="str">
        <f t="shared" si="3"/>
        <v>4-1-1-1-0</v>
      </c>
      <c r="X60">
        <f t="shared" si="17"/>
        <v>126</v>
      </c>
      <c r="Y60">
        <f t="shared" si="17"/>
        <v>9</v>
      </c>
      <c r="Z60">
        <f t="shared" si="17"/>
        <v>1</v>
      </c>
      <c r="AA60">
        <f t="shared" si="17"/>
        <v>9</v>
      </c>
      <c r="AB60">
        <f t="shared" si="17"/>
        <v>9</v>
      </c>
      <c r="AC60" s="4">
        <f t="shared" si="16"/>
        <v>91854</v>
      </c>
    </row>
    <row r="61" spans="1:29" x14ac:dyDescent="0.25">
      <c r="A61">
        <v>1</v>
      </c>
      <c r="B61">
        <v>4</v>
      </c>
      <c r="C61">
        <v>1</v>
      </c>
      <c r="D61">
        <v>1</v>
      </c>
      <c r="E61">
        <v>0</v>
      </c>
      <c r="F61">
        <v>1</v>
      </c>
      <c r="H61" t="str">
        <f t="shared" si="0"/>
        <v>4-1-1-0-1</v>
      </c>
      <c r="I61">
        <f t="shared" si="7"/>
        <v>1</v>
      </c>
      <c r="J61">
        <f t="shared" si="1"/>
        <v>127</v>
      </c>
      <c r="K61">
        <f t="shared" si="2"/>
        <v>80</v>
      </c>
      <c r="M61">
        <f t="shared" si="8"/>
        <v>2</v>
      </c>
      <c r="N61">
        <f t="shared" si="9"/>
        <v>6</v>
      </c>
      <c r="P61">
        <f t="shared" si="10"/>
        <v>4</v>
      </c>
      <c r="Q61">
        <f t="shared" si="11"/>
        <v>1</v>
      </c>
      <c r="R61">
        <f t="shared" si="12"/>
        <v>1</v>
      </c>
      <c r="S61">
        <f t="shared" si="13"/>
        <v>1</v>
      </c>
      <c r="T61">
        <f t="shared" si="14"/>
        <v>0</v>
      </c>
      <c r="V61" t="str">
        <f t="shared" si="3"/>
        <v>4-1-1-1-0</v>
      </c>
      <c r="X61">
        <f t="shared" si="17"/>
        <v>126</v>
      </c>
      <c r="Y61">
        <f t="shared" si="17"/>
        <v>9</v>
      </c>
      <c r="Z61">
        <f t="shared" si="17"/>
        <v>9</v>
      </c>
      <c r="AA61">
        <f t="shared" si="17"/>
        <v>1</v>
      </c>
      <c r="AB61">
        <f t="shared" si="17"/>
        <v>9</v>
      </c>
      <c r="AC61" s="4">
        <f t="shared" si="16"/>
        <v>91854</v>
      </c>
    </row>
    <row r="62" spans="1:29" x14ac:dyDescent="0.25">
      <c r="A62">
        <v>1</v>
      </c>
      <c r="B62">
        <v>4</v>
      </c>
      <c r="C62">
        <v>1</v>
      </c>
      <c r="D62">
        <v>1</v>
      </c>
      <c r="E62">
        <v>1</v>
      </c>
      <c r="F62">
        <v>0</v>
      </c>
      <c r="H62" t="str">
        <f t="shared" si="0"/>
        <v>4-1-1-1-0</v>
      </c>
      <c r="I62">
        <f t="shared" si="7"/>
        <v>1</v>
      </c>
      <c r="J62">
        <f t="shared" si="1"/>
        <v>117</v>
      </c>
      <c r="K62">
        <f t="shared" si="2"/>
        <v>70</v>
      </c>
      <c r="M62">
        <f t="shared" si="8"/>
        <v>2</v>
      </c>
      <c r="N62">
        <f t="shared" si="9"/>
        <v>6</v>
      </c>
      <c r="P62">
        <f t="shared" si="10"/>
        <v>4</v>
      </c>
      <c r="Q62">
        <f t="shared" si="11"/>
        <v>1</v>
      </c>
      <c r="R62">
        <f t="shared" si="12"/>
        <v>1</v>
      </c>
      <c r="S62">
        <f t="shared" si="13"/>
        <v>1</v>
      </c>
      <c r="T62">
        <f t="shared" si="14"/>
        <v>0</v>
      </c>
      <c r="V62" t="str">
        <f t="shared" si="3"/>
        <v>4-1-1-1-0</v>
      </c>
      <c r="X62">
        <f t="shared" si="17"/>
        <v>126</v>
      </c>
      <c r="Y62">
        <f t="shared" si="17"/>
        <v>9</v>
      </c>
      <c r="Z62">
        <f t="shared" si="17"/>
        <v>9</v>
      </c>
      <c r="AA62">
        <f t="shared" si="17"/>
        <v>9</v>
      </c>
      <c r="AB62">
        <f t="shared" si="17"/>
        <v>1</v>
      </c>
      <c r="AC62" s="4">
        <f t="shared" si="16"/>
        <v>91854</v>
      </c>
    </row>
    <row r="63" spans="1:29" x14ac:dyDescent="0.25">
      <c r="A63">
        <v>0</v>
      </c>
      <c r="B63">
        <v>0</v>
      </c>
      <c r="C63">
        <v>0</v>
      </c>
      <c r="D63">
        <v>0</v>
      </c>
      <c r="E63">
        <v>3</v>
      </c>
      <c r="F63">
        <v>4</v>
      </c>
      <c r="H63" t="str">
        <f t="shared" si="0"/>
        <v>0-0-0-3-4</v>
      </c>
      <c r="I63">
        <f t="shared" si="7"/>
        <v>0</v>
      </c>
      <c r="J63">
        <f t="shared" si="1"/>
        <v>304</v>
      </c>
      <c r="K63">
        <f t="shared" si="2"/>
        <v>259</v>
      </c>
      <c r="M63">
        <f t="shared" si="8"/>
        <v>7</v>
      </c>
      <c r="N63">
        <f t="shared" si="9"/>
        <v>0</v>
      </c>
      <c r="P63">
        <f t="shared" si="10"/>
        <v>4</v>
      </c>
      <c r="Q63">
        <f t="shared" si="11"/>
        <v>3</v>
      </c>
      <c r="R63">
        <f t="shared" si="12"/>
        <v>0</v>
      </c>
      <c r="S63">
        <f t="shared" si="13"/>
        <v>0</v>
      </c>
      <c r="T63">
        <f t="shared" si="14"/>
        <v>0</v>
      </c>
      <c r="V63" t="str">
        <f t="shared" si="3"/>
        <v>4-3-0-0-0</v>
      </c>
      <c r="X63">
        <f t="shared" si="17"/>
        <v>1</v>
      </c>
      <c r="Y63">
        <f t="shared" si="17"/>
        <v>1</v>
      </c>
      <c r="Z63">
        <f t="shared" si="17"/>
        <v>1</v>
      </c>
      <c r="AA63">
        <f t="shared" si="17"/>
        <v>84</v>
      </c>
      <c r="AB63">
        <f t="shared" si="17"/>
        <v>126</v>
      </c>
      <c r="AC63" s="4">
        <f t="shared" si="16"/>
        <v>10584</v>
      </c>
    </row>
    <row r="64" spans="1:29" x14ac:dyDescent="0.25">
      <c r="A64">
        <v>0</v>
      </c>
      <c r="B64">
        <v>0</v>
      </c>
      <c r="C64">
        <v>0</v>
      </c>
      <c r="D64">
        <v>0</v>
      </c>
      <c r="E64">
        <v>4</v>
      </c>
      <c r="F64">
        <v>3</v>
      </c>
      <c r="H64" t="str">
        <f t="shared" si="0"/>
        <v>0-0-0-4-3</v>
      </c>
      <c r="I64">
        <f t="shared" si="7"/>
        <v>0</v>
      </c>
      <c r="J64">
        <f t="shared" si="1"/>
        <v>294</v>
      </c>
      <c r="K64">
        <f t="shared" si="2"/>
        <v>249</v>
      </c>
      <c r="M64">
        <f t="shared" si="8"/>
        <v>7</v>
      </c>
      <c r="N64">
        <f t="shared" si="9"/>
        <v>0</v>
      </c>
      <c r="P64">
        <f t="shared" si="10"/>
        <v>4</v>
      </c>
      <c r="Q64">
        <f t="shared" si="11"/>
        <v>3</v>
      </c>
      <c r="R64">
        <f t="shared" si="12"/>
        <v>0</v>
      </c>
      <c r="S64">
        <f t="shared" si="13"/>
        <v>0</v>
      </c>
      <c r="T64">
        <f t="shared" si="14"/>
        <v>0</v>
      </c>
      <c r="V64" t="str">
        <f t="shared" si="3"/>
        <v>4-3-0-0-0</v>
      </c>
      <c r="X64">
        <f t="shared" si="17"/>
        <v>1</v>
      </c>
      <c r="Y64">
        <f t="shared" si="17"/>
        <v>1</v>
      </c>
      <c r="Z64">
        <f t="shared" si="17"/>
        <v>1</v>
      </c>
      <c r="AA64">
        <f t="shared" si="17"/>
        <v>126</v>
      </c>
      <c r="AB64">
        <f t="shared" si="17"/>
        <v>84</v>
      </c>
      <c r="AC64" s="4">
        <f t="shared" si="16"/>
        <v>10584</v>
      </c>
    </row>
    <row r="65" spans="1:29" x14ac:dyDescent="0.25">
      <c r="A65">
        <v>0</v>
      </c>
      <c r="B65">
        <v>0</v>
      </c>
      <c r="C65">
        <v>0</v>
      </c>
      <c r="D65">
        <v>3</v>
      </c>
      <c r="E65">
        <v>0</v>
      </c>
      <c r="F65">
        <v>4</v>
      </c>
      <c r="H65" t="str">
        <f t="shared" si="0"/>
        <v>0-0-3-0-4</v>
      </c>
      <c r="I65">
        <f t="shared" si="7"/>
        <v>0</v>
      </c>
      <c r="J65">
        <f t="shared" si="1"/>
        <v>274</v>
      </c>
      <c r="K65">
        <f t="shared" si="2"/>
        <v>229</v>
      </c>
      <c r="M65">
        <f t="shared" si="8"/>
        <v>7</v>
      </c>
      <c r="N65">
        <f t="shared" si="9"/>
        <v>3</v>
      </c>
      <c r="P65">
        <f t="shared" si="10"/>
        <v>4</v>
      </c>
      <c r="Q65">
        <f t="shared" si="11"/>
        <v>3</v>
      </c>
      <c r="R65">
        <f t="shared" si="12"/>
        <v>0</v>
      </c>
      <c r="S65">
        <f t="shared" si="13"/>
        <v>0</v>
      </c>
      <c r="T65">
        <f t="shared" si="14"/>
        <v>0</v>
      </c>
      <c r="V65" t="str">
        <f t="shared" si="3"/>
        <v>4-3-0-0-0</v>
      </c>
      <c r="X65">
        <f t="shared" si="17"/>
        <v>1</v>
      </c>
      <c r="Y65">
        <f t="shared" si="17"/>
        <v>1</v>
      </c>
      <c r="Z65">
        <f t="shared" si="17"/>
        <v>84</v>
      </c>
      <c r="AA65">
        <f t="shared" si="17"/>
        <v>1</v>
      </c>
      <c r="AB65">
        <f t="shared" si="17"/>
        <v>126</v>
      </c>
      <c r="AC65" s="4">
        <f t="shared" si="16"/>
        <v>10584</v>
      </c>
    </row>
    <row r="66" spans="1:29" x14ac:dyDescent="0.25">
      <c r="A66">
        <v>0</v>
      </c>
      <c r="B66">
        <v>0</v>
      </c>
      <c r="C66">
        <v>0</v>
      </c>
      <c r="D66">
        <v>3</v>
      </c>
      <c r="E66">
        <v>4</v>
      </c>
      <c r="F66">
        <v>0</v>
      </c>
      <c r="H66" t="str">
        <f t="shared" si="0"/>
        <v>0-0-3-4-0</v>
      </c>
      <c r="I66">
        <f t="shared" si="7"/>
        <v>0</v>
      </c>
      <c r="J66">
        <f t="shared" si="1"/>
        <v>234</v>
      </c>
      <c r="K66">
        <f t="shared" si="2"/>
        <v>189</v>
      </c>
      <c r="M66">
        <f t="shared" si="8"/>
        <v>7</v>
      </c>
      <c r="N66">
        <f t="shared" si="9"/>
        <v>3</v>
      </c>
      <c r="P66">
        <f t="shared" si="10"/>
        <v>4</v>
      </c>
      <c r="Q66">
        <f t="shared" si="11"/>
        <v>3</v>
      </c>
      <c r="R66">
        <f t="shared" si="12"/>
        <v>0</v>
      </c>
      <c r="S66">
        <f t="shared" si="13"/>
        <v>0</v>
      </c>
      <c r="T66">
        <f t="shared" si="14"/>
        <v>0</v>
      </c>
      <c r="V66" t="str">
        <f t="shared" si="3"/>
        <v>4-3-0-0-0</v>
      </c>
      <c r="X66">
        <f t="shared" si="17"/>
        <v>1</v>
      </c>
      <c r="Y66">
        <f t="shared" si="17"/>
        <v>1</v>
      </c>
      <c r="Z66">
        <f t="shared" si="17"/>
        <v>84</v>
      </c>
      <c r="AA66">
        <f t="shared" si="17"/>
        <v>126</v>
      </c>
      <c r="AB66">
        <f t="shared" si="17"/>
        <v>1</v>
      </c>
      <c r="AC66" s="4">
        <f t="shared" si="16"/>
        <v>10584</v>
      </c>
    </row>
    <row r="67" spans="1:29" x14ac:dyDescent="0.25">
      <c r="A67">
        <v>0</v>
      </c>
      <c r="B67">
        <v>0</v>
      </c>
      <c r="C67">
        <v>0</v>
      </c>
      <c r="D67">
        <v>4</v>
      </c>
      <c r="E67">
        <v>0</v>
      </c>
      <c r="F67">
        <v>3</v>
      </c>
      <c r="H67" t="str">
        <f t="shared" ref="H67:H130" si="18">CONCATENATE(B67,"-",C67,"-",D67,"-",E67,"-",F67)</f>
        <v>0-0-4-0-3</v>
      </c>
      <c r="I67">
        <f t="shared" si="7"/>
        <v>0</v>
      </c>
      <c r="J67">
        <f t="shared" ref="J67:J130" si="19">((9*B67)-((B67-1)*(B67))/2)+((19*C67)-((C67-1)*(C67))/2)+((29*D67)-((D67-1)*(D67))/2)+((39*E67)-((E67-1)*(E67))/2)+((49*F67)-((F67-1)*(F67))/2)</f>
        <v>254</v>
      </c>
      <c r="K67">
        <f t="shared" ref="K67:K130" si="20">((1*B67)+((B67-1)*(B67))/2)+((10*C67)+((C67-1)*(C67))/2)+((20*D67)+((D67-1)*(D67))/2)+((30*E67)+((E67-1)*(E67))/2)+((40*F67)+((F67-1)*(F67))/2)</f>
        <v>209</v>
      </c>
      <c r="M67">
        <f t="shared" si="8"/>
        <v>7</v>
      </c>
      <c r="N67">
        <f t="shared" si="9"/>
        <v>4</v>
      </c>
      <c r="P67">
        <f t="shared" si="10"/>
        <v>4</v>
      </c>
      <c r="Q67">
        <f t="shared" si="11"/>
        <v>3</v>
      </c>
      <c r="R67">
        <f t="shared" si="12"/>
        <v>0</v>
      </c>
      <c r="S67">
        <f t="shared" si="13"/>
        <v>0</v>
      </c>
      <c r="T67">
        <f t="shared" si="14"/>
        <v>0</v>
      </c>
      <c r="V67" t="str">
        <f t="shared" ref="V67:V130" si="21">CONCATENATE(P67,"-",Q67,"-",R67,"-",S67,"-",T67)</f>
        <v>4-3-0-0-0</v>
      </c>
      <c r="X67">
        <f t="shared" si="17"/>
        <v>1</v>
      </c>
      <c r="Y67">
        <f t="shared" si="17"/>
        <v>1</v>
      </c>
      <c r="Z67">
        <f t="shared" si="17"/>
        <v>126</v>
      </c>
      <c r="AA67">
        <f t="shared" si="17"/>
        <v>1</v>
      </c>
      <c r="AB67">
        <f t="shared" si="17"/>
        <v>84</v>
      </c>
      <c r="AC67" s="4">
        <f t="shared" si="16"/>
        <v>10584</v>
      </c>
    </row>
    <row r="68" spans="1:29" x14ac:dyDescent="0.25">
      <c r="A68">
        <v>0</v>
      </c>
      <c r="B68">
        <v>0</v>
      </c>
      <c r="C68">
        <v>0</v>
      </c>
      <c r="D68">
        <v>4</v>
      </c>
      <c r="E68">
        <v>3</v>
      </c>
      <c r="F68">
        <v>0</v>
      </c>
      <c r="H68" t="str">
        <f t="shared" si="18"/>
        <v>0-0-4-3-0</v>
      </c>
      <c r="I68">
        <f t="shared" ref="I68:I131" si="22">A68</f>
        <v>0</v>
      </c>
      <c r="J68">
        <f t="shared" si="19"/>
        <v>224</v>
      </c>
      <c r="K68">
        <f t="shared" si="20"/>
        <v>179</v>
      </c>
      <c r="M68">
        <f t="shared" ref="M68:M131" si="23">D68+E68+F68</f>
        <v>7</v>
      </c>
      <c r="N68">
        <f t="shared" ref="N68:N131" si="24">B68+C68+D68</f>
        <v>4</v>
      </c>
      <c r="P68">
        <f t="shared" ref="P68:P131" si="25">LARGE($B68:$F68,1)</f>
        <v>4</v>
      </c>
      <c r="Q68">
        <f t="shared" ref="Q68:Q131" si="26">LARGE($B68:$F68,2)</f>
        <v>3</v>
      </c>
      <c r="R68">
        <f t="shared" ref="R68:R131" si="27">LARGE($B68:$F68,3)</f>
        <v>0</v>
      </c>
      <c r="S68">
        <f t="shared" ref="S68:S131" si="28">LARGE($B68:$F68,4)</f>
        <v>0</v>
      </c>
      <c r="T68">
        <f t="shared" ref="T68:T131" si="29">LARGE($B68:$F68,5)</f>
        <v>0</v>
      </c>
      <c r="V68" t="str">
        <f t="shared" si="21"/>
        <v>4-3-0-0-0</v>
      </c>
      <c r="X68">
        <f t="shared" si="17"/>
        <v>1</v>
      </c>
      <c r="Y68">
        <f t="shared" si="17"/>
        <v>1</v>
      </c>
      <c r="Z68">
        <f t="shared" si="17"/>
        <v>126</v>
      </c>
      <c r="AA68">
        <f t="shared" si="17"/>
        <v>84</v>
      </c>
      <c r="AB68">
        <f t="shared" si="17"/>
        <v>1</v>
      </c>
      <c r="AC68" s="4">
        <f t="shared" ref="AC68:AC131" si="30">X68*Y68*Z68*AA68*AB68</f>
        <v>10584</v>
      </c>
    </row>
    <row r="69" spans="1:29" x14ac:dyDescent="0.25">
      <c r="A69">
        <v>0</v>
      </c>
      <c r="B69">
        <v>0</v>
      </c>
      <c r="C69">
        <v>3</v>
      </c>
      <c r="D69">
        <v>0</v>
      </c>
      <c r="E69">
        <v>0</v>
      </c>
      <c r="F69">
        <v>4</v>
      </c>
      <c r="H69" t="str">
        <f t="shared" si="18"/>
        <v>0-3-0-0-4</v>
      </c>
      <c r="I69">
        <f t="shared" si="22"/>
        <v>0</v>
      </c>
      <c r="J69">
        <f t="shared" si="19"/>
        <v>244</v>
      </c>
      <c r="K69">
        <f t="shared" si="20"/>
        <v>199</v>
      </c>
      <c r="M69">
        <f t="shared" si="23"/>
        <v>4</v>
      </c>
      <c r="N69">
        <f t="shared" si="24"/>
        <v>3</v>
      </c>
      <c r="P69">
        <f t="shared" si="25"/>
        <v>4</v>
      </c>
      <c r="Q69">
        <f t="shared" si="26"/>
        <v>3</v>
      </c>
      <c r="R69">
        <f t="shared" si="27"/>
        <v>0</v>
      </c>
      <c r="S69">
        <f t="shared" si="28"/>
        <v>0</v>
      </c>
      <c r="T69">
        <f t="shared" si="29"/>
        <v>0</v>
      </c>
      <c r="V69" t="str">
        <f t="shared" si="21"/>
        <v>4-3-0-0-0</v>
      </c>
      <c r="X69">
        <f t="shared" si="17"/>
        <v>1</v>
      </c>
      <c r="Y69">
        <f t="shared" si="17"/>
        <v>84</v>
      </c>
      <c r="Z69">
        <f t="shared" si="17"/>
        <v>1</v>
      </c>
      <c r="AA69">
        <f t="shared" si="17"/>
        <v>1</v>
      </c>
      <c r="AB69">
        <f t="shared" si="17"/>
        <v>126</v>
      </c>
      <c r="AC69" s="4">
        <f t="shared" si="30"/>
        <v>10584</v>
      </c>
    </row>
    <row r="70" spans="1:29" x14ac:dyDescent="0.25">
      <c r="A70">
        <v>0</v>
      </c>
      <c r="B70">
        <v>0</v>
      </c>
      <c r="C70">
        <v>3</v>
      </c>
      <c r="D70">
        <v>0</v>
      </c>
      <c r="E70">
        <v>4</v>
      </c>
      <c r="F70">
        <v>0</v>
      </c>
      <c r="H70" t="str">
        <f t="shared" si="18"/>
        <v>0-3-0-4-0</v>
      </c>
      <c r="I70">
        <f t="shared" si="22"/>
        <v>0</v>
      </c>
      <c r="J70">
        <f t="shared" si="19"/>
        <v>204</v>
      </c>
      <c r="K70">
        <f t="shared" si="20"/>
        <v>159</v>
      </c>
      <c r="M70">
        <f t="shared" si="23"/>
        <v>4</v>
      </c>
      <c r="N70">
        <f t="shared" si="24"/>
        <v>3</v>
      </c>
      <c r="P70">
        <f t="shared" si="25"/>
        <v>4</v>
      </c>
      <c r="Q70">
        <f t="shared" si="26"/>
        <v>3</v>
      </c>
      <c r="R70">
        <f t="shared" si="27"/>
        <v>0</v>
      </c>
      <c r="S70">
        <f t="shared" si="28"/>
        <v>0</v>
      </c>
      <c r="T70">
        <f t="shared" si="29"/>
        <v>0</v>
      </c>
      <c r="V70" t="str">
        <f t="shared" si="21"/>
        <v>4-3-0-0-0</v>
      </c>
      <c r="X70">
        <f t="shared" si="17"/>
        <v>1</v>
      </c>
      <c r="Y70">
        <f t="shared" si="17"/>
        <v>84</v>
      </c>
      <c r="Z70">
        <f t="shared" si="17"/>
        <v>1</v>
      </c>
      <c r="AA70">
        <f t="shared" si="17"/>
        <v>126</v>
      </c>
      <c r="AB70">
        <f t="shared" si="17"/>
        <v>1</v>
      </c>
      <c r="AC70" s="4">
        <f t="shared" si="30"/>
        <v>10584</v>
      </c>
    </row>
    <row r="71" spans="1:29" x14ac:dyDescent="0.25">
      <c r="A71">
        <v>0</v>
      </c>
      <c r="B71">
        <v>0</v>
      </c>
      <c r="C71">
        <v>3</v>
      </c>
      <c r="D71">
        <v>4</v>
      </c>
      <c r="E71">
        <v>0</v>
      </c>
      <c r="F71">
        <v>0</v>
      </c>
      <c r="H71" t="str">
        <f t="shared" si="18"/>
        <v>0-3-4-0-0</v>
      </c>
      <c r="I71">
        <f t="shared" si="22"/>
        <v>0</v>
      </c>
      <c r="J71">
        <f t="shared" si="19"/>
        <v>164</v>
      </c>
      <c r="K71">
        <f t="shared" si="20"/>
        <v>119</v>
      </c>
      <c r="M71">
        <f t="shared" si="23"/>
        <v>4</v>
      </c>
      <c r="N71">
        <f t="shared" si="24"/>
        <v>7</v>
      </c>
      <c r="P71">
        <f t="shared" si="25"/>
        <v>4</v>
      </c>
      <c r="Q71">
        <f t="shared" si="26"/>
        <v>3</v>
      </c>
      <c r="R71">
        <f t="shared" si="27"/>
        <v>0</v>
      </c>
      <c r="S71">
        <f t="shared" si="28"/>
        <v>0</v>
      </c>
      <c r="T71">
        <f t="shared" si="29"/>
        <v>0</v>
      </c>
      <c r="V71" t="str">
        <f t="shared" si="21"/>
        <v>4-3-0-0-0</v>
      </c>
      <c r="X71">
        <f t="shared" si="17"/>
        <v>1</v>
      </c>
      <c r="Y71">
        <f t="shared" si="17"/>
        <v>84</v>
      </c>
      <c r="Z71">
        <f t="shared" si="17"/>
        <v>126</v>
      </c>
      <c r="AA71">
        <f t="shared" si="17"/>
        <v>1</v>
      </c>
      <c r="AB71">
        <f t="shared" si="17"/>
        <v>1</v>
      </c>
      <c r="AC71" s="4">
        <f t="shared" si="30"/>
        <v>10584</v>
      </c>
    </row>
    <row r="72" spans="1:29" x14ac:dyDescent="0.25">
      <c r="A72">
        <v>0</v>
      </c>
      <c r="B72">
        <v>0</v>
      </c>
      <c r="C72">
        <v>4</v>
      </c>
      <c r="D72">
        <v>0</v>
      </c>
      <c r="E72">
        <v>0</v>
      </c>
      <c r="F72">
        <v>3</v>
      </c>
      <c r="H72" t="str">
        <f t="shared" si="18"/>
        <v>0-4-0-0-3</v>
      </c>
      <c r="I72">
        <f t="shared" si="22"/>
        <v>0</v>
      </c>
      <c r="J72">
        <f t="shared" si="19"/>
        <v>214</v>
      </c>
      <c r="K72">
        <f t="shared" si="20"/>
        <v>169</v>
      </c>
      <c r="M72">
        <f t="shared" si="23"/>
        <v>3</v>
      </c>
      <c r="N72">
        <f t="shared" si="24"/>
        <v>4</v>
      </c>
      <c r="P72">
        <f t="shared" si="25"/>
        <v>4</v>
      </c>
      <c r="Q72">
        <f t="shared" si="26"/>
        <v>3</v>
      </c>
      <c r="R72">
        <f t="shared" si="27"/>
        <v>0</v>
      </c>
      <c r="S72">
        <f t="shared" si="28"/>
        <v>0</v>
      </c>
      <c r="T72">
        <f t="shared" si="29"/>
        <v>0</v>
      </c>
      <c r="V72" t="str">
        <f t="shared" si="21"/>
        <v>4-3-0-0-0</v>
      </c>
      <c r="X72">
        <f t="shared" si="17"/>
        <v>1</v>
      </c>
      <c r="Y72">
        <f t="shared" si="17"/>
        <v>126</v>
      </c>
      <c r="Z72">
        <f t="shared" si="17"/>
        <v>1</v>
      </c>
      <c r="AA72">
        <f t="shared" si="17"/>
        <v>1</v>
      </c>
      <c r="AB72">
        <f t="shared" si="17"/>
        <v>84</v>
      </c>
      <c r="AC72" s="4">
        <f t="shared" si="30"/>
        <v>10584</v>
      </c>
    </row>
    <row r="73" spans="1:29" x14ac:dyDescent="0.25">
      <c r="A73">
        <v>0</v>
      </c>
      <c r="B73">
        <v>0</v>
      </c>
      <c r="C73">
        <v>4</v>
      </c>
      <c r="D73">
        <v>0</v>
      </c>
      <c r="E73">
        <v>3</v>
      </c>
      <c r="F73">
        <v>0</v>
      </c>
      <c r="H73" t="str">
        <f t="shared" si="18"/>
        <v>0-4-0-3-0</v>
      </c>
      <c r="I73">
        <f t="shared" si="22"/>
        <v>0</v>
      </c>
      <c r="J73">
        <f t="shared" si="19"/>
        <v>184</v>
      </c>
      <c r="K73">
        <f t="shared" si="20"/>
        <v>139</v>
      </c>
      <c r="M73">
        <f t="shared" si="23"/>
        <v>3</v>
      </c>
      <c r="N73">
        <f t="shared" si="24"/>
        <v>4</v>
      </c>
      <c r="P73">
        <f t="shared" si="25"/>
        <v>4</v>
      </c>
      <c r="Q73">
        <f t="shared" si="26"/>
        <v>3</v>
      </c>
      <c r="R73">
        <f t="shared" si="27"/>
        <v>0</v>
      </c>
      <c r="S73">
        <f t="shared" si="28"/>
        <v>0</v>
      </c>
      <c r="T73">
        <f t="shared" si="29"/>
        <v>0</v>
      </c>
      <c r="V73" t="str">
        <f t="shared" si="21"/>
        <v>4-3-0-0-0</v>
      </c>
      <c r="X73">
        <f t="shared" si="17"/>
        <v>1</v>
      </c>
      <c r="Y73">
        <f t="shared" si="17"/>
        <v>126</v>
      </c>
      <c r="Z73">
        <f t="shared" si="17"/>
        <v>1</v>
      </c>
      <c r="AA73">
        <f t="shared" si="17"/>
        <v>84</v>
      </c>
      <c r="AB73">
        <f t="shared" si="17"/>
        <v>1</v>
      </c>
      <c r="AC73" s="4">
        <f t="shared" si="30"/>
        <v>10584</v>
      </c>
    </row>
    <row r="74" spans="1:29" x14ac:dyDescent="0.25">
      <c r="A74">
        <v>0</v>
      </c>
      <c r="B74">
        <v>0</v>
      </c>
      <c r="C74">
        <v>4</v>
      </c>
      <c r="D74">
        <v>3</v>
      </c>
      <c r="E74">
        <v>0</v>
      </c>
      <c r="F74">
        <v>0</v>
      </c>
      <c r="H74" t="str">
        <f t="shared" si="18"/>
        <v>0-4-3-0-0</v>
      </c>
      <c r="I74">
        <f t="shared" si="22"/>
        <v>0</v>
      </c>
      <c r="J74">
        <f t="shared" si="19"/>
        <v>154</v>
      </c>
      <c r="K74">
        <f t="shared" si="20"/>
        <v>109</v>
      </c>
      <c r="M74">
        <f t="shared" si="23"/>
        <v>3</v>
      </c>
      <c r="N74">
        <f t="shared" si="24"/>
        <v>7</v>
      </c>
      <c r="P74">
        <f t="shared" si="25"/>
        <v>4</v>
      </c>
      <c r="Q74">
        <f t="shared" si="26"/>
        <v>3</v>
      </c>
      <c r="R74">
        <f t="shared" si="27"/>
        <v>0</v>
      </c>
      <c r="S74">
        <f t="shared" si="28"/>
        <v>0</v>
      </c>
      <c r="T74">
        <f t="shared" si="29"/>
        <v>0</v>
      </c>
      <c r="V74" t="str">
        <f t="shared" si="21"/>
        <v>4-3-0-0-0</v>
      </c>
      <c r="X74">
        <f t="shared" si="17"/>
        <v>1</v>
      </c>
      <c r="Y74">
        <f t="shared" si="17"/>
        <v>126</v>
      </c>
      <c r="Z74">
        <f t="shared" si="17"/>
        <v>84</v>
      </c>
      <c r="AA74">
        <f t="shared" si="17"/>
        <v>1</v>
      </c>
      <c r="AB74">
        <f t="shared" si="17"/>
        <v>1</v>
      </c>
      <c r="AC74" s="4">
        <f t="shared" si="30"/>
        <v>10584</v>
      </c>
    </row>
    <row r="75" spans="1:29" x14ac:dyDescent="0.25">
      <c r="A75">
        <v>0</v>
      </c>
      <c r="B75">
        <v>3</v>
      </c>
      <c r="C75">
        <v>0</v>
      </c>
      <c r="D75">
        <v>0</v>
      </c>
      <c r="E75">
        <v>0</v>
      </c>
      <c r="F75">
        <v>4</v>
      </c>
      <c r="H75" t="str">
        <f t="shared" si="18"/>
        <v>3-0-0-0-4</v>
      </c>
      <c r="I75">
        <f t="shared" si="22"/>
        <v>0</v>
      </c>
      <c r="J75">
        <f t="shared" si="19"/>
        <v>214</v>
      </c>
      <c r="K75">
        <f t="shared" si="20"/>
        <v>172</v>
      </c>
      <c r="M75">
        <f t="shared" si="23"/>
        <v>4</v>
      </c>
      <c r="N75">
        <f t="shared" si="24"/>
        <v>3</v>
      </c>
      <c r="P75">
        <f t="shared" si="25"/>
        <v>4</v>
      </c>
      <c r="Q75">
        <f t="shared" si="26"/>
        <v>3</v>
      </c>
      <c r="R75">
        <f t="shared" si="27"/>
        <v>0</v>
      </c>
      <c r="S75">
        <f t="shared" si="28"/>
        <v>0</v>
      </c>
      <c r="T75">
        <f t="shared" si="29"/>
        <v>0</v>
      </c>
      <c r="V75" t="str">
        <f t="shared" si="21"/>
        <v>4-3-0-0-0</v>
      </c>
      <c r="X75">
        <f t="shared" si="17"/>
        <v>84</v>
      </c>
      <c r="Y75">
        <f t="shared" si="17"/>
        <v>1</v>
      </c>
      <c r="Z75">
        <f t="shared" si="17"/>
        <v>1</v>
      </c>
      <c r="AA75">
        <f t="shared" si="17"/>
        <v>1</v>
      </c>
      <c r="AB75">
        <f t="shared" si="17"/>
        <v>126</v>
      </c>
      <c r="AC75" s="4">
        <f t="shared" si="30"/>
        <v>10584</v>
      </c>
    </row>
    <row r="76" spans="1:29" x14ac:dyDescent="0.25">
      <c r="A76">
        <v>0</v>
      </c>
      <c r="B76">
        <v>3</v>
      </c>
      <c r="C76">
        <v>0</v>
      </c>
      <c r="D76">
        <v>0</v>
      </c>
      <c r="E76">
        <v>4</v>
      </c>
      <c r="F76">
        <v>0</v>
      </c>
      <c r="H76" t="str">
        <f t="shared" si="18"/>
        <v>3-0-0-4-0</v>
      </c>
      <c r="I76">
        <f t="shared" si="22"/>
        <v>0</v>
      </c>
      <c r="J76">
        <f t="shared" si="19"/>
        <v>174</v>
      </c>
      <c r="K76">
        <f t="shared" si="20"/>
        <v>132</v>
      </c>
      <c r="M76">
        <f t="shared" si="23"/>
        <v>4</v>
      </c>
      <c r="N76">
        <f t="shared" si="24"/>
        <v>3</v>
      </c>
      <c r="P76">
        <f t="shared" si="25"/>
        <v>4</v>
      </c>
      <c r="Q76">
        <f t="shared" si="26"/>
        <v>3</v>
      </c>
      <c r="R76">
        <f t="shared" si="27"/>
        <v>0</v>
      </c>
      <c r="S76">
        <f t="shared" si="28"/>
        <v>0</v>
      </c>
      <c r="T76">
        <f t="shared" si="29"/>
        <v>0</v>
      </c>
      <c r="V76" t="str">
        <f t="shared" si="21"/>
        <v>4-3-0-0-0</v>
      </c>
      <c r="X76">
        <f t="shared" si="17"/>
        <v>84</v>
      </c>
      <c r="Y76">
        <f t="shared" si="17"/>
        <v>1</v>
      </c>
      <c r="Z76">
        <f t="shared" si="17"/>
        <v>1</v>
      </c>
      <c r="AA76">
        <f t="shared" si="17"/>
        <v>126</v>
      </c>
      <c r="AB76">
        <f t="shared" si="17"/>
        <v>1</v>
      </c>
      <c r="AC76" s="4">
        <f t="shared" si="30"/>
        <v>10584</v>
      </c>
    </row>
    <row r="77" spans="1:29" x14ac:dyDescent="0.25">
      <c r="A77">
        <v>0</v>
      </c>
      <c r="B77">
        <v>3</v>
      </c>
      <c r="C77">
        <v>0</v>
      </c>
      <c r="D77">
        <v>4</v>
      </c>
      <c r="E77">
        <v>0</v>
      </c>
      <c r="F77">
        <v>0</v>
      </c>
      <c r="H77" t="str">
        <f t="shared" si="18"/>
        <v>3-0-4-0-0</v>
      </c>
      <c r="I77">
        <f t="shared" si="22"/>
        <v>0</v>
      </c>
      <c r="J77">
        <f t="shared" si="19"/>
        <v>134</v>
      </c>
      <c r="K77">
        <f t="shared" si="20"/>
        <v>92</v>
      </c>
      <c r="M77">
        <f t="shared" si="23"/>
        <v>4</v>
      </c>
      <c r="N77">
        <f t="shared" si="24"/>
        <v>7</v>
      </c>
      <c r="P77">
        <f t="shared" si="25"/>
        <v>4</v>
      </c>
      <c r="Q77">
        <f t="shared" si="26"/>
        <v>3</v>
      </c>
      <c r="R77">
        <f t="shared" si="27"/>
        <v>0</v>
      </c>
      <c r="S77">
        <f t="shared" si="28"/>
        <v>0</v>
      </c>
      <c r="T77">
        <f t="shared" si="29"/>
        <v>0</v>
      </c>
      <c r="V77" t="str">
        <f t="shared" si="21"/>
        <v>4-3-0-0-0</v>
      </c>
      <c r="X77">
        <f t="shared" si="17"/>
        <v>84</v>
      </c>
      <c r="Y77">
        <f t="shared" si="17"/>
        <v>1</v>
      </c>
      <c r="Z77">
        <f t="shared" si="17"/>
        <v>126</v>
      </c>
      <c r="AA77">
        <f t="shared" si="17"/>
        <v>1</v>
      </c>
      <c r="AB77">
        <f t="shared" si="17"/>
        <v>1</v>
      </c>
      <c r="AC77" s="4">
        <f t="shared" si="30"/>
        <v>10584</v>
      </c>
    </row>
    <row r="78" spans="1:29" x14ac:dyDescent="0.25">
      <c r="A78">
        <v>0</v>
      </c>
      <c r="B78">
        <v>3</v>
      </c>
      <c r="C78">
        <v>4</v>
      </c>
      <c r="D78">
        <v>0</v>
      </c>
      <c r="E78">
        <v>0</v>
      </c>
      <c r="F78">
        <v>0</v>
      </c>
      <c r="H78" t="str">
        <f t="shared" si="18"/>
        <v>3-4-0-0-0</v>
      </c>
      <c r="I78">
        <f t="shared" si="22"/>
        <v>0</v>
      </c>
      <c r="J78">
        <f t="shared" si="19"/>
        <v>94</v>
      </c>
      <c r="K78">
        <f t="shared" si="20"/>
        <v>52</v>
      </c>
      <c r="M78">
        <f t="shared" si="23"/>
        <v>0</v>
      </c>
      <c r="N78">
        <f t="shared" si="24"/>
        <v>7</v>
      </c>
      <c r="P78">
        <f t="shared" si="25"/>
        <v>4</v>
      </c>
      <c r="Q78">
        <f t="shared" si="26"/>
        <v>3</v>
      </c>
      <c r="R78">
        <f t="shared" si="27"/>
        <v>0</v>
      </c>
      <c r="S78">
        <f t="shared" si="28"/>
        <v>0</v>
      </c>
      <c r="T78">
        <f t="shared" si="29"/>
        <v>0</v>
      </c>
      <c r="V78" t="str">
        <f t="shared" si="21"/>
        <v>4-3-0-0-0</v>
      </c>
      <c r="X78">
        <f t="shared" si="17"/>
        <v>84</v>
      </c>
      <c r="Y78">
        <f t="shared" si="17"/>
        <v>126</v>
      </c>
      <c r="Z78">
        <f t="shared" si="17"/>
        <v>1</v>
      </c>
      <c r="AA78">
        <f t="shared" si="17"/>
        <v>1</v>
      </c>
      <c r="AB78">
        <f t="shared" si="17"/>
        <v>1</v>
      </c>
      <c r="AC78" s="4">
        <f t="shared" si="30"/>
        <v>10584</v>
      </c>
    </row>
    <row r="79" spans="1:29" x14ac:dyDescent="0.25">
      <c r="A79">
        <v>0</v>
      </c>
      <c r="B79">
        <v>4</v>
      </c>
      <c r="C79">
        <v>0</v>
      </c>
      <c r="D79">
        <v>0</v>
      </c>
      <c r="E79">
        <v>0</v>
      </c>
      <c r="F79">
        <v>3</v>
      </c>
      <c r="H79" t="str">
        <f t="shared" si="18"/>
        <v>4-0-0-0-3</v>
      </c>
      <c r="I79">
        <f t="shared" si="22"/>
        <v>0</v>
      </c>
      <c r="J79">
        <f t="shared" si="19"/>
        <v>174</v>
      </c>
      <c r="K79">
        <f t="shared" si="20"/>
        <v>133</v>
      </c>
      <c r="M79">
        <f t="shared" si="23"/>
        <v>3</v>
      </c>
      <c r="N79">
        <f t="shared" si="24"/>
        <v>4</v>
      </c>
      <c r="P79">
        <f t="shared" si="25"/>
        <v>4</v>
      </c>
      <c r="Q79">
        <f t="shared" si="26"/>
        <v>3</v>
      </c>
      <c r="R79">
        <f t="shared" si="27"/>
        <v>0</v>
      </c>
      <c r="S79">
        <f t="shared" si="28"/>
        <v>0</v>
      </c>
      <c r="T79">
        <f t="shared" si="29"/>
        <v>0</v>
      </c>
      <c r="V79" t="str">
        <f t="shared" si="21"/>
        <v>4-3-0-0-0</v>
      </c>
      <c r="X79">
        <f t="shared" si="17"/>
        <v>126</v>
      </c>
      <c r="Y79">
        <f t="shared" si="17"/>
        <v>1</v>
      </c>
      <c r="Z79">
        <f t="shared" si="17"/>
        <v>1</v>
      </c>
      <c r="AA79">
        <f t="shared" si="17"/>
        <v>1</v>
      </c>
      <c r="AB79">
        <f t="shared" si="17"/>
        <v>84</v>
      </c>
      <c r="AC79" s="4">
        <f t="shared" si="30"/>
        <v>10584</v>
      </c>
    </row>
    <row r="80" spans="1:29" x14ac:dyDescent="0.25">
      <c r="A80">
        <v>0</v>
      </c>
      <c r="B80">
        <v>4</v>
      </c>
      <c r="C80">
        <v>0</v>
      </c>
      <c r="D80">
        <v>0</v>
      </c>
      <c r="E80">
        <v>3</v>
      </c>
      <c r="F80">
        <v>0</v>
      </c>
      <c r="H80" t="str">
        <f t="shared" si="18"/>
        <v>4-0-0-3-0</v>
      </c>
      <c r="I80">
        <f t="shared" si="22"/>
        <v>0</v>
      </c>
      <c r="J80">
        <f t="shared" si="19"/>
        <v>144</v>
      </c>
      <c r="K80">
        <f t="shared" si="20"/>
        <v>103</v>
      </c>
      <c r="M80">
        <f t="shared" si="23"/>
        <v>3</v>
      </c>
      <c r="N80">
        <f t="shared" si="24"/>
        <v>4</v>
      </c>
      <c r="P80">
        <f t="shared" si="25"/>
        <v>4</v>
      </c>
      <c r="Q80">
        <f t="shared" si="26"/>
        <v>3</v>
      </c>
      <c r="R80">
        <f t="shared" si="27"/>
        <v>0</v>
      </c>
      <c r="S80">
        <f t="shared" si="28"/>
        <v>0</v>
      </c>
      <c r="T80">
        <f t="shared" si="29"/>
        <v>0</v>
      </c>
      <c r="V80" t="str">
        <f t="shared" si="21"/>
        <v>4-3-0-0-0</v>
      </c>
      <c r="X80">
        <f t="shared" si="17"/>
        <v>126</v>
      </c>
      <c r="Y80">
        <f t="shared" si="17"/>
        <v>1</v>
      </c>
      <c r="Z80">
        <f t="shared" si="17"/>
        <v>1</v>
      </c>
      <c r="AA80">
        <f t="shared" si="17"/>
        <v>84</v>
      </c>
      <c r="AB80">
        <f t="shared" si="17"/>
        <v>1</v>
      </c>
      <c r="AC80" s="4">
        <f t="shared" si="30"/>
        <v>10584</v>
      </c>
    </row>
    <row r="81" spans="1:29" x14ac:dyDescent="0.25">
      <c r="A81">
        <v>0</v>
      </c>
      <c r="B81">
        <v>4</v>
      </c>
      <c r="C81">
        <v>0</v>
      </c>
      <c r="D81">
        <v>3</v>
      </c>
      <c r="E81">
        <v>0</v>
      </c>
      <c r="F81">
        <v>0</v>
      </c>
      <c r="H81" t="str">
        <f t="shared" si="18"/>
        <v>4-0-3-0-0</v>
      </c>
      <c r="I81">
        <f t="shared" si="22"/>
        <v>0</v>
      </c>
      <c r="J81">
        <f t="shared" si="19"/>
        <v>114</v>
      </c>
      <c r="K81">
        <f t="shared" si="20"/>
        <v>73</v>
      </c>
      <c r="M81">
        <f t="shared" si="23"/>
        <v>3</v>
      </c>
      <c r="N81">
        <f t="shared" si="24"/>
        <v>7</v>
      </c>
      <c r="P81">
        <f t="shared" si="25"/>
        <v>4</v>
      </c>
      <c r="Q81">
        <f t="shared" si="26"/>
        <v>3</v>
      </c>
      <c r="R81">
        <f t="shared" si="27"/>
        <v>0</v>
      </c>
      <c r="S81">
        <f t="shared" si="28"/>
        <v>0</v>
      </c>
      <c r="T81">
        <f t="shared" si="29"/>
        <v>0</v>
      </c>
      <c r="V81" t="str">
        <f t="shared" si="21"/>
        <v>4-3-0-0-0</v>
      </c>
      <c r="X81">
        <f t="shared" si="17"/>
        <v>126</v>
      </c>
      <c r="Y81">
        <f t="shared" si="17"/>
        <v>1</v>
      </c>
      <c r="Z81">
        <f t="shared" si="17"/>
        <v>84</v>
      </c>
      <c r="AA81">
        <f t="shared" si="17"/>
        <v>1</v>
      </c>
      <c r="AB81">
        <f t="shared" si="17"/>
        <v>1</v>
      </c>
      <c r="AC81" s="4">
        <f t="shared" si="30"/>
        <v>10584</v>
      </c>
    </row>
    <row r="82" spans="1:29" x14ac:dyDescent="0.25">
      <c r="A82">
        <v>0</v>
      </c>
      <c r="B82">
        <v>4</v>
      </c>
      <c r="C82">
        <v>3</v>
      </c>
      <c r="D82">
        <v>0</v>
      </c>
      <c r="E82">
        <v>0</v>
      </c>
      <c r="F82">
        <v>0</v>
      </c>
      <c r="H82" t="str">
        <f t="shared" si="18"/>
        <v>4-3-0-0-0</v>
      </c>
      <c r="I82">
        <f t="shared" si="22"/>
        <v>0</v>
      </c>
      <c r="J82">
        <f t="shared" si="19"/>
        <v>84</v>
      </c>
      <c r="K82">
        <f t="shared" si="20"/>
        <v>43</v>
      </c>
      <c r="M82">
        <f t="shared" si="23"/>
        <v>0</v>
      </c>
      <c r="N82">
        <f t="shared" si="24"/>
        <v>7</v>
      </c>
      <c r="P82">
        <f t="shared" si="25"/>
        <v>4</v>
      </c>
      <c r="Q82">
        <f t="shared" si="26"/>
        <v>3</v>
      </c>
      <c r="R82">
        <f t="shared" si="27"/>
        <v>0</v>
      </c>
      <c r="S82">
        <f t="shared" si="28"/>
        <v>0</v>
      </c>
      <c r="T82">
        <f t="shared" si="29"/>
        <v>0</v>
      </c>
      <c r="V82" t="str">
        <f t="shared" si="21"/>
        <v>4-3-0-0-0</v>
      </c>
      <c r="X82">
        <f t="shared" si="17"/>
        <v>126</v>
      </c>
      <c r="Y82">
        <f t="shared" si="17"/>
        <v>84</v>
      </c>
      <c r="Z82">
        <f t="shared" si="17"/>
        <v>1</v>
      </c>
      <c r="AA82">
        <f t="shared" si="17"/>
        <v>1</v>
      </c>
      <c r="AB82">
        <f t="shared" si="17"/>
        <v>1</v>
      </c>
      <c r="AC82" s="4">
        <f t="shared" si="30"/>
        <v>10584</v>
      </c>
    </row>
    <row r="83" spans="1:29" x14ac:dyDescent="0.25">
      <c r="A83">
        <v>0</v>
      </c>
      <c r="B83">
        <v>0</v>
      </c>
      <c r="C83">
        <v>0</v>
      </c>
      <c r="D83">
        <v>0</v>
      </c>
      <c r="E83">
        <v>2</v>
      </c>
      <c r="F83">
        <v>5</v>
      </c>
      <c r="H83" t="str">
        <f t="shared" si="18"/>
        <v>0-0-0-2-5</v>
      </c>
      <c r="I83">
        <f t="shared" si="22"/>
        <v>0</v>
      </c>
      <c r="J83">
        <f t="shared" si="19"/>
        <v>312</v>
      </c>
      <c r="K83">
        <f t="shared" si="20"/>
        <v>271</v>
      </c>
      <c r="M83">
        <f t="shared" si="23"/>
        <v>7</v>
      </c>
      <c r="N83">
        <f t="shared" si="24"/>
        <v>0</v>
      </c>
      <c r="P83">
        <f t="shared" si="25"/>
        <v>5</v>
      </c>
      <c r="Q83">
        <f t="shared" si="26"/>
        <v>2</v>
      </c>
      <c r="R83">
        <f t="shared" si="27"/>
        <v>0</v>
      </c>
      <c r="S83">
        <f t="shared" si="28"/>
        <v>0</v>
      </c>
      <c r="T83">
        <f t="shared" si="29"/>
        <v>0</v>
      </c>
      <c r="V83" t="str">
        <f t="shared" si="21"/>
        <v>5-2-0-0-0</v>
      </c>
      <c r="X83">
        <f t="shared" si="17"/>
        <v>1</v>
      </c>
      <c r="Y83">
        <f t="shared" si="17"/>
        <v>1</v>
      </c>
      <c r="Z83">
        <f t="shared" si="17"/>
        <v>1</v>
      </c>
      <c r="AA83">
        <f t="shared" si="17"/>
        <v>36</v>
      </c>
      <c r="AB83">
        <f t="shared" si="17"/>
        <v>126</v>
      </c>
      <c r="AC83" s="4">
        <f t="shared" si="30"/>
        <v>4536</v>
      </c>
    </row>
    <row r="84" spans="1:29" x14ac:dyDescent="0.25">
      <c r="A84">
        <v>0</v>
      </c>
      <c r="B84">
        <v>0</v>
      </c>
      <c r="C84">
        <v>0</v>
      </c>
      <c r="D84">
        <v>0</v>
      </c>
      <c r="E84">
        <v>5</v>
      </c>
      <c r="F84">
        <v>2</v>
      </c>
      <c r="H84" t="str">
        <f t="shared" si="18"/>
        <v>0-0-0-5-2</v>
      </c>
      <c r="I84">
        <f t="shared" si="22"/>
        <v>0</v>
      </c>
      <c r="J84">
        <f t="shared" si="19"/>
        <v>282</v>
      </c>
      <c r="K84">
        <f t="shared" si="20"/>
        <v>241</v>
      </c>
      <c r="M84">
        <f t="shared" si="23"/>
        <v>7</v>
      </c>
      <c r="N84">
        <f t="shared" si="24"/>
        <v>0</v>
      </c>
      <c r="P84">
        <f t="shared" si="25"/>
        <v>5</v>
      </c>
      <c r="Q84">
        <f t="shared" si="26"/>
        <v>2</v>
      </c>
      <c r="R84">
        <f t="shared" si="27"/>
        <v>0</v>
      </c>
      <c r="S84">
        <f t="shared" si="28"/>
        <v>0</v>
      </c>
      <c r="T84">
        <f t="shared" si="29"/>
        <v>0</v>
      </c>
      <c r="V84" t="str">
        <f t="shared" si="21"/>
        <v>5-2-0-0-0</v>
      </c>
      <c r="X84">
        <f t="shared" si="17"/>
        <v>1</v>
      </c>
      <c r="Y84">
        <f t="shared" si="17"/>
        <v>1</v>
      </c>
      <c r="Z84">
        <f t="shared" si="17"/>
        <v>1</v>
      </c>
      <c r="AA84">
        <f t="shared" si="17"/>
        <v>126</v>
      </c>
      <c r="AB84">
        <f t="shared" si="17"/>
        <v>36</v>
      </c>
      <c r="AC84" s="4">
        <f t="shared" si="30"/>
        <v>4536</v>
      </c>
    </row>
    <row r="85" spans="1:29" x14ac:dyDescent="0.25">
      <c r="A85">
        <v>0</v>
      </c>
      <c r="B85">
        <v>0</v>
      </c>
      <c r="C85">
        <v>0</v>
      </c>
      <c r="D85">
        <v>2</v>
      </c>
      <c r="E85">
        <v>0</v>
      </c>
      <c r="F85">
        <v>5</v>
      </c>
      <c r="H85" t="str">
        <f t="shared" si="18"/>
        <v>0-0-2-0-5</v>
      </c>
      <c r="I85">
        <f t="shared" si="22"/>
        <v>0</v>
      </c>
      <c r="J85">
        <f t="shared" si="19"/>
        <v>292</v>
      </c>
      <c r="K85">
        <f t="shared" si="20"/>
        <v>251</v>
      </c>
      <c r="M85">
        <f t="shared" si="23"/>
        <v>7</v>
      </c>
      <c r="N85">
        <f t="shared" si="24"/>
        <v>2</v>
      </c>
      <c r="P85">
        <f t="shared" si="25"/>
        <v>5</v>
      </c>
      <c r="Q85">
        <f t="shared" si="26"/>
        <v>2</v>
      </c>
      <c r="R85">
        <f t="shared" si="27"/>
        <v>0</v>
      </c>
      <c r="S85">
        <f t="shared" si="28"/>
        <v>0</v>
      </c>
      <c r="T85">
        <f t="shared" si="29"/>
        <v>0</v>
      </c>
      <c r="V85" t="str">
        <f t="shared" si="21"/>
        <v>5-2-0-0-0</v>
      </c>
      <c r="X85">
        <f t="shared" si="17"/>
        <v>1</v>
      </c>
      <c r="Y85">
        <f t="shared" si="17"/>
        <v>1</v>
      </c>
      <c r="Z85">
        <f t="shared" si="17"/>
        <v>36</v>
      </c>
      <c r="AA85">
        <f t="shared" si="17"/>
        <v>1</v>
      </c>
      <c r="AB85">
        <f t="shared" si="17"/>
        <v>126</v>
      </c>
      <c r="AC85" s="4">
        <f t="shared" si="30"/>
        <v>4536</v>
      </c>
    </row>
    <row r="86" spans="1:29" x14ac:dyDescent="0.25">
      <c r="A86">
        <v>0</v>
      </c>
      <c r="B86">
        <v>0</v>
      </c>
      <c r="C86">
        <v>0</v>
      </c>
      <c r="D86">
        <v>2</v>
      </c>
      <c r="E86">
        <v>5</v>
      </c>
      <c r="F86">
        <v>0</v>
      </c>
      <c r="H86" t="str">
        <f t="shared" si="18"/>
        <v>0-0-2-5-0</v>
      </c>
      <c r="I86">
        <f t="shared" si="22"/>
        <v>0</v>
      </c>
      <c r="J86">
        <f t="shared" si="19"/>
        <v>242</v>
      </c>
      <c r="K86">
        <f t="shared" si="20"/>
        <v>201</v>
      </c>
      <c r="M86">
        <f t="shared" si="23"/>
        <v>7</v>
      </c>
      <c r="N86">
        <f t="shared" si="24"/>
        <v>2</v>
      </c>
      <c r="P86">
        <f t="shared" si="25"/>
        <v>5</v>
      </c>
      <c r="Q86">
        <f t="shared" si="26"/>
        <v>2</v>
      </c>
      <c r="R86">
        <f t="shared" si="27"/>
        <v>0</v>
      </c>
      <c r="S86">
        <f t="shared" si="28"/>
        <v>0</v>
      </c>
      <c r="T86">
        <f t="shared" si="29"/>
        <v>0</v>
      </c>
      <c r="V86" t="str">
        <f t="shared" si="21"/>
        <v>5-2-0-0-0</v>
      </c>
      <c r="X86">
        <f t="shared" si="17"/>
        <v>1</v>
      </c>
      <c r="Y86">
        <f t="shared" si="17"/>
        <v>1</v>
      </c>
      <c r="Z86">
        <f t="shared" si="17"/>
        <v>36</v>
      </c>
      <c r="AA86">
        <f t="shared" si="17"/>
        <v>126</v>
      </c>
      <c r="AB86">
        <f t="shared" si="17"/>
        <v>1</v>
      </c>
      <c r="AC86" s="4">
        <f t="shared" si="30"/>
        <v>4536</v>
      </c>
    </row>
    <row r="87" spans="1:29" x14ac:dyDescent="0.25">
      <c r="A87">
        <v>0</v>
      </c>
      <c r="B87">
        <v>0</v>
      </c>
      <c r="C87">
        <v>0</v>
      </c>
      <c r="D87">
        <v>5</v>
      </c>
      <c r="E87">
        <v>0</v>
      </c>
      <c r="F87">
        <v>2</v>
      </c>
      <c r="H87" t="str">
        <f t="shared" si="18"/>
        <v>0-0-5-0-2</v>
      </c>
      <c r="I87">
        <f t="shared" si="22"/>
        <v>0</v>
      </c>
      <c r="J87">
        <f t="shared" si="19"/>
        <v>232</v>
      </c>
      <c r="K87">
        <f t="shared" si="20"/>
        <v>191</v>
      </c>
      <c r="M87">
        <f t="shared" si="23"/>
        <v>7</v>
      </c>
      <c r="N87">
        <f t="shared" si="24"/>
        <v>5</v>
      </c>
      <c r="P87">
        <f t="shared" si="25"/>
        <v>5</v>
      </c>
      <c r="Q87">
        <f t="shared" si="26"/>
        <v>2</v>
      </c>
      <c r="R87">
        <f t="shared" si="27"/>
        <v>0</v>
      </c>
      <c r="S87">
        <f t="shared" si="28"/>
        <v>0</v>
      </c>
      <c r="T87">
        <f t="shared" si="29"/>
        <v>0</v>
      </c>
      <c r="V87" t="str">
        <f t="shared" si="21"/>
        <v>5-2-0-0-0</v>
      </c>
      <c r="X87">
        <f t="shared" si="17"/>
        <v>1</v>
      </c>
      <c r="Y87">
        <f t="shared" si="17"/>
        <v>1</v>
      </c>
      <c r="Z87">
        <f t="shared" si="17"/>
        <v>126</v>
      </c>
      <c r="AA87">
        <f t="shared" si="17"/>
        <v>1</v>
      </c>
      <c r="AB87">
        <f t="shared" si="17"/>
        <v>36</v>
      </c>
      <c r="AC87" s="4">
        <f t="shared" si="30"/>
        <v>4536</v>
      </c>
    </row>
    <row r="88" spans="1:29" x14ac:dyDescent="0.25">
      <c r="A88">
        <v>0</v>
      </c>
      <c r="B88">
        <v>0</v>
      </c>
      <c r="C88">
        <v>0</v>
      </c>
      <c r="D88">
        <v>5</v>
      </c>
      <c r="E88">
        <v>2</v>
      </c>
      <c r="F88">
        <v>0</v>
      </c>
      <c r="H88" t="str">
        <f t="shared" si="18"/>
        <v>0-0-5-2-0</v>
      </c>
      <c r="I88">
        <f t="shared" si="22"/>
        <v>0</v>
      </c>
      <c r="J88">
        <f t="shared" si="19"/>
        <v>212</v>
      </c>
      <c r="K88">
        <f t="shared" si="20"/>
        <v>171</v>
      </c>
      <c r="M88">
        <f t="shared" si="23"/>
        <v>7</v>
      </c>
      <c r="N88">
        <f t="shared" si="24"/>
        <v>5</v>
      </c>
      <c r="P88">
        <f t="shared" si="25"/>
        <v>5</v>
      </c>
      <c r="Q88">
        <f t="shared" si="26"/>
        <v>2</v>
      </c>
      <c r="R88">
        <f t="shared" si="27"/>
        <v>0</v>
      </c>
      <c r="S88">
        <f t="shared" si="28"/>
        <v>0</v>
      </c>
      <c r="T88">
        <f t="shared" si="29"/>
        <v>0</v>
      </c>
      <c r="V88" t="str">
        <f t="shared" si="21"/>
        <v>5-2-0-0-0</v>
      </c>
      <c r="X88">
        <f t="shared" si="17"/>
        <v>1</v>
      </c>
      <c r="Y88">
        <f t="shared" si="17"/>
        <v>1</v>
      </c>
      <c r="Z88">
        <f t="shared" si="17"/>
        <v>126</v>
      </c>
      <c r="AA88">
        <f t="shared" si="17"/>
        <v>36</v>
      </c>
      <c r="AB88">
        <f t="shared" si="17"/>
        <v>1</v>
      </c>
      <c r="AC88" s="4">
        <f t="shared" si="30"/>
        <v>4536</v>
      </c>
    </row>
    <row r="89" spans="1:29" x14ac:dyDescent="0.25">
      <c r="A89">
        <v>0</v>
      </c>
      <c r="B89">
        <v>0</v>
      </c>
      <c r="C89">
        <v>2</v>
      </c>
      <c r="D89">
        <v>0</v>
      </c>
      <c r="E89">
        <v>0</v>
      </c>
      <c r="F89">
        <v>5</v>
      </c>
      <c r="H89" t="str">
        <f t="shared" si="18"/>
        <v>0-2-0-0-5</v>
      </c>
      <c r="I89">
        <f t="shared" si="22"/>
        <v>0</v>
      </c>
      <c r="J89">
        <f t="shared" si="19"/>
        <v>272</v>
      </c>
      <c r="K89">
        <f t="shared" si="20"/>
        <v>231</v>
      </c>
      <c r="M89">
        <f t="shared" si="23"/>
        <v>5</v>
      </c>
      <c r="N89">
        <f t="shared" si="24"/>
        <v>2</v>
      </c>
      <c r="P89">
        <f t="shared" si="25"/>
        <v>5</v>
      </c>
      <c r="Q89">
        <f t="shared" si="26"/>
        <v>2</v>
      </c>
      <c r="R89">
        <f t="shared" si="27"/>
        <v>0</v>
      </c>
      <c r="S89">
        <f t="shared" si="28"/>
        <v>0</v>
      </c>
      <c r="T89">
        <f t="shared" si="29"/>
        <v>0</v>
      </c>
      <c r="V89" t="str">
        <f t="shared" si="21"/>
        <v>5-2-0-0-0</v>
      </c>
      <c r="X89">
        <f t="shared" si="17"/>
        <v>1</v>
      </c>
      <c r="Y89">
        <f t="shared" si="17"/>
        <v>36</v>
      </c>
      <c r="Z89">
        <f t="shared" si="17"/>
        <v>1</v>
      </c>
      <c r="AA89">
        <f t="shared" si="17"/>
        <v>1</v>
      </c>
      <c r="AB89">
        <f t="shared" si="17"/>
        <v>126</v>
      </c>
      <c r="AC89" s="4">
        <f t="shared" si="30"/>
        <v>4536</v>
      </c>
    </row>
    <row r="90" spans="1:29" x14ac:dyDescent="0.25">
      <c r="A90">
        <v>0</v>
      </c>
      <c r="B90">
        <v>0</v>
      </c>
      <c r="C90">
        <v>2</v>
      </c>
      <c r="D90">
        <v>0</v>
      </c>
      <c r="E90">
        <v>5</v>
      </c>
      <c r="F90">
        <v>0</v>
      </c>
      <c r="H90" t="str">
        <f t="shared" si="18"/>
        <v>0-2-0-5-0</v>
      </c>
      <c r="I90">
        <f t="shared" si="22"/>
        <v>0</v>
      </c>
      <c r="J90">
        <f t="shared" si="19"/>
        <v>222</v>
      </c>
      <c r="K90">
        <f t="shared" si="20"/>
        <v>181</v>
      </c>
      <c r="M90">
        <f t="shared" si="23"/>
        <v>5</v>
      </c>
      <c r="N90">
        <f t="shared" si="24"/>
        <v>2</v>
      </c>
      <c r="P90">
        <f t="shared" si="25"/>
        <v>5</v>
      </c>
      <c r="Q90">
        <f t="shared" si="26"/>
        <v>2</v>
      </c>
      <c r="R90">
        <f t="shared" si="27"/>
        <v>0</v>
      </c>
      <c r="S90">
        <f t="shared" si="28"/>
        <v>0</v>
      </c>
      <c r="T90">
        <f t="shared" si="29"/>
        <v>0</v>
      </c>
      <c r="V90" t="str">
        <f t="shared" si="21"/>
        <v>5-2-0-0-0</v>
      </c>
      <c r="X90">
        <f t="shared" si="17"/>
        <v>1</v>
      </c>
      <c r="Y90">
        <f t="shared" si="17"/>
        <v>36</v>
      </c>
      <c r="Z90">
        <f t="shared" si="17"/>
        <v>1</v>
      </c>
      <c r="AA90">
        <f t="shared" si="17"/>
        <v>126</v>
      </c>
      <c r="AB90">
        <f t="shared" si="17"/>
        <v>1</v>
      </c>
      <c r="AC90" s="4">
        <f t="shared" si="30"/>
        <v>4536</v>
      </c>
    </row>
    <row r="91" spans="1:29" x14ac:dyDescent="0.25">
      <c r="A91">
        <v>0</v>
      </c>
      <c r="B91">
        <v>0</v>
      </c>
      <c r="C91">
        <v>2</v>
      </c>
      <c r="D91">
        <v>5</v>
      </c>
      <c r="E91">
        <v>0</v>
      </c>
      <c r="F91">
        <v>0</v>
      </c>
      <c r="H91" t="str">
        <f t="shared" si="18"/>
        <v>0-2-5-0-0</v>
      </c>
      <c r="I91">
        <f t="shared" si="22"/>
        <v>0</v>
      </c>
      <c r="J91">
        <f t="shared" si="19"/>
        <v>172</v>
      </c>
      <c r="K91">
        <f t="shared" si="20"/>
        <v>131</v>
      </c>
      <c r="M91">
        <f t="shared" si="23"/>
        <v>5</v>
      </c>
      <c r="N91">
        <f t="shared" si="24"/>
        <v>7</v>
      </c>
      <c r="P91">
        <f t="shared" si="25"/>
        <v>5</v>
      </c>
      <c r="Q91">
        <f t="shared" si="26"/>
        <v>2</v>
      </c>
      <c r="R91">
        <f t="shared" si="27"/>
        <v>0</v>
      </c>
      <c r="S91">
        <f t="shared" si="28"/>
        <v>0</v>
      </c>
      <c r="T91">
        <f t="shared" si="29"/>
        <v>0</v>
      </c>
      <c r="V91" t="str">
        <f t="shared" si="21"/>
        <v>5-2-0-0-0</v>
      </c>
      <c r="X91">
        <f t="shared" si="17"/>
        <v>1</v>
      </c>
      <c r="Y91">
        <f t="shared" si="17"/>
        <v>36</v>
      </c>
      <c r="Z91">
        <f t="shared" si="17"/>
        <v>126</v>
      </c>
      <c r="AA91">
        <f t="shared" si="17"/>
        <v>1</v>
      </c>
      <c r="AB91">
        <f t="shared" si="17"/>
        <v>1</v>
      </c>
      <c r="AC91" s="4">
        <f t="shared" si="30"/>
        <v>4536</v>
      </c>
    </row>
    <row r="92" spans="1:29" x14ac:dyDescent="0.25">
      <c r="A92">
        <v>0</v>
      </c>
      <c r="B92">
        <v>0</v>
      </c>
      <c r="C92">
        <v>5</v>
      </c>
      <c r="D92">
        <v>0</v>
      </c>
      <c r="E92">
        <v>0</v>
      </c>
      <c r="F92">
        <v>2</v>
      </c>
      <c r="H92" t="str">
        <f t="shared" si="18"/>
        <v>0-5-0-0-2</v>
      </c>
      <c r="I92">
        <f t="shared" si="22"/>
        <v>0</v>
      </c>
      <c r="J92">
        <f t="shared" si="19"/>
        <v>182</v>
      </c>
      <c r="K92">
        <f t="shared" si="20"/>
        <v>141</v>
      </c>
      <c r="M92">
        <f t="shared" si="23"/>
        <v>2</v>
      </c>
      <c r="N92">
        <f t="shared" si="24"/>
        <v>5</v>
      </c>
      <c r="P92">
        <f t="shared" si="25"/>
        <v>5</v>
      </c>
      <c r="Q92">
        <f t="shared" si="26"/>
        <v>2</v>
      </c>
      <c r="R92">
        <f t="shared" si="27"/>
        <v>0</v>
      </c>
      <c r="S92">
        <f t="shared" si="28"/>
        <v>0</v>
      </c>
      <c r="T92">
        <f t="shared" si="29"/>
        <v>0</v>
      </c>
      <c r="V92" t="str">
        <f t="shared" si="21"/>
        <v>5-2-0-0-0</v>
      </c>
      <c r="X92">
        <f t="shared" si="17"/>
        <v>1</v>
      </c>
      <c r="Y92">
        <f t="shared" si="17"/>
        <v>126</v>
      </c>
      <c r="Z92">
        <f t="shared" si="17"/>
        <v>1</v>
      </c>
      <c r="AA92">
        <f t="shared" si="17"/>
        <v>1</v>
      </c>
      <c r="AB92">
        <f t="shared" si="17"/>
        <v>36</v>
      </c>
      <c r="AC92" s="4">
        <f t="shared" si="30"/>
        <v>4536</v>
      </c>
    </row>
    <row r="93" spans="1:29" x14ac:dyDescent="0.25">
      <c r="A93">
        <v>0</v>
      </c>
      <c r="B93">
        <v>0</v>
      </c>
      <c r="C93">
        <v>5</v>
      </c>
      <c r="D93">
        <v>0</v>
      </c>
      <c r="E93">
        <v>2</v>
      </c>
      <c r="F93">
        <v>0</v>
      </c>
      <c r="H93" t="str">
        <f t="shared" si="18"/>
        <v>0-5-0-2-0</v>
      </c>
      <c r="I93">
        <f t="shared" si="22"/>
        <v>0</v>
      </c>
      <c r="J93">
        <f t="shared" si="19"/>
        <v>162</v>
      </c>
      <c r="K93">
        <f t="shared" si="20"/>
        <v>121</v>
      </c>
      <c r="M93">
        <f t="shared" si="23"/>
        <v>2</v>
      </c>
      <c r="N93">
        <f t="shared" si="24"/>
        <v>5</v>
      </c>
      <c r="P93">
        <f t="shared" si="25"/>
        <v>5</v>
      </c>
      <c r="Q93">
        <f t="shared" si="26"/>
        <v>2</v>
      </c>
      <c r="R93">
        <f t="shared" si="27"/>
        <v>0</v>
      </c>
      <c r="S93">
        <f t="shared" si="28"/>
        <v>0</v>
      </c>
      <c r="T93">
        <f t="shared" si="29"/>
        <v>0</v>
      </c>
      <c r="V93" t="str">
        <f t="shared" si="21"/>
        <v>5-2-0-0-0</v>
      </c>
      <c r="X93">
        <f t="shared" si="17"/>
        <v>1</v>
      </c>
      <c r="Y93">
        <f t="shared" si="17"/>
        <v>126</v>
      </c>
      <c r="Z93">
        <f t="shared" si="17"/>
        <v>1</v>
      </c>
      <c r="AA93">
        <f t="shared" si="17"/>
        <v>36</v>
      </c>
      <c r="AB93">
        <f t="shared" si="17"/>
        <v>1</v>
      </c>
      <c r="AC93" s="4">
        <f t="shared" si="30"/>
        <v>4536</v>
      </c>
    </row>
    <row r="94" spans="1:29" x14ac:dyDescent="0.25">
      <c r="A94">
        <v>0</v>
      </c>
      <c r="B94">
        <v>0</v>
      </c>
      <c r="C94">
        <v>5</v>
      </c>
      <c r="D94">
        <v>2</v>
      </c>
      <c r="E94">
        <v>0</v>
      </c>
      <c r="F94">
        <v>0</v>
      </c>
      <c r="H94" t="str">
        <f t="shared" si="18"/>
        <v>0-5-2-0-0</v>
      </c>
      <c r="I94">
        <f t="shared" si="22"/>
        <v>0</v>
      </c>
      <c r="J94">
        <f t="shared" si="19"/>
        <v>142</v>
      </c>
      <c r="K94">
        <f t="shared" si="20"/>
        <v>101</v>
      </c>
      <c r="M94">
        <f t="shared" si="23"/>
        <v>2</v>
      </c>
      <c r="N94">
        <f t="shared" si="24"/>
        <v>7</v>
      </c>
      <c r="P94">
        <f t="shared" si="25"/>
        <v>5</v>
      </c>
      <c r="Q94">
        <f t="shared" si="26"/>
        <v>2</v>
      </c>
      <c r="R94">
        <f t="shared" si="27"/>
        <v>0</v>
      </c>
      <c r="S94">
        <f t="shared" si="28"/>
        <v>0</v>
      </c>
      <c r="T94">
        <f t="shared" si="29"/>
        <v>0</v>
      </c>
      <c r="V94" t="str">
        <f t="shared" si="21"/>
        <v>5-2-0-0-0</v>
      </c>
      <c r="X94">
        <f t="shared" si="17"/>
        <v>1</v>
      </c>
      <c r="Y94">
        <f t="shared" si="17"/>
        <v>126</v>
      </c>
      <c r="Z94">
        <f t="shared" si="17"/>
        <v>36</v>
      </c>
      <c r="AA94">
        <f t="shared" si="17"/>
        <v>1</v>
      </c>
      <c r="AB94">
        <f t="shared" si="17"/>
        <v>1</v>
      </c>
      <c r="AC94" s="4">
        <f t="shared" si="30"/>
        <v>4536</v>
      </c>
    </row>
    <row r="95" spans="1:29" x14ac:dyDescent="0.25">
      <c r="A95">
        <v>0</v>
      </c>
      <c r="B95">
        <v>2</v>
      </c>
      <c r="C95">
        <v>0</v>
      </c>
      <c r="D95">
        <v>0</v>
      </c>
      <c r="E95">
        <v>0</v>
      </c>
      <c r="F95">
        <v>5</v>
      </c>
      <c r="H95" t="str">
        <f t="shared" si="18"/>
        <v>2-0-0-0-5</v>
      </c>
      <c r="I95">
        <f t="shared" si="22"/>
        <v>0</v>
      </c>
      <c r="J95">
        <f t="shared" si="19"/>
        <v>252</v>
      </c>
      <c r="K95">
        <f t="shared" si="20"/>
        <v>213</v>
      </c>
      <c r="M95">
        <f t="shared" si="23"/>
        <v>5</v>
      </c>
      <c r="N95">
        <f t="shared" si="24"/>
        <v>2</v>
      </c>
      <c r="P95">
        <f t="shared" si="25"/>
        <v>5</v>
      </c>
      <c r="Q95">
        <f t="shared" si="26"/>
        <v>2</v>
      </c>
      <c r="R95">
        <f t="shared" si="27"/>
        <v>0</v>
      </c>
      <c r="S95">
        <f t="shared" si="28"/>
        <v>0</v>
      </c>
      <c r="T95">
        <f t="shared" si="29"/>
        <v>0</v>
      </c>
      <c r="V95" t="str">
        <f t="shared" si="21"/>
        <v>5-2-0-0-0</v>
      </c>
      <c r="X95">
        <f t="shared" si="17"/>
        <v>36</v>
      </c>
      <c r="Y95">
        <f t="shared" si="17"/>
        <v>1</v>
      </c>
      <c r="Z95">
        <f t="shared" si="17"/>
        <v>1</v>
      </c>
      <c r="AA95">
        <f t="shared" si="17"/>
        <v>1</v>
      </c>
      <c r="AB95">
        <f t="shared" si="17"/>
        <v>126</v>
      </c>
      <c r="AC95" s="4">
        <f t="shared" si="30"/>
        <v>4536</v>
      </c>
    </row>
    <row r="96" spans="1:29" x14ac:dyDescent="0.25">
      <c r="A96">
        <v>0</v>
      </c>
      <c r="B96">
        <v>2</v>
      </c>
      <c r="C96">
        <v>0</v>
      </c>
      <c r="D96">
        <v>0</v>
      </c>
      <c r="E96">
        <v>5</v>
      </c>
      <c r="F96">
        <v>0</v>
      </c>
      <c r="H96" t="str">
        <f t="shared" si="18"/>
        <v>2-0-0-5-0</v>
      </c>
      <c r="I96">
        <f t="shared" si="22"/>
        <v>0</v>
      </c>
      <c r="J96">
        <f t="shared" si="19"/>
        <v>202</v>
      </c>
      <c r="K96">
        <f t="shared" si="20"/>
        <v>163</v>
      </c>
      <c r="M96">
        <f t="shared" si="23"/>
        <v>5</v>
      </c>
      <c r="N96">
        <f t="shared" si="24"/>
        <v>2</v>
      </c>
      <c r="P96">
        <f t="shared" si="25"/>
        <v>5</v>
      </c>
      <c r="Q96">
        <f t="shared" si="26"/>
        <v>2</v>
      </c>
      <c r="R96">
        <f t="shared" si="27"/>
        <v>0</v>
      </c>
      <c r="S96">
        <f t="shared" si="28"/>
        <v>0</v>
      </c>
      <c r="T96">
        <f t="shared" si="29"/>
        <v>0</v>
      </c>
      <c r="V96" t="str">
        <f t="shared" si="21"/>
        <v>5-2-0-0-0</v>
      </c>
      <c r="X96">
        <f t="shared" si="17"/>
        <v>36</v>
      </c>
      <c r="Y96">
        <f t="shared" si="17"/>
        <v>1</v>
      </c>
      <c r="Z96">
        <f t="shared" si="17"/>
        <v>1</v>
      </c>
      <c r="AA96">
        <f t="shared" si="17"/>
        <v>126</v>
      </c>
      <c r="AB96">
        <f t="shared" si="17"/>
        <v>1</v>
      </c>
      <c r="AC96" s="4">
        <f t="shared" si="30"/>
        <v>4536</v>
      </c>
    </row>
    <row r="97" spans="1:29" x14ac:dyDescent="0.25">
      <c r="A97">
        <v>0</v>
      </c>
      <c r="B97">
        <v>2</v>
      </c>
      <c r="C97">
        <v>0</v>
      </c>
      <c r="D97">
        <v>5</v>
      </c>
      <c r="E97">
        <v>0</v>
      </c>
      <c r="F97">
        <v>0</v>
      </c>
      <c r="H97" t="str">
        <f t="shared" si="18"/>
        <v>2-0-5-0-0</v>
      </c>
      <c r="I97">
        <f t="shared" si="22"/>
        <v>0</v>
      </c>
      <c r="J97">
        <f t="shared" si="19"/>
        <v>152</v>
      </c>
      <c r="K97">
        <f t="shared" si="20"/>
        <v>113</v>
      </c>
      <c r="M97">
        <f t="shared" si="23"/>
        <v>5</v>
      </c>
      <c r="N97">
        <f t="shared" si="24"/>
        <v>7</v>
      </c>
      <c r="P97">
        <f t="shared" si="25"/>
        <v>5</v>
      </c>
      <c r="Q97">
        <f t="shared" si="26"/>
        <v>2</v>
      </c>
      <c r="R97">
        <f t="shared" si="27"/>
        <v>0</v>
      </c>
      <c r="S97">
        <f t="shared" si="28"/>
        <v>0</v>
      </c>
      <c r="T97">
        <f t="shared" si="29"/>
        <v>0</v>
      </c>
      <c r="V97" t="str">
        <f t="shared" si="21"/>
        <v>5-2-0-0-0</v>
      </c>
      <c r="X97">
        <f t="shared" si="17"/>
        <v>36</v>
      </c>
      <c r="Y97">
        <f t="shared" si="17"/>
        <v>1</v>
      </c>
      <c r="Z97">
        <f t="shared" si="17"/>
        <v>126</v>
      </c>
      <c r="AA97">
        <f t="shared" si="17"/>
        <v>1</v>
      </c>
      <c r="AB97">
        <f t="shared" si="17"/>
        <v>1</v>
      </c>
      <c r="AC97" s="4">
        <f t="shared" si="30"/>
        <v>4536</v>
      </c>
    </row>
    <row r="98" spans="1:29" x14ac:dyDescent="0.25">
      <c r="A98">
        <v>0</v>
      </c>
      <c r="B98">
        <v>2</v>
      </c>
      <c r="C98">
        <v>5</v>
      </c>
      <c r="D98">
        <v>0</v>
      </c>
      <c r="E98">
        <v>0</v>
      </c>
      <c r="F98">
        <v>0</v>
      </c>
      <c r="H98" t="str">
        <f t="shared" si="18"/>
        <v>2-5-0-0-0</v>
      </c>
      <c r="I98">
        <f t="shared" si="22"/>
        <v>0</v>
      </c>
      <c r="J98">
        <f t="shared" si="19"/>
        <v>102</v>
      </c>
      <c r="K98">
        <f t="shared" si="20"/>
        <v>63</v>
      </c>
      <c r="M98">
        <f t="shared" si="23"/>
        <v>0</v>
      </c>
      <c r="N98">
        <f t="shared" si="24"/>
        <v>7</v>
      </c>
      <c r="P98">
        <f t="shared" si="25"/>
        <v>5</v>
      </c>
      <c r="Q98">
        <f t="shared" si="26"/>
        <v>2</v>
      </c>
      <c r="R98">
        <f t="shared" si="27"/>
        <v>0</v>
      </c>
      <c r="S98">
        <f t="shared" si="28"/>
        <v>0</v>
      </c>
      <c r="T98">
        <f t="shared" si="29"/>
        <v>0</v>
      </c>
      <c r="V98" t="str">
        <f t="shared" si="21"/>
        <v>5-2-0-0-0</v>
      </c>
      <c r="X98">
        <f t="shared" si="17"/>
        <v>36</v>
      </c>
      <c r="Y98">
        <f t="shared" si="17"/>
        <v>126</v>
      </c>
      <c r="Z98">
        <f t="shared" si="17"/>
        <v>1</v>
      </c>
      <c r="AA98">
        <f t="shared" si="17"/>
        <v>1</v>
      </c>
      <c r="AB98">
        <f t="shared" si="17"/>
        <v>1</v>
      </c>
      <c r="AC98" s="4">
        <f t="shared" si="30"/>
        <v>4536</v>
      </c>
    </row>
    <row r="99" spans="1:29" x14ac:dyDescent="0.25">
      <c r="A99">
        <v>0</v>
      </c>
      <c r="B99">
        <v>5</v>
      </c>
      <c r="C99">
        <v>0</v>
      </c>
      <c r="D99">
        <v>0</v>
      </c>
      <c r="E99">
        <v>0</v>
      </c>
      <c r="F99">
        <v>2</v>
      </c>
      <c r="H99" t="str">
        <f t="shared" si="18"/>
        <v>5-0-0-0-2</v>
      </c>
      <c r="I99">
        <f t="shared" si="22"/>
        <v>0</v>
      </c>
      <c r="J99">
        <f t="shared" si="19"/>
        <v>132</v>
      </c>
      <c r="K99">
        <f t="shared" si="20"/>
        <v>96</v>
      </c>
      <c r="M99">
        <f t="shared" si="23"/>
        <v>2</v>
      </c>
      <c r="N99">
        <f t="shared" si="24"/>
        <v>5</v>
      </c>
      <c r="P99">
        <f t="shared" si="25"/>
        <v>5</v>
      </c>
      <c r="Q99">
        <f t="shared" si="26"/>
        <v>2</v>
      </c>
      <c r="R99">
        <f t="shared" si="27"/>
        <v>0</v>
      </c>
      <c r="S99">
        <f t="shared" si="28"/>
        <v>0</v>
      </c>
      <c r="T99">
        <f t="shared" si="29"/>
        <v>0</v>
      </c>
      <c r="V99" t="str">
        <f t="shared" si="21"/>
        <v>5-2-0-0-0</v>
      </c>
      <c r="X99">
        <f t="shared" si="17"/>
        <v>126</v>
      </c>
      <c r="Y99">
        <f t="shared" si="17"/>
        <v>1</v>
      </c>
      <c r="Z99">
        <f t="shared" si="17"/>
        <v>1</v>
      </c>
      <c r="AA99">
        <f t="shared" si="17"/>
        <v>1</v>
      </c>
      <c r="AB99">
        <f t="shared" si="17"/>
        <v>36</v>
      </c>
      <c r="AC99" s="4">
        <f t="shared" si="30"/>
        <v>4536</v>
      </c>
    </row>
    <row r="100" spans="1:29" x14ac:dyDescent="0.25">
      <c r="A100">
        <v>0</v>
      </c>
      <c r="B100">
        <v>5</v>
      </c>
      <c r="C100">
        <v>0</v>
      </c>
      <c r="D100">
        <v>0</v>
      </c>
      <c r="E100">
        <v>2</v>
      </c>
      <c r="F100">
        <v>0</v>
      </c>
      <c r="H100" t="str">
        <f t="shared" si="18"/>
        <v>5-0-0-2-0</v>
      </c>
      <c r="I100">
        <f t="shared" si="22"/>
        <v>0</v>
      </c>
      <c r="J100">
        <f t="shared" si="19"/>
        <v>112</v>
      </c>
      <c r="K100">
        <f t="shared" si="20"/>
        <v>76</v>
      </c>
      <c r="M100">
        <f t="shared" si="23"/>
        <v>2</v>
      </c>
      <c r="N100">
        <f t="shared" si="24"/>
        <v>5</v>
      </c>
      <c r="P100">
        <f t="shared" si="25"/>
        <v>5</v>
      </c>
      <c r="Q100">
        <f t="shared" si="26"/>
        <v>2</v>
      </c>
      <c r="R100">
        <f t="shared" si="27"/>
        <v>0</v>
      </c>
      <c r="S100">
        <f t="shared" si="28"/>
        <v>0</v>
      </c>
      <c r="T100">
        <f t="shared" si="29"/>
        <v>0</v>
      </c>
      <c r="V100" t="str">
        <f t="shared" si="21"/>
        <v>5-2-0-0-0</v>
      </c>
      <c r="X100">
        <f t="shared" si="17"/>
        <v>126</v>
      </c>
      <c r="Y100">
        <f t="shared" si="17"/>
        <v>1</v>
      </c>
      <c r="Z100">
        <f t="shared" si="17"/>
        <v>1</v>
      </c>
      <c r="AA100">
        <f t="shared" si="17"/>
        <v>36</v>
      </c>
      <c r="AB100">
        <f t="shared" si="17"/>
        <v>1</v>
      </c>
      <c r="AC100" s="4">
        <f t="shared" si="30"/>
        <v>4536</v>
      </c>
    </row>
    <row r="101" spans="1:29" x14ac:dyDescent="0.25">
      <c r="A101">
        <v>0</v>
      </c>
      <c r="B101">
        <v>5</v>
      </c>
      <c r="C101">
        <v>0</v>
      </c>
      <c r="D101">
        <v>2</v>
      </c>
      <c r="E101">
        <v>0</v>
      </c>
      <c r="F101">
        <v>0</v>
      </c>
      <c r="H101" t="str">
        <f t="shared" si="18"/>
        <v>5-0-2-0-0</v>
      </c>
      <c r="I101">
        <f t="shared" si="22"/>
        <v>0</v>
      </c>
      <c r="J101">
        <f t="shared" si="19"/>
        <v>92</v>
      </c>
      <c r="K101">
        <f t="shared" si="20"/>
        <v>56</v>
      </c>
      <c r="M101">
        <f t="shared" si="23"/>
        <v>2</v>
      </c>
      <c r="N101">
        <f t="shared" si="24"/>
        <v>7</v>
      </c>
      <c r="P101">
        <f t="shared" si="25"/>
        <v>5</v>
      </c>
      <c r="Q101">
        <f t="shared" si="26"/>
        <v>2</v>
      </c>
      <c r="R101">
        <f t="shared" si="27"/>
        <v>0</v>
      </c>
      <c r="S101">
        <f t="shared" si="28"/>
        <v>0</v>
      </c>
      <c r="T101">
        <f t="shared" si="29"/>
        <v>0</v>
      </c>
      <c r="V101" t="str">
        <f t="shared" si="21"/>
        <v>5-2-0-0-0</v>
      </c>
      <c r="X101">
        <f t="shared" si="17"/>
        <v>126</v>
      </c>
      <c r="Y101">
        <f t="shared" si="17"/>
        <v>1</v>
      </c>
      <c r="Z101">
        <f t="shared" si="17"/>
        <v>36</v>
      </c>
      <c r="AA101">
        <f t="shared" si="17"/>
        <v>1</v>
      </c>
      <c r="AB101">
        <f t="shared" si="17"/>
        <v>1</v>
      </c>
      <c r="AC101" s="4">
        <f t="shared" si="30"/>
        <v>4536</v>
      </c>
    </row>
    <row r="102" spans="1:29" x14ac:dyDescent="0.25">
      <c r="A102">
        <v>0</v>
      </c>
      <c r="B102">
        <v>5</v>
      </c>
      <c r="C102">
        <v>2</v>
      </c>
      <c r="D102">
        <v>0</v>
      </c>
      <c r="E102">
        <v>0</v>
      </c>
      <c r="F102">
        <v>0</v>
      </c>
      <c r="H102" t="str">
        <f t="shared" si="18"/>
        <v>5-2-0-0-0</v>
      </c>
      <c r="I102">
        <f t="shared" si="22"/>
        <v>0</v>
      </c>
      <c r="J102">
        <f t="shared" si="19"/>
        <v>72</v>
      </c>
      <c r="K102">
        <f t="shared" si="20"/>
        <v>36</v>
      </c>
      <c r="M102">
        <f t="shared" si="23"/>
        <v>0</v>
      </c>
      <c r="N102">
        <f t="shared" si="24"/>
        <v>7</v>
      </c>
      <c r="P102">
        <f t="shared" si="25"/>
        <v>5</v>
      </c>
      <c r="Q102">
        <f t="shared" si="26"/>
        <v>2</v>
      </c>
      <c r="R102">
        <f t="shared" si="27"/>
        <v>0</v>
      </c>
      <c r="S102">
        <f t="shared" si="28"/>
        <v>0</v>
      </c>
      <c r="T102">
        <f t="shared" si="29"/>
        <v>0</v>
      </c>
      <c r="V102" t="str">
        <f t="shared" si="21"/>
        <v>5-2-0-0-0</v>
      </c>
      <c r="X102">
        <f t="shared" si="17"/>
        <v>126</v>
      </c>
      <c r="Y102">
        <f t="shared" si="17"/>
        <v>36</v>
      </c>
      <c r="Z102">
        <f t="shared" si="17"/>
        <v>1</v>
      </c>
      <c r="AA102">
        <f t="shared" si="17"/>
        <v>1</v>
      </c>
      <c r="AB102">
        <f t="shared" si="17"/>
        <v>1</v>
      </c>
      <c r="AC102" s="4">
        <f t="shared" si="30"/>
        <v>4536</v>
      </c>
    </row>
    <row r="103" spans="1:29" x14ac:dyDescent="0.25">
      <c r="A103">
        <v>0</v>
      </c>
      <c r="B103">
        <v>0</v>
      </c>
      <c r="C103">
        <v>0</v>
      </c>
      <c r="D103">
        <v>0</v>
      </c>
      <c r="E103">
        <v>1</v>
      </c>
      <c r="F103">
        <v>6</v>
      </c>
      <c r="H103" t="str">
        <f t="shared" si="18"/>
        <v>0-0-0-1-6</v>
      </c>
      <c r="I103">
        <f t="shared" si="22"/>
        <v>0</v>
      </c>
      <c r="J103">
        <f t="shared" si="19"/>
        <v>318</v>
      </c>
      <c r="K103">
        <f t="shared" si="20"/>
        <v>285</v>
      </c>
      <c r="M103">
        <f t="shared" si="23"/>
        <v>7</v>
      </c>
      <c r="N103">
        <f t="shared" si="24"/>
        <v>0</v>
      </c>
      <c r="P103">
        <f t="shared" si="25"/>
        <v>6</v>
      </c>
      <c r="Q103">
        <f t="shared" si="26"/>
        <v>1</v>
      </c>
      <c r="R103">
        <f t="shared" si="27"/>
        <v>0</v>
      </c>
      <c r="S103">
        <f t="shared" si="28"/>
        <v>0</v>
      </c>
      <c r="T103">
        <f t="shared" si="29"/>
        <v>0</v>
      </c>
      <c r="V103" t="str">
        <f t="shared" si="21"/>
        <v>6-1-0-0-0</v>
      </c>
      <c r="X103">
        <f t="shared" si="17"/>
        <v>1</v>
      </c>
      <c r="Y103">
        <f t="shared" si="17"/>
        <v>1</v>
      </c>
      <c r="Z103">
        <f t="shared" si="17"/>
        <v>1</v>
      </c>
      <c r="AA103">
        <f t="shared" si="17"/>
        <v>9</v>
      </c>
      <c r="AB103">
        <f t="shared" si="17"/>
        <v>84</v>
      </c>
      <c r="AC103" s="4">
        <f t="shared" si="30"/>
        <v>756</v>
      </c>
    </row>
    <row r="104" spans="1:29" x14ac:dyDescent="0.25">
      <c r="A104">
        <v>0</v>
      </c>
      <c r="B104">
        <v>0</v>
      </c>
      <c r="C104">
        <v>0</v>
      </c>
      <c r="D104">
        <v>0</v>
      </c>
      <c r="E104">
        <v>6</v>
      </c>
      <c r="F104">
        <v>1</v>
      </c>
      <c r="H104" t="str">
        <f t="shared" si="18"/>
        <v>0-0-0-6-1</v>
      </c>
      <c r="I104">
        <f t="shared" si="22"/>
        <v>0</v>
      </c>
      <c r="J104">
        <f t="shared" si="19"/>
        <v>268</v>
      </c>
      <c r="K104">
        <f t="shared" si="20"/>
        <v>235</v>
      </c>
      <c r="M104">
        <f t="shared" si="23"/>
        <v>7</v>
      </c>
      <c r="N104">
        <f t="shared" si="24"/>
        <v>0</v>
      </c>
      <c r="P104">
        <f t="shared" si="25"/>
        <v>6</v>
      </c>
      <c r="Q104">
        <f t="shared" si="26"/>
        <v>1</v>
      </c>
      <c r="R104">
        <f t="shared" si="27"/>
        <v>0</v>
      </c>
      <c r="S104">
        <f t="shared" si="28"/>
        <v>0</v>
      </c>
      <c r="T104">
        <f t="shared" si="29"/>
        <v>0</v>
      </c>
      <c r="V104" t="str">
        <f t="shared" si="21"/>
        <v>6-1-0-0-0</v>
      </c>
      <c r="X104">
        <f t="shared" si="17"/>
        <v>1</v>
      </c>
      <c r="Y104">
        <f t="shared" si="17"/>
        <v>1</v>
      </c>
      <c r="Z104">
        <f t="shared" si="17"/>
        <v>1</v>
      </c>
      <c r="AA104">
        <f t="shared" si="17"/>
        <v>84</v>
      </c>
      <c r="AB104">
        <f t="shared" si="17"/>
        <v>9</v>
      </c>
      <c r="AC104" s="4">
        <f t="shared" si="30"/>
        <v>756</v>
      </c>
    </row>
    <row r="105" spans="1:29" x14ac:dyDescent="0.25">
      <c r="A105">
        <v>0</v>
      </c>
      <c r="B105">
        <v>0</v>
      </c>
      <c r="C105">
        <v>0</v>
      </c>
      <c r="D105">
        <v>1</v>
      </c>
      <c r="E105">
        <v>0</v>
      </c>
      <c r="F105">
        <v>6</v>
      </c>
      <c r="H105" t="str">
        <f t="shared" si="18"/>
        <v>0-0-1-0-6</v>
      </c>
      <c r="I105">
        <f t="shared" si="22"/>
        <v>0</v>
      </c>
      <c r="J105">
        <f t="shared" si="19"/>
        <v>308</v>
      </c>
      <c r="K105">
        <f t="shared" si="20"/>
        <v>275</v>
      </c>
      <c r="M105">
        <f t="shared" si="23"/>
        <v>7</v>
      </c>
      <c r="N105">
        <f t="shared" si="24"/>
        <v>1</v>
      </c>
      <c r="P105">
        <f t="shared" si="25"/>
        <v>6</v>
      </c>
      <c r="Q105">
        <f t="shared" si="26"/>
        <v>1</v>
      </c>
      <c r="R105">
        <f t="shared" si="27"/>
        <v>0</v>
      </c>
      <c r="S105">
        <f t="shared" si="28"/>
        <v>0</v>
      </c>
      <c r="T105">
        <f t="shared" si="29"/>
        <v>0</v>
      </c>
      <c r="V105" t="str">
        <f t="shared" si="21"/>
        <v>6-1-0-0-0</v>
      </c>
      <c r="X105">
        <f t="shared" si="17"/>
        <v>1</v>
      </c>
      <c r="Y105">
        <f t="shared" si="17"/>
        <v>1</v>
      </c>
      <c r="Z105">
        <f t="shared" si="17"/>
        <v>9</v>
      </c>
      <c r="AA105">
        <f t="shared" si="17"/>
        <v>1</v>
      </c>
      <c r="AB105">
        <f t="shared" si="17"/>
        <v>84</v>
      </c>
      <c r="AC105" s="4">
        <f t="shared" si="30"/>
        <v>756</v>
      </c>
    </row>
    <row r="106" spans="1:29" x14ac:dyDescent="0.25">
      <c r="A106">
        <v>0</v>
      </c>
      <c r="B106">
        <v>0</v>
      </c>
      <c r="C106">
        <v>0</v>
      </c>
      <c r="D106">
        <v>1</v>
      </c>
      <c r="E106">
        <v>6</v>
      </c>
      <c r="F106">
        <v>0</v>
      </c>
      <c r="H106" t="str">
        <f t="shared" si="18"/>
        <v>0-0-1-6-0</v>
      </c>
      <c r="I106">
        <f t="shared" si="22"/>
        <v>0</v>
      </c>
      <c r="J106">
        <f t="shared" si="19"/>
        <v>248</v>
      </c>
      <c r="K106">
        <f t="shared" si="20"/>
        <v>215</v>
      </c>
      <c r="M106">
        <f t="shared" si="23"/>
        <v>7</v>
      </c>
      <c r="N106">
        <f t="shared" si="24"/>
        <v>1</v>
      </c>
      <c r="P106">
        <f t="shared" si="25"/>
        <v>6</v>
      </c>
      <c r="Q106">
        <f t="shared" si="26"/>
        <v>1</v>
      </c>
      <c r="R106">
        <f t="shared" si="27"/>
        <v>0</v>
      </c>
      <c r="S106">
        <f t="shared" si="28"/>
        <v>0</v>
      </c>
      <c r="T106">
        <f t="shared" si="29"/>
        <v>0</v>
      </c>
      <c r="V106" t="str">
        <f t="shared" si="21"/>
        <v>6-1-0-0-0</v>
      </c>
      <c r="X106">
        <f t="shared" ref="X106:AB156" si="31">PERMUT(9,B106)/PERMUT(B106,B106)</f>
        <v>1</v>
      </c>
      <c r="Y106">
        <f t="shared" si="31"/>
        <v>1</v>
      </c>
      <c r="Z106">
        <f t="shared" si="31"/>
        <v>9</v>
      </c>
      <c r="AA106">
        <f t="shared" si="31"/>
        <v>84</v>
      </c>
      <c r="AB106">
        <f t="shared" si="31"/>
        <v>1</v>
      </c>
      <c r="AC106" s="4">
        <f t="shared" si="30"/>
        <v>756</v>
      </c>
    </row>
    <row r="107" spans="1:29" x14ac:dyDescent="0.25">
      <c r="A107">
        <v>0</v>
      </c>
      <c r="B107">
        <v>0</v>
      </c>
      <c r="C107">
        <v>0</v>
      </c>
      <c r="D107">
        <v>6</v>
      </c>
      <c r="E107">
        <v>0</v>
      </c>
      <c r="F107">
        <v>1</v>
      </c>
      <c r="H107" t="str">
        <f t="shared" si="18"/>
        <v>0-0-6-0-1</v>
      </c>
      <c r="I107">
        <f t="shared" si="22"/>
        <v>0</v>
      </c>
      <c r="J107">
        <f t="shared" si="19"/>
        <v>208</v>
      </c>
      <c r="K107">
        <f t="shared" si="20"/>
        <v>175</v>
      </c>
      <c r="M107">
        <f t="shared" si="23"/>
        <v>7</v>
      </c>
      <c r="N107">
        <f t="shared" si="24"/>
        <v>6</v>
      </c>
      <c r="P107">
        <f t="shared" si="25"/>
        <v>6</v>
      </c>
      <c r="Q107">
        <f t="shared" si="26"/>
        <v>1</v>
      </c>
      <c r="R107">
        <f t="shared" si="27"/>
        <v>0</v>
      </c>
      <c r="S107">
        <f t="shared" si="28"/>
        <v>0</v>
      </c>
      <c r="T107">
        <f t="shared" si="29"/>
        <v>0</v>
      </c>
      <c r="V107" t="str">
        <f t="shared" si="21"/>
        <v>6-1-0-0-0</v>
      </c>
      <c r="X107">
        <f t="shared" si="31"/>
        <v>1</v>
      </c>
      <c r="Y107">
        <f t="shared" si="31"/>
        <v>1</v>
      </c>
      <c r="Z107">
        <f t="shared" si="31"/>
        <v>84</v>
      </c>
      <c r="AA107">
        <f t="shared" si="31"/>
        <v>1</v>
      </c>
      <c r="AB107">
        <f t="shared" si="31"/>
        <v>9</v>
      </c>
      <c r="AC107" s="4">
        <f t="shared" si="30"/>
        <v>756</v>
      </c>
    </row>
    <row r="108" spans="1:29" x14ac:dyDescent="0.25">
      <c r="A108">
        <v>0</v>
      </c>
      <c r="B108">
        <v>0</v>
      </c>
      <c r="C108">
        <v>0</v>
      </c>
      <c r="D108">
        <v>6</v>
      </c>
      <c r="E108">
        <v>1</v>
      </c>
      <c r="F108">
        <v>0</v>
      </c>
      <c r="H108" t="str">
        <f t="shared" si="18"/>
        <v>0-0-6-1-0</v>
      </c>
      <c r="I108">
        <f t="shared" si="22"/>
        <v>0</v>
      </c>
      <c r="J108">
        <f t="shared" si="19"/>
        <v>198</v>
      </c>
      <c r="K108">
        <f t="shared" si="20"/>
        <v>165</v>
      </c>
      <c r="M108">
        <f t="shared" si="23"/>
        <v>7</v>
      </c>
      <c r="N108">
        <f t="shared" si="24"/>
        <v>6</v>
      </c>
      <c r="P108">
        <f t="shared" si="25"/>
        <v>6</v>
      </c>
      <c r="Q108">
        <f t="shared" si="26"/>
        <v>1</v>
      </c>
      <c r="R108">
        <f t="shared" si="27"/>
        <v>0</v>
      </c>
      <c r="S108">
        <f t="shared" si="28"/>
        <v>0</v>
      </c>
      <c r="T108">
        <f t="shared" si="29"/>
        <v>0</v>
      </c>
      <c r="V108" t="str">
        <f t="shared" si="21"/>
        <v>6-1-0-0-0</v>
      </c>
      <c r="X108">
        <f t="shared" si="31"/>
        <v>1</v>
      </c>
      <c r="Y108">
        <f t="shared" si="31"/>
        <v>1</v>
      </c>
      <c r="Z108">
        <f t="shared" si="31"/>
        <v>84</v>
      </c>
      <c r="AA108">
        <f t="shared" si="31"/>
        <v>9</v>
      </c>
      <c r="AB108">
        <f t="shared" si="31"/>
        <v>1</v>
      </c>
      <c r="AC108" s="4">
        <f t="shared" si="30"/>
        <v>756</v>
      </c>
    </row>
    <row r="109" spans="1:29" x14ac:dyDescent="0.25">
      <c r="A109">
        <v>0</v>
      </c>
      <c r="B109">
        <v>0</v>
      </c>
      <c r="C109">
        <v>1</v>
      </c>
      <c r="D109">
        <v>0</v>
      </c>
      <c r="E109">
        <v>0</v>
      </c>
      <c r="F109">
        <v>6</v>
      </c>
      <c r="H109" t="str">
        <f t="shared" si="18"/>
        <v>0-1-0-0-6</v>
      </c>
      <c r="I109">
        <f t="shared" si="22"/>
        <v>0</v>
      </c>
      <c r="J109">
        <f t="shared" si="19"/>
        <v>298</v>
      </c>
      <c r="K109">
        <f t="shared" si="20"/>
        <v>265</v>
      </c>
      <c r="M109">
        <f t="shared" si="23"/>
        <v>6</v>
      </c>
      <c r="N109">
        <f t="shared" si="24"/>
        <v>1</v>
      </c>
      <c r="P109">
        <f t="shared" si="25"/>
        <v>6</v>
      </c>
      <c r="Q109">
        <f t="shared" si="26"/>
        <v>1</v>
      </c>
      <c r="R109">
        <f t="shared" si="27"/>
        <v>0</v>
      </c>
      <c r="S109">
        <f t="shared" si="28"/>
        <v>0</v>
      </c>
      <c r="T109">
        <f t="shared" si="29"/>
        <v>0</v>
      </c>
      <c r="V109" t="str">
        <f t="shared" si="21"/>
        <v>6-1-0-0-0</v>
      </c>
      <c r="X109">
        <f t="shared" si="31"/>
        <v>1</v>
      </c>
      <c r="Y109">
        <f t="shared" si="31"/>
        <v>9</v>
      </c>
      <c r="Z109">
        <f t="shared" si="31"/>
        <v>1</v>
      </c>
      <c r="AA109">
        <f t="shared" si="31"/>
        <v>1</v>
      </c>
      <c r="AB109">
        <f t="shared" si="31"/>
        <v>84</v>
      </c>
      <c r="AC109" s="4">
        <f t="shared" si="30"/>
        <v>756</v>
      </c>
    </row>
    <row r="110" spans="1:29" x14ac:dyDescent="0.25">
      <c r="A110">
        <v>0</v>
      </c>
      <c r="B110">
        <v>0</v>
      </c>
      <c r="C110">
        <v>1</v>
      </c>
      <c r="D110">
        <v>0</v>
      </c>
      <c r="E110">
        <v>6</v>
      </c>
      <c r="F110">
        <v>0</v>
      </c>
      <c r="H110" t="str">
        <f t="shared" si="18"/>
        <v>0-1-0-6-0</v>
      </c>
      <c r="I110">
        <f t="shared" si="22"/>
        <v>0</v>
      </c>
      <c r="J110">
        <f t="shared" si="19"/>
        <v>238</v>
      </c>
      <c r="K110">
        <f t="shared" si="20"/>
        <v>205</v>
      </c>
      <c r="M110">
        <f t="shared" si="23"/>
        <v>6</v>
      </c>
      <c r="N110">
        <f t="shared" si="24"/>
        <v>1</v>
      </c>
      <c r="P110">
        <f t="shared" si="25"/>
        <v>6</v>
      </c>
      <c r="Q110">
        <f t="shared" si="26"/>
        <v>1</v>
      </c>
      <c r="R110">
        <f t="shared" si="27"/>
        <v>0</v>
      </c>
      <c r="S110">
        <f t="shared" si="28"/>
        <v>0</v>
      </c>
      <c r="T110">
        <f t="shared" si="29"/>
        <v>0</v>
      </c>
      <c r="V110" t="str">
        <f t="shared" si="21"/>
        <v>6-1-0-0-0</v>
      </c>
      <c r="X110">
        <f t="shared" si="31"/>
        <v>1</v>
      </c>
      <c r="Y110">
        <f t="shared" si="31"/>
        <v>9</v>
      </c>
      <c r="Z110">
        <f t="shared" si="31"/>
        <v>1</v>
      </c>
      <c r="AA110">
        <f t="shared" si="31"/>
        <v>84</v>
      </c>
      <c r="AB110">
        <f t="shared" si="31"/>
        <v>1</v>
      </c>
      <c r="AC110" s="4">
        <f t="shared" si="30"/>
        <v>756</v>
      </c>
    </row>
    <row r="111" spans="1:29" x14ac:dyDescent="0.25">
      <c r="A111">
        <v>0</v>
      </c>
      <c r="B111">
        <v>0</v>
      </c>
      <c r="C111">
        <v>1</v>
      </c>
      <c r="D111">
        <v>6</v>
      </c>
      <c r="E111">
        <v>0</v>
      </c>
      <c r="F111">
        <v>0</v>
      </c>
      <c r="H111" t="str">
        <f t="shared" si="18"/>
        <v>0-1-6-0-0</v>
      </c>
      <c r="I111">
        <f t="shared" si="22"/>
        <v>0</v>
      </c>
      <c r="J111">
        <f t="shared" si="19"/>
        <v>178</v>
      </c>
      <c r="K111">
        <f t="shared" si="20"/>
        <v>145</v>
      </c>
      <c r="M111">
        <f t="shared" si="23"/>
        <v>6</v>
      </c>
      <c r="N111">
        <f t="shared" si="24"/>
        <v>7</v>
      </c>
      <c r="P111">
        <f t="shared" si="25"/>
        <v>6</v>
      </c>
      <c r="Q111">
        <f t="shared" si="26"/>
        <v>1</v>
      </c>
      <c r="R111">
        <f t="shared" si="27"/>
        <v>0</v>
      </c>
      <c r="S111">
        <f t="shared" si="28"/>
        <v>0</v>
      </c>
      <c r="T111">
        <f t="shared" si="29"/>
        <v>0</v>
      </c>
      <c r="V111" t="str">
        <f t="shared" si="21"/>
        <v>6-1-0-0-0</v>
      </c>
      <c r="X111">
        <f t="shared" si="31"/>
        <v>1</v>
      </c>
      <c r="Y111">
        <f t="shared" si="31"/>
        <v>9</v>
      </c>
      <c r="Z111">
        <f t="shared" si="31"/>
        <v>84</v>
      </c>
      <c r="AA111">
        <f t="shared" si="31"/>
        <v>1</v>
      </c>
      <c r="AB111">
        <f t="shared" si="31"/>
        <v>1</v>
      </c>
      <c r="AC111" s="4">
        <f t="shared" si="30"/>
        <v>756</v>
      </c>
    </row>
    <row r="112" spans="1:29" x14ac:dyDescent="0.25">
      <c r="A112">
        <v>0</v>
      </c>
      <c r="B112">
        <v>0</v>
      </c>
      <c r="C112">
        <v>6</v>
      </c>
      <c r="D112">
        <v>0</v>
      </c>
      <c r="E112">
        <v>0</v>
      </c>
      <c r="F112">
        <v>1</v>
      </c>
      <c r="H112" t="str">
        <f t="shared" si="18"/>
        <v>0-6-0-0-1</v>
      </c>
      <c r="I112">
        <f t="shared" si="22"/>
        <v>0</v>
      </c>
      <c r="J112">
        <f t="shared" si="19"/>
        <v>148</v>
      </c>
      <c r="K112">
        <f t="shared" si="20"/>
        <v>115</v>
      </c>
      <c r="M112">
        <f t="shared" si="23"/>
        <v>1</v>
      </c>
      <c r="N112">
        <f t="shared" si="24"/>
        <v>6</v>
      </c>
      <c r="P112">
        <f t="shared" si="25"/>
        <v>6</v>
      </c>
      <c r="Q112">
        <f t="shared" si="26"/>
        <v>1</v>
      </c>
      <c r="R112">
        <f t="shared" si="27"/>
        <v>0</v>
      </c>
      <c r="S112">
        <f t="shared" si="28"/>
        <v>0</v>
      </c>
      <c r="T112">
        <f t="shared" si="29"/>
        <v>0</v>
      </c>
      <c r="V112" t="str">
        <f t="shared" si="21"/>
        <v>6-1-0-0-0</v>
      </c>
      <c r="X112">
        <f t="shared" si="31"/>
        <v>1</v>
      </c>
      <c r="Y112">
        <f t="shared" si="31"/>
        <v>84</v>
      </c>
      <c r="Z112">
        <f t="shared" si="31"/>
        <v>1</v>
      </c>
      <c r="AA112">
        <f t="shared" si="31"/>
        <v>1</v>
      </c>
      <c r="AB112">
        <f t="shared" si="31"/>
        <v>9</v>
      </c>
      <c r="AC112" s="4">
        <f t="shared" si="30"/>
        <v>756</v>
      </c>
    </row>
    <row r="113" spans="1:29" x14ac:dyDescent="0.25">
      <c r="A113">
        <v>0</v>
      </c>
      <c r="B113">
        <v>0</v>
      </c>
      <c r="C113">
        <v>6</v>
      </c>
      <c r="D113">
        <v>0</v>
      </c>
      <c r="E113">
        <v>1</v>
      </c>
      <c r="F113">
        <v>0</v>
      </c>
      <c r="H113" t="str">
        <f t="shared" si="18"/>
        <v>0-6-0-1-0</v>
      </c>
      <c r="I113">
        <f t="shared" si="22"/>
        <v>0</v>
      </c>
      <c r="J113">
        <f t="shared" si="19"/>
        <v>138</v>
      </c>
      <c r="K113">
        <f t="shared" si="20"/>
        <v>105</v>
      </c>
      <c r="M113">
        <f t="shared" si="23"/>
        <v>1</v>
      </c>
      <c r="N113">
        <f t="shared" si="24"/>
        <v>6</v>
      </c>
      <c r="P113">
        <f t="shared" si="25"/>
        <v>6</v>
      </c>
      <c r="Q113">
        <f t="shared" si="26"/>
        <v>1</v>
      </c>
      <c r="R113">
        <f t="shared" si="27"/>
        <v>0</v>
      </c>
      <c r="S113">
        <f t="shared" si="28"/>
        <v>0</v>
      </c>
      <c r="T113">
        <f t="shared" si="29"/>
        <v>0</v>
      </c>
      <c r="V113" t="str">
        <f t="shared" si="21"/>
        <v>6-1-0-0-0</v>
      </c>
      <c r="X113">
        <f t="shared" si="31"/>
        <v>1</v>
      </c>
      <c r="Y113">
        <f t="shared" si="31"/>
        <v>84</v>
      </c>
      <c r="Z113">
        <f t="shared" si="31"/>
        <v>1</v>
      </c>
      <c r="AA113">
        <f t="shared" si="31"/>
        <v>9</v>
      </c>
      <c r="AB113">
        <f t="shared" si="31"/>
        <v>1</v>
      </c>
      <c r="AC113" s="4">
        <f t="shared" si="30"/>
        <v>756</v>
      </c>
    </row>
    <row r="114" spans="1:29" x14ac:dyDescent="0.25">
      <c r="A114">
        <v>0</v>
      </c>
      <c r="B114">
        <v>0</v>
      </c>
      <c r="C114">
        <v>6</v>
      </c>
      <c r="D114">
        <v>1</v>
      </c>
      <c r="E114">
        <v>0</v>
      </c>
      <c r="F114">
        <v>0</v>
      </c>
      <c r="H114" t="str">
        <f t="shared" si="18"/>
        <v>0-6-1-0-0</v>
      </c>
      <c r="I114">
        <f t="shared" si="22"/>
        <v>0</v>
      </c>
      <c r="J114">
        <f t="shared" si="19"/>
        <v>128</v>
      </c>
      <c r="K114">
        <f t="shared" si="20"/>
        <v>95</v>
      </c>
      <c r="M114">
        <f t="shared" si="23"/>
        <v>1</v>
      </c>
      <c r="N114">
        <f t="shared" si="24"/>
        <v>7</v>
      </c>
      <c r="P114">
        <f t="shared" si="25"/>
        <v>6</v>
      </c>
      <c r="Q114">
        <f t="shared" si="26"/>
        <v>1</v>
      </c>
      <c r="R114">
        <f t="shared" si="27"/>
        <v>0</v>
      </c>
      <c r="S114">
        <f t="shared" si="28"/>
        <v>0</v>
      </c>
      <c r="T114">
        <f t="shared" si="29"/>
        <v>0</v>
      </c>
      <c r="V114" t="str">
        <f t="shared" si="21"/>
        <v>6-1-0-0-0</v>
      </c>
      <c r="X114">
        <f t="shared" si="31"/>
        <v>1</v>
      </c>
      <c r="Y114">
        <f t="shared" si="31"/>
        <v>84</v>
      </c>
      <c r="Z114">
        <f t="shared" si="31"/>
        <v>9</v>
      </c>
      <c r="AA114">
        <f t="shared" si="31"/>
        <v>1</v>
      </c>
      <c r="AB114">
        <f t="shared" si="31"/>
        <v>1</v>
      </c>
      <c r="AC114" s="4">
        <f t="shared" si="30"/>
        <v>756</v>
      </c>
    </row>
    <row r="115" spans="1:29" x14ac:dyDescent="0.25">
      <c r="A115">
        <v>0</v>
      </c>
      <c r="B115">
        <v>1</v>
      </c>
      <c r="C115">
        <v>0</v>
      </c>
      <c r="D115">
        <v>0</v>
      </c>
      <c r="E115">
        <v>0</v>
      </c>
      <c r="F115">
        <v>6</v>
      </c>
      <c r="H115" t="str">
        <f t="shared" si="18"/>
        <v>1-0-0-0-6</v>
      </c>
      <c r="I115">
        <f t="shared" si="22"/>
        <v>0</v>
      </c>
      <c r="J115">
        <f t="shared" si="19"/>
        <v>288</v>
      </c>
      <c r="K115">
        <f t="shared" si="20"/>
        <v>256</v>
      </c>
      <c r="M115">
        <f t="shared" si="23"/>
        <v>6</v>
      </c>
      <c r="N115">
        <f t="shared" si="24"/>
        <v>1</v>
      </c>
      <c r="P115">
        <f t="shared" si="25"/>
        <v>6</v>
      </c>
      <c r="Q115">
        <f t="shared" si="26"/>
        <v>1</v>
      </c>
      <c r="R115">
        <f t="shared" si="27"/>
        <v>0</v>
      </c>
      <c r="S115">
        <f t="shared" si="28"/>
        <v>0</v>
      </c>
      <c r="T115">
        <f t="shared" si="29"/>
        <v>0</v>
      </c>
      <c r="V115" t="str">
        <f t="shared" si="21"/>
        <v>6-1-0-0-0</v>
      </c>
      <c r="X115">
        <f t="shared" si="31"/>
        <v>9</v>
      </c>
      <c r="Y115">
        <f t="shared" si="31"/>
        <v>1</v>
      </c>
      <c r="Z115">
        <f t="shared" si="31"/>
        <v>1</v>
      </c>
      <c r="AA115">
        <f t="shared" si="31"/>
        <v>1</v>
      </c>
      <c r="AB115">
        <f t="shared" si="31"/>
        <v>84</v>
      </c>
      <c r="AC115" s="4">
        <f t="shared" si="30"/>
        <v>756</v>
      </c>
    </row>
    <row r="116" spans="1:29" x14ac:dyDescent="0.25">
      <c r="A116">
        <v>0</v>
      </c>
      <c r="B116">
        <v>1</v>
      </c>
      <c r="C116">
        <v>0</v>
      </c>
      <c r="D116">
        <v>0</v>
      </c>
      <c r="E116">
        <v>6</v>
      </c>
      <c r="F116">
        <v>0</v>
      </c>
      <c r="H116" t="str">
        <f t="shared" si="18"/>
        <v>1-0-0-6-0</v>
      </c>
      <c r="I116">
        <f t="shared" si="22"/>
        <v>0</v>
      </c>
      <c r="J116">
        <f t="shared" si="19"/>
        <v>228</v>
      </c>
      <c r="K116">
        <f t="shared" si="20"/>
        <v>196</v>
      </c>
      <c r="M116">
        <f t="shared" si="23"/>
        <v>6</v>
      </c>
      <c r="N116">
        <f t="shared" si="24"/>
        <v>1</v>
      </c>
      <c r="P116">
        <f t="shared" si="25"/>
        <v>6</v>
      </c>
      <c r="Q116">
        <f t="shared" si="26"/>
        <v>1</v>
      </c>
      <c r="R116">
        <f t="shared" si="27"/>
        <v>0</v>
      </c>
      <c r="S116">
        <f t="shared" si="28"/>
        <v>0</v>
      </c>
      <c r="T116">
        <f t="shared" si="29"/>
        <v>0</v>
      </c>
      <c r="V116" t="str">
        <f t="shared" si="21"/>
        <v>6-1-0-0-0</v>
      </c>
      <c r="X116">
        <f t="shared" si="31"/>
        <v>9</v>
      </c>
      <c r="Y116">
        <f t="shared" si="31"/>
        <v>1</v>
      </c>
      <c r="Z116">
        <f t="shared" si="31"/>
        <v>1</v>
      </c>
      <c r="AA116">
        <f t="shared" si="31"/>
        <v>84</v>
      </c>
      <c r="AB116">
        <f t="shared" si="31"/>
        <v>1</v>
      </c>
      <c r="AC116" s="4">
        <f t="shared" si="30"/>
        <v>756</v>
      </c>
    </row>
    <row r="117" spans="1:29" x14ac:dyDescent="0.25">
      <c r="A117">
        <v>0</v>
      </c>
      <c r="B117">
        <v>1</v>
      </c>
      <c r="C117">
        <v>0</v>
      </c>
      <c r="D117">
        <v>6</v>
      </c>
      <c r="E117">
        <v>0</v>
      </c>
      <c r="F117">
        <v>0</v>
      </c>
      <c r="H117" t="str">
        <f t="shared" si="18"/>
        <v>1-0-6-0-0</v>
      </c>
      <c r="I117">
        <f t="shared" si="22"/>
        <v>0</v>
      </c>
      <c r="J117">
        <f t="shared" si="19"/>
        <v>168</v>
      </c>
      <c r="K117">
        <f t="shared" si="20"/>
        <v>136</v>
      </c>
      <c r="M117">
        <f t="shared" si="23"/>
        <v>6</v>
      </c>
      <c r="N117">
        <f t="shared" si="24"/>
        <v>7</v>
      </c>
      <c r="P117">
        <f t="shared" si="25"/>
        <v>6</v>
      </c>
      <c r="Q117">
        <f t="shared" si="26"/>
        <v>1</v>
      </c>
      <c r="R117">
        <f t="shared" si="27"/>
        <v>0</v>
      </c>
      <c r="S117">
        <f t="shared" si="28"/>
        <v>0</v>
      </c>
      <c r="T117">
        <f t="shared" si="29"/>
        <v>0</v>
      </c>
      <c r="V117" t="str">
        <f t="shared" si="21"/>
        <v>6-1-0-0-0</v>
      </c>
      <c r="X117">
        <f t="shared" si="31"/>
        <v>9</v>
      </c>
      <c r="Y117">
        <f t="shared" si="31"/>
        <v>1</v>
      </c>
      <c r="Z117">
        <f t="shared" si="31"/>
        <v>84</v>
      </c>
      <c r="AA117">
        <f t="shared" si="31"/>
        <v>1</v>
      </c>
      <c r="AB117">
        <f t="shared" si="31"/>
        <v>1</v>
      </c>
      <c r="AC117" s="4">
        <f t="shared" si="30"/>
        <v>756</v>
      </c>
    </row>
    <row r="118" spans="1:29" x14ac:dyDescent="0.25">
      <c r="A118">
        <v>0</v>
      </c>
      <c r="B118">
        <v>1</v>
      </c>
      <c r="C118">
        <v>6</v>
      </c>
      <c r="D118">
        <v>0</v>
      </c>
      <c r="E118">
        <v>0</v>
      </c>
      <c r="F118">
        <v>0</v>
      </c>
      <c r="H118" t="str">
        <f t="shared" si="18"/>
        <v>1-6-0-0-0</v>
      </c>
      <c r="I118">
        <f t="shared" si="22"/>
        <v>0</v>
      </c>
      <c r="J118">
        <f t="shared" si="19"/>
        <v>108</v>
      </c>
      <c r="K118">
        <f t="shared" si="20"/>
        <v>76</v>
      </c>
      <c r="M118">
        <f t="shared" si="23"/>
        <v>0</v>
      </c>
      <c r="N118">
        <f t="shared" si="24"/>
        <v>7</v>
      </c>
      <c r="P118">
        <f t="shared" si="25"/>
        <v>6</v>
      </c>
      <c r="Q118">
        <f t="shared" si="26"/>
        <v>1</v>
      </c>
      <c r="R118">
        <f t="shared" si="27"/>
        <v>0</v>
      </c>
      <c r="S118">
        <f t="shared" si="28"/>
        <v>0</v>
      </c>
      <c r="T118">
        <f t="shared" si="29"/>
        <v>0</v>
      </c>
      <c r="V118" t="str">
        <f t="shared" si="21"/>
        <v>6-1-0-0-0</v>
      </c>
      <c r="X118">
        <f t="shared" si="31"/>
        <v>9</v>
      </c>
      <c r="Y118">
        <f t="shared" si="31"/>
        <v>84</v>
      </c>
      <c r="Z118">
        <f t="shared" si="31"/>
        <v>1</v>
      </c>
      <c r="AA118">
        <f t="shared" si="31"/>
        <v>1</v>
      </c>
      <c r="AB118">
        <f t="shared" si="31"/>
        <v>1</v>
      </c>
      <c r="AC118" s="4">
        <f t="shared" si="30"/>
        <v>756</v>
      </c>
    </row>
    <row r="119" spans="1:29" x14ac:dyDescent="0.25">
      <c r="A119">
        <v>0</v>
      </c>
      <c r="B119">
        <v>6</v>
      </c>
      <c r="C119">
        <v>0</v>
      </c>
      <c r="D119">
        <v>0</v>
      </c>
      <c r="E119">
        <v>0</v>
      </c>
      <c r="F119">
        <v>1</v>
      </c>
      <c r="H119" t="str">
        <f t="shared" si="18"/>
        <v>6-0-0-0-1</v>
      </c>
      <c r="I119">
        <f t="shared" si="22"/>
        <v>0</v>
      </c>
      <c r="J119">
        <f t="shared" si="19"/>
        <v>88</v>
      </c>
      <c r="K119">
        <f t="shared" si="20"/>
        <v>61</v>
      </c>
      <c r="M119">
        <f t="shared" si="23"/>
        <v>1</v>
      </c>
      <c r="N119">
        <f t="shared" si="24"/>
        <v>6</v>
      </c>
      <c r="P119">
        <f t="shared" si="25"/>
        <v>6</v>
      </c>
      <c r="Q119">
        <f t="shared" si="26"/>
        <v>1</v>
      </c>
      <c r="R119">
        <f t="shared" si="27"/>
        <v>0</v>
      </c>
      <c r="S119">
        <f t="shared" si="28"/>
        <v>0</v>
      </c>
      <c r="T119">
        <f t="shared" si="29"/>
        <v>0</v>
      </c>
      <c r="V119" t="str">
        <f t="shared" si="21"/>
        <v>6-1-0-0-0</v>
      </c>
      <c r="X119">
        <f t="shared" si="31"/>
        <v>84</v>
      </c>
      <c r="Y119">
        <f t="shared" si="31"/>
        <v>1</v>
      </c>
      <c r="Z119">
        <f t="shared" si="31"/>
        <v>1</v>
      </c>
      <c r="AA119">
        <f t="shared" si="31"/>
        <v>1</v>
      </c>
      <c r="AB119">
        <f t="shared" si="31"/>
        <v>9</v>
      </c>
      <c r="AC119" s="4">
        <f t="shared" si="30"/>
        <v>756</v>
      </c>
    </row>
    <row r="120" spans="1:29" x14ac:dyDescent="0.25">
      <c r="A120">
        <v>0</v>
      </c>
      <c r="B120">
        <v>6</v>
      </c>
      <c r="C120">
        <v>0</v>
      </c>
      <c r="D120">
        <v>0</v>
      </c>
      <c r="E120">
        <v>1</v>
      </c>
      <c r="F120">
        <v>0</v>
      </c>
      <c r="H120" t="str">
        <f t="shared" si="18"/>
        <v>6-0-0-1-0</v>
      </c>
      <c r="I120">
        <f t="shared" si="22"/>
        <v>0</v>
      </c>
      <c r="J120">
        <f t="shared" si="19"/>
        <v>78</v>
      </c>
      <c r="K120">
        <f t="shared" si="20"/>
        <v>51</v>
      </c>
      <c r="M120">
        <f t="shared" si="23"/>
        <v>1</v>
      </c>
      <c r="N120">
        <f t="shared" si="24"/>
        <v>6</v>
      </c>
      <c r="P120">
        <f t="shared" si="25"/>
        <v>6</v>
      </c>
      <c r="Q120">
        <f t="shared" si="26"/>
        <v>1</v>
      </c>
      <c r="R120">
        <f t="shared" si="27"/>
        <v>0</v>
      </c>
      <c r="S120">
        <f t="shared" si="28"/>
        <v>0</v>
      </c>
      <c r="T120">
        <f t="shared" si="29"/>
        <v>0</v>
      </c>
      <c r="V120" t="str">
        <f t="shared" si="21"/>
        <v>6-1-0-0-0</v>
      </c>
      <c r="X120">
        <f t="shared" si="31"/>
        <v>84</v>
      </c>
      <c r="Y120">
        <f t="shared" si="31"/>
        <v>1</v>
      </c>
      <c r="Z120">
        <f t="shared" si="31"/>
        <v>1</v>
      </c>
      <c r="AA120">
        <f t="shared" si="31"/>
        <v>9</v>
      </c>
      <c r="AB120">
        <f t="shared" si="31"/>
        <v>1</v>
      </c>
      <c r="AC120" s="4">
        <f t="shared" si="30"/>
        <v>756</v>
      </c>
    </row>
    <row r="121" spans="1:29" x14ac:dyDescent="0.25">
      <c r="A121">
        <v>0</v>
      </c>
      <c r="B121">
        <v>6</v>
      </c>
      <c r="C121">
        <v>0</v>
      </c>
      <c r="D121">
        <v>1</v>
      </c>
      <c r="E121">
        <v>0</v>
      </c>
      <c r="F121">
        <v>0</v>
      </c>
      <c r="H121" t="str">
        <f t="shared" si="18"/>
        <v>6-0-1-0-0</v>
      </c>
      <c r="I121">
        <f t="shared" si="22"/>
        <v>0</v>
      </c>
      <c r="J121">
        <f t="shared" si="19"/>
        <v>68</v>
      </c>
      <c r="K121">
        <f t="shared" si="20"/>
        <v>41</v>
      </c>
      <c r="M121">
        <f t="shared" si="23"/>
        <v>1</v>
      </c>
      <c r="N121">
        <f t="shared" si="24"/>
        <v>7</v>
      </c>
      <c r="P121">
        <f t="shared" si="25"/>
        <v>6</v>
      </c>
      <c r="Q121">
        <f t="shared" si="26"/>
        <v>1</v>
      </c>
      <c r="R121">
        <f t="shared" si="27"/>
        <v>0</v>
      </c>
      <c r="S121">
        <f t="shared" si="28"/>
        <v>0</v>
      </c>
      <c r="T121">
        <f t="shared" si="29"/>
        <v>0</v>
      </c>
      <c r="V121" t="str">
        <f t="shared" si="21"/>
        <v>6-1-0-0-0</v>
      </c>
      <c r="X121">
        <f t="shared" si="31"/>
        <v>84</v>
      </c>
      <c r="Y121">
        <f t="shared" si="31"/>
        <v>1</v>
      </c>
      <c r="Z121">
        <f t="shared" si="31"/>
        <v>9</v>
      </c>
      <c r="AA121">
        <f t="shared" si="31"/>
        <v>1</v>
      </c>
      <c r="AB121">
        <f t="shared" si="31"/>
        <v>1</v>
      </c>
      <c r="AC121" s="4">
        <f t="shared" si="30"/>
        <v>756</v>
      </c>
    </row>
    <row r="122" spans="1:29" x14ac:dyDescent="0.25">
      <c r="A122">
        <v>0</v>
      </c>
      <c r="B122">
        <v>6</v>
      </c>
      <c r="C122">
        <v>1</v>
      </c>
      <c r="D122">
        <v>0</v>
      </c>
      <c r="E122">
        <v>0</v>
      </c>
      <c r="F122">
        <v>0</v>
      </c>
      <c r="H122" t="str">
        <f t="shared" si="18"/>
        <v>6-1-0-0-0</v>
      </c>
      <c r="I122">
        <f t="shared" si="22"/>
        <v>0</v>
      </c>
      <c r="J122">
        <f t="shared" si="19"/>
        <v>58</v>
      </c>
      <c r="K122">
        <f t="shared" si="20"/>
        <v>31</v>
      </c>
      <c r="M122">
        <f t="shared" si="23"/>
        <v>0</v>
      </c>
      <c r="N122">
        <f t="shared" si="24"/>
        <v>7</v>
      </c>
      <c r="P122">
        <f t="shared" si="25"/>
        <v>6</v>
      </c>
      <c r="Q122">
        <f t="shared" si="26"/>
        <v>1</v>
      </c>
      <c r="R122">
        <f t="shared" si="27"/>
        <v>0</v>
      </c>
      <c r="S122">
        <f t="shared" si="28"/>
        <v>0</v>
      </c>
      <c r="T122">
        <f t="shared" si="29"/>
        <v>0</v>
      </c>
      <c r="V122" t="str">
        <f t="shared" si="21"/>
        <v>6-1-0-0-0</v>
      </c>
      <c r="X122">
        <f t="shared" si="31"/>
        <v>84</v>
      </c>
      <c r="Y122">
        <f t="shared" si="31"/>
        <v>9</v>
      </c>
      <c r="Z122">
        <f t="shared" si="31"/>
        <v>1</v>
      </c>
      <c r="AA122">
        <f t="shared" si="31"/>
        <v>1</v>
      </c>
      <c r="AB122">
        <f t="shared" si="31"/>
        <v>1</v>
      </c>
      <c r="AC122" s="4">
        <f t="shared" si="30"/>
        <v>756</v>
      </c>
    </row>
    <row r="123" spans="1:29" x14ac:dyDescent="0.25">
      <c r="A123">
        <v>1</v>
      </c>
      <c r="B123">
        <v>0</v>
      </c>
      <c r="C123">
        <v>0</v>
      </c>
      <c r="D123">
        <v>1</v>
      </c>
      <c r="E123">
        <v>3</v>
      </c>
      <c r="F123">
        <v>3</v>
      </c>
      <c r="H123" t="str">
        <f t="shared" si="18"/>
        <v>0-0-1-3-3</v>
      </c>
      <c r="I123">
        <f t="shared" si="22"/>
        <v>1</v>
      </c>
      <c r="J123">
        <f t="shared" si="19"/>
        <v>287</v>
      </c>
      <c r="K123">
        <f t="shared" si="20"/>
        <v>236</v>
      </c>
      <c r="M123">
        <f t="shared" si="23"/>
        <v>7</v>
      </c>
      <c r="N123">
        <f t="shared" si="24"/>
        <v>1</v>
      </c>
      <c r="P123">
        <f t="shared" si="25"/>
        <v>3</v>
      </c>
      <c r="Q123">
        <f t="shared" si="26"/>
        <v>3</v>
      </c>
      <c r="R123">
        <f t="shared" si="27"/>
        <v>1</v>
      </c>
      <c r="S123">
        <f t="shared" si="28"/>
        <v>0</v>
      </c>
      <c r="T123">
        <f t="shared" si="29"/>
        <v>0</v>
      </c>
      <c r="V123" t="str">
        <f t="shared" si="21"/>
        <v>3-3-1-0-0</v>
      </c>
      <c r="X123">
        <f t="shared" si="31"/>
        <v>1</v>
      </c>
      <c r="Y123">
        <f t="shared" si="31"/>
        <v>1</v>
      </c>
      <c r="Z123">
        <f t="shared" si="31"/>
        <v>9</v>
      </c>
      <c r="AA123">
        <f t="shared" si="31"/>
        <v>84</v>
      </c>
      <c r="AB123">
        <f t="shared" si="31"/>
        <v>84</v>
      </c>
      <c r="AC123" s="4">
        <f t="shared" si="30"/>
        <v>63504</v>
      </c>
    </row>
    <row r="124" spans="1:29" x14ac:dyDescent="0.25">
      <c r="A124">
        <v>0</v>
      </c>
      <c r="B124">
        <v>0</v>
      </c>
      <c r="C124">
        <v>0</v>
      </c>
      <c r="D124">
        <v>3</v>
      </c>
      <c r="E124">
        <v>1</v>
      </c>
      <c r="F124">
        <v>3</v>
      </c>
      <c r="H124" t="str">
        <f t="shared" si="18"/>
        <v>0-0-3-1-3</v>
      </c>
      <c r="I124">
        <f t="shared" si="22"/>
        <v>0</v>
      </c>
      <c r="J124">
        <f t="shared" si="19"/>
        <v>267</v>
      </c>
      <c r="K124">
        <f t="shared" si="20"/>
        <v>216</v>
      </c>
      <c r="M124">
        <f t="shared" si="23"/>
        <v>7</v>
      </c>
      <c r="N124">
        <f t="shared" si="24"/>
        <v>3</v>
      </c>
      <c r="P124">
        <f t="shared" si="25"/>
        <v>3</v>
      </c>
      <c r="Q124">
        <f t="shared" si="26"/>
        <v>3</v>
      </c>
      <c r="R124">
        <f t="shared" si="27"/>
        <v>1</v>
      </c>
      <c r="S124">
        <f t="shared" si="28"/>
        <v>0</v>
      </c>
      <c r="T124">
        <f t="shared" si="29"/>
        <v>0</v>
      </c>
      <c r="V124" t="str">
        <f t="shared" si="21"/>
        <v>3-3-1-0-0</v>
      </c>
      <c r="X124">
        <f t="shared" si="31"/>
        <v>1</v>
      </c>
      <c r="Y124">
        <f t="shared" si="31"/>
        <v>1</v>
      </c>
      <c r="Z124">
        <f t="shared" si="31"/>
        <v>84</v>
      </c>
      <c r="AA124">
        <f t="shared" si="31"/>
        <v>9</v>
      </c>
      <c r="AB124">
        <f t="shared" si="31"/>
        <v>84</v>
      </c>
      <c r="AC124" s="4">
        <f t="shared" si="30"/>
        <v>63504</v>
      </c>
    </row>
    <row r="125" spans="1:29" x14ac:dyDescent="0.25">
      <c r="A125">
        <v>2</v>
      </c>
      <c r="B125">
        <v>0</v>
      </c>
      <c r="C125">
        <v>0</v>
      </c>
      <c r="D125">
        <v>3</v>
      </c>
      <c r="E125">
        <v>3</v>
      </c>
      <c r="F125">
        <v>1</v>
      </c>
      <c r="H125" t="str">
        <f t="shared" si="18"/>
        <v>0-0-3-3-1</v>
      </c>
      <c r="I125">
        <f t="shared" si="22"/>
        <v>2</v>
      </c>
      <c r="J125">
        <f t="shared" si="19"/>
        <v>247</v>
      </c>
      <c r="K125">
        <f t="shared" si="20"/>
        <v>196</v>
      </c>
      <c r="M125">
        <f t="shared" si="23"/>
        <v>7</v>
      </c>
      <c r="N125">
        <f t="shared" si="24"/>
        <v>3</v>
      </c>
      <c r="P125">
        <f t="shared" si="25"/>
        <v>3</v>
      </c>
      <c r="Q125">
        <f t="shared" si="26"/>
        <v>3</v>
      </c>
      <c r="R125">
        <f t="shared" si="27"/>
        <v>1</v>
      </c>
      <c r="S125">
        <f t="shared" si="28"/>
        <v>0</v>
      </c>
      <c r="T125">
        <f t="shared" si="29"/>
        <v>0</v>
      </c>
      <c r="V125" t="str">
        <f t="shared" si="21"/>
        <v>3-3-1-0-0</v>
      </c>
      <c r="X125">
        <f t="shared" si="31"/>
        <v>1</v>
      </c>
      <c r="Y125">
        <f t="shared" si="31"/>
        <v>1</v>
      </c>
      <c r="Z125">
        <f t="shared" si="31"/>
        <v>84</v>
      </c>
      <c r="AA125">
        <f t="shared" si="31"/>
        <v>84</v>
      </c>
      <c r="AB125">
        <f t="shared" si="31"/>
        <v>9</v>
      </c>
      <c r="AC125" s="4">
        <f t="shared" si="30"/>
        <v>63504</v>
      </c>
    </row>
    <row r="126" spans="1:29" x14ac:dyDescent="0.25">
      <c r="A126">
        <v>1</v>
      </c>
      <c r="B126">
        <v>0</v>
      </c>
      <c r="C126">
        <v>1</v>
      </c>
      <c r="D126">
        <v>0</v>
      </c>
      <c r="E126">
        <v>3</v>
      </c>
      <c r="F126">
        <v>3</v>
      </c>
      <c r="H126" t="str">
        <f t="shared" si="18"/>
        <v>0-1-0-3-3</v>
      </c>
      <c r="I126">
        <f t="shared" si="22"/>
        <v>1</v>
      </c>
      <c r="J126">
        <f t="shared" si="19"/>
        <v>277</v>
      </c>
      <c r="K126">
        <f t="shared" si="20"/>
        <v>226</v>
      </c>
      <c r="M126">
        <f t="shared" si="23"/>
        <v>6</v>
      </c>
      <c r="N126">
        <f t="shared" si="24"/>
        <v>1</v>
      </c>
      <c r="P126">
        <f t="shared" si="25"/>
        <v>3</v>
      </c>
      <c r="Q126">
        <f t="shared" si="26"/>
        <v>3</v>
      </c>
      <c r="R126">
        <f t="shared" si="27"/>
        <v>1</v>
      </c>
      <c r="S126">
        <f t="shared" si="28"/>
        <v>0</v>
      </c>
      <c r="T126">
        <f t="shared" si="29"/>
        <v>0</v>
      </c>
      <c r="V126" t="str">
        <f t="shared" si="21"/>
        <v>3-3-1-0-0</v>
      </c>
      <c r="X126">
        <f t="shared" si="31"/>
        <v>1</v>
      </c>
      <c r="Y126">
        <f t="shared" si="31"/>
        <v>9</v>
      </c>
      <c r="Z126">
        <f t="shared" si="31"/>
        <v>1</v>
      </c>
      <c r="AA126">
        <f t="shared" si="31"/>
        <v>84</v>
      </c>
      <c r="AB126">
        <f t="shared" si="31"/>
        <v>84</v>
      </c>
      <c r="AC126" s="4">
        <f t="shared" si="30"/>
        <v>63504</v>
      </c>
    </row>
    <row r="127" spans="1:29" x14ac:dyDescent="0.25">
      <c r="A127">
        <v>0</v>
      </c>
      <c r="B127">
        <v>0</v>
      </c>
      <c r="C127">
        <v>1</v>
      </c>
      <c r="D127">
        <v>3</v>
      </c>
      <c r="E127">
        <v>0</v>
      </c>
      <c r="F127">
        <v>3</v>
      </c>
      <c r="H127" t="str">
        <f t="shared" si="18"/>
        <v>0-1-3-0-3</v>
      </c>
      <c r="I127">
        <f t="shared" si="22"/>
        <v>0</v>
      </c>
      <c r="J127">
        <f t="shared" si="19"/>
        <v>247</v>
      </c>
      <c r="K127">
        <f t="shared" si="20"/>
        <v>196</v>
      </c>
      <c r="M127">
        <f t="shared" si="23"/>
        <v>6</v>
      </c>
      <c r="N127">
        <f t="shared" si="24"/>
        <v>4</v>
      </c>
      <c r="P127">
        <f t="shared" si="25"/>
        <v>3</v>
      </c>
      <c r="Q127">
        <f t="shared" si="26"/>
        <v>3</v>
      </c>
      <c r="R127">
        <f t="shared" si="27"/>
        <v>1</v>
      </c>
      <c r="S127">
        <f t="shared" si="28"/>
        <v>0</v>
      </c>
      <c r="T127">
        <f t="shared" si="29"/>
        <v>0</v>
      </c>
      <c r="V127" t="str">
        <f t="shared" si="21"/>
        <v>3-3-1-0-0</v>
      </c>
      <c r="X127">
        <f t="shared" si="31"/>
        <v>1</v>
      </c>
      <c r="Y127">
        <f t="shared" si="31"/>
        <v>9</v>
      </c>
      <c r="Z127">
        <f t="shared" si="31"/>
        <v>84</v>
      </c>
      <c r="AA127">
        <f t="shared" si="31"/>
        <v>1</v>
      </c>
      <c r="AB127">
        <f t="shared" si="31"/>
        <v>84</v>
      </c>
      <c r="AC127" s="4">
        <f t="shared" si="30"/>
        <v>63504</v>
      </c>
    </row>
    <row r="128" spans="1:29" x14ac:dyDescent="0.25">
      <c r="A128">
        <v>2</v>
      </c>
      <c r="B128">
        <v>0</v>
      </c>
      <c r="C128">
        <v>1</v>
      </c>
      <c r="D128">
        <v>3</v>
      </c>
      <c r="E128">
        <v>3</v>
      </c>
      <c r="F128">
        <v>0</v>
      </c>
      <c r="H128" t="str">
        <f t="shared" si="18"/>
        <v>0-1-3-3-0</v>
      </c>
      <c r="I128">
        <f t="shared" si="22"/>
        <v>2</v>
      </c>
      <c r="J128">
        <f t="shared" si="19"/>
        <v>217</v>
      </c>
      <c r="K128">
        <f t="shared" si="20"/>
        <v>166</v>
      </c>
      <c r="M128">
        <f t="shared" si="23"/>
        <v>6</v>
      </c>
      <c r="N128">
        <f t="shared" si="24"/>
        <v>4</v>
      </c>
      <c r="P128">
        <f t="shared" si="25"/>
        <v>3</v>
      </c>
      <c r="Q128">
        <f t="shared" si="26"/>
        <v>3</v>
      </c>
      <c r="R128">
        <f t="shared" si="27"/>
        <v>1</v>
      </c>
      <c r="S128">
        <f t="shared" si="28"/>
        <v>0</v>
      </c>
      <c r="T128">
        <f t="shared" si="29"/>
        <v>0</v>
      </c>
      <c r="V128" t="str">
        <f t="shared" si="21"/>
        <v>3-3-1-0-0</v>
      </c>
      <c r="X128">
        <f t="shared" si="31"/>
        <v>1</v>
      </c>
      <c r="Y128">
        <f t="shared" si="31"/>
        <v>9</v>
      </c>
      <c r="Z128">
        <f t="shared" si="31"/>
        <v>84</v>
      </c>
      <c r="AA128">
        <f t="shared" si="31"/>
        <v>84</v>
      </c>
      <c r="AB128">
        <f t="shared" si="31"/>
        <v>1</v>
      </c>
      <c r="AC128" s="4">
        <f t="shared" si="30"/>
        <v>63504</v>
      </c>
    </row>
    <row r="129" spans="1:29" x14ac:dyDescent="0.25">
      <c r="A129">
        <v>0</v>
      </c>
      <c r="B129">
        <v>0</v>
      </c>
      <c r="C129">
        <v>3</v>
      </c>
      <c r="D129">
        <v>0</v>
      </c>
      <c r="E129">
        <v>1</v>
      </c>
      <c r="F129">
        <v>3</v>
      </c>
      <c r="H129" t="str">
        <f t="shared" si="18"/>
        <v>0-3-0-1-3</v>
      </c>
      <c r="I129">
        <f t="shared" si="22"/>
        <v>0</v>
      </c>
      <c r="J129">
        <f t="shared" si="19"/>
        <v>237</v>
      </c>
      <c r="K129">
        <f t="shared" si="20"/>
        <v>186</v>
      </c>
      <c r="M129">
        <f t="shared" si="23"/>
        <v>4</v>
      </c>
      <c r="N129">
        <f t="shared" si="24"/>
        <v>3</v>
      </c>
      <c r="P129">
        <f t="shared" si="25"/>
        <v>3</v>
      </c>
      <c r="Q129">
        <f t="shared" si="26"/>
        <v>3</v>
      </c>
      <c r="R129">
        <f t="shared" si="27"/>
        <v>1</v>
      </c>
      <c r="S129">
        <f t="shared" si="28"/>
        <v>0</v>
      </c>
      <c r="T129">
        <f t="shared" si="29"/>
        <v>0</v>
      </c>
      <c r="V129" t="str">
        <f t="shared" si="21"/>
        <v>3-3-1-0-0</v>
      </c>
      <c r="X129">
        <f t="shared" si="31"/>
        <v>1</v>
      </c>
      <c r="Y129">
        <f t="shared" si="31"/>
        <v>84</v>
      </c>
      <c r="Z129">
        <f t="shared" si="31"/>
        <v>1</v>
      </c>
      <c r="AA129">
        <f t="shared" si="31"/>
        <v>9</v>
      </c>
      <c r="AB129">
        <f t="shared" si="31"/>
        <v>84</v>
      </c>
      <c r="AC129" s="4">
        <f t="shared" si="30"/>
        <v>63504</v>
      </c>
    </row>
    <row r="130" spans="1:29" x14ac:dyDescent="0.25">
      <c r="A130">
        <v>0</v>
      </c>
      <c r="B130">
        <v>0</v>
      </c>
      <c r="C130">
        <v>3</v>
      </c>
      <c r="D130">
        <v>0</v>
      </c>
      <c r="E130">
        <v>3</v>
      </c>
      <c r="F130">
        <v>1</v>
      </c>
      <c r="H130" t="str">
        <f t="shared" si="18"/>
        <v>0-3-0-3-1</v>
      </c>
      <c r="I130">
        <f t="shared" si="22"/>
        <v>0</v>
      </c>
      <c r="J130">
        <f t="shared" si="19"/>
        <v>217</v>
      </c>
      <c r="K130">
        <f t="shared" si="20"/>
        <v>166</v>
      </c>
      <c r="M130">
        <f t="shared" si="23"/>
        <v>4</v>
      </c>
      <c r="N130">
        <f t="shared" si="24"/>
        <v>3</v>
      </c>
      <c r="P130">
        <f t="shared" si="25"/>
        <v>3</v>
      </c>
      <c r="Q130">
        <f t="shared" si="26"/>
        <v>3</v>
      </c>
      <c r="R130">
        <f t="shared" si="27"/>
        <v>1</v>
      </c>
      <c r="S130">
        <f t="shared" si="28"/>
        <v>0</v>
      </c>
      <c r="T130">
        <f t="shared" si="29"/>
        <v>0</v>
      </c>
      <c r="V130" t="str">
        <f t="shared" si="21"/>
        <v>3-3-1-0-0</v>
      </c>
      <c r="X130">
        <f t="shared" si="31"/>
        <v>1</v>
      </c>
      <c r="Y130">
        <f t="shared" si="31"/>
        <v>84</v>
      </c>
      <c r="Z130">
        <f t="shared" si="31"/>
        <v>1</v>
      </c>
      <c r="AA130">
        <f t="shared" si="31"/>
        <v>84</v>
      </c>
      <c r="AB130">
        <f t="shared" si="31"/>
        <v>9</v>
      </c>
      <c r="AC130" s="4">
        <f t="shared" si="30"/>
        <v>63504</v>
      </c>
    </row>
    <row r="131" spans="1:29" x14ac:dyDescent="0.25">
      <c r="A131">
        <v>0</v>
      </c>
      <c r="B131">
        <v>0</v>
      </c>
      <c r="C131">
        <v>3</v>
      </c>
      <c r="D131">
        <v>1</v>
      </c>
      <c r="E131">
        <v>0</v>
      </c>
      <c r="F131">
        <v>3</v>
      </c>
      <c r="H131" t="str">
        <f t="shared" ref="H131:H194" si="32">CONCATENATE(B131,"-",C131,"-",D131,"-",E131,"-",F131)</f>
        <v>0-3-1-0-3</v>
      </c>
      <c r="I131">
        <f t="shared" si="22"/>
        <v>0</v>
      </c>
      <c r="J131">
        <f t="shared" ref="J131:J194" si="33">((9*B131)-((B131-1)*(B131))/2)+((19*C131)-((C131-1)*(C131))/2)+((29*D131)-((D131-1)*(D131))/2)+((39*E131)-((E131-1)*(E131))/2)+((49*F131)-((F131-1)*(F131))/2)</f>
        <v>227</v>
      </c>
      <c r="K131">
        <f t="shared" ref="K131:K194" si="34">((1*B131)+((B131-1)*(B131))/2)+((10*C131)+((C131-1)*(C131))/2)+((20*D131)+((D131-1)*(D131))/2)+((30*E131)+((E131-1)*(E131))/2)+((40*F131)+((F131-1)*(F131))/2)</f>
        <v>176</v>
      </c>
      <c r="M131">
        <f t="shared" si="23"/>
        <v>4</v>
      </c>
      <c r="N131">
        <f t="shared" si="24"/>
        <v>4</v>
      </c>
      <c r="P131">
        <f t="shared" si="25"/>
        <v>3</v>
      </c>
      <c r="Q131">
        <f t="shared" si="26"/>
        <v>3</v>
      </c>
      <c r="R131">
        <f t="shared" si="27"/>
        <v>1</v>
      </c>
      <c r="S131">
        <f t="shared" si="28"/>
        <v>0</v>
      </c>
      <c r="T131">
        <f t="shared" si="29"/>
        <v>0</v>
      </c>
      <c r="V131" t="str">
        <f t="shared" ref="V131:V194" si="35">CONCATENATE(P131,"-",Q131,"-",R131,"-",S131,"-",T131)</f>
        <v>3-3-1-0-0</v>
      </c>
      <c r="X131">
        <f t="shared" si="31"/>
        <v>1</v>
      </c>
      <c r="Y131">
        <f t="shared" si="31"/>
        <v>84</v>
      </c>
      <c r="Z131">
        <f t="shared" si="31"/>
        <v>9</v>
      </c>
      <c r="AA131">
        <f t="shared" si="31"/>
        <v>1</v>
      </c>
      <c r="AB131">
        <f t="shared" si="31"/>
        <v>84</v>
      </c>
      <c r="AC131" s="4">
        <f t="shared" si="30"/>
        <v>63504</v>
      </c>
    </row>
    <row r="132" spans="1:29" x14ac:dyDescent="0.25">
      <c r="A132">
        <v>0</v>
      </c>
      <c r="B132">
        <v>0</v>
      </c>
      <c r="C132">
        <v>3</v>
      </c>
      <c r="D132">
        <v>1</v>
      </c>
      <c r="E132">
        <v>3</v>
      </c>
      <c r="F132">
        <v>0</v>
      </c>
      <c r="H132" t="str">
        <f t="shared" si="32"/>
        <v>0-3-1-3-0</v>
      </c>
      <c r="I132">
        <f t="shared" ref="I132:I195" si="36">A132</f>
        <v>0</v>
      </c>
      <c r="J132">
        <f t="shared" si="33"/>
        <v>197</v>
      </c>
      <c r="K132">
        <f t="shared" si="34"/>
        <v>146</v>
      </c>
      <c r="M132">
        <f t="shared" ref="M132:M195" si="37">D132+E132+F132</f>
        <v>4</v>
      </c>
      <c r="N132">
        <f t="shared" ref="N132:N195" si="38">B132+C132+D132</f>
        <v>4</v>
      </c>
      <c r="P132">
        <f t="shared" ref="P132:P195" si="39">LARGE($B132:$F132,1)</f>
        <v>3</v>
      </c>
      <c r="Q132">
        <f t="shared" ref="Q132:Q195" si="40">LARGE($B132:$F132,2)</f>
        <v>3</v>
      </c>
      <c r="R132">
        <f t="shared" ref="R132:R195" si="41">LARGE($B132:$F132,3)</f>
        <v>1</v>
      </c>
      <c r="S132">
        <f t="shared" ref="S132:S195" si="42">LARGE($B132:$F132,4)</f>
        <v>0</v>
      </c>
      <c r="T132">
        <f t="shared" ref="T132:T195" si="43">LARGE($B132:$F132,5)</f>
        <v>0</v>
      </c>
      <c r="V132" t="str">
        <f t="shared" si="35"/>
        <v>3-3-1-0-0</v>
      </c>
      <c r="X132">
        <f t="shared" si="31"/>
        <v>1</v>
      </c>
      <c r="Y132">
        <f t="shared" si="31"/>
        <v>84</v>
      </c>
      <c r="Z132">
        <f t="shared" si="31"/>
        <v>9</v>
      </c>
      <c r="AA132">
        <f t="shared" si="31"/>
        <v>84</v>
      </c>
      <c r="AB132">
        <f t="shared" si="31"/>
        <v>1</v>
      </c>
      <c r="AC132" s="4">
        <f t="shared" ref="AC132:AC195" si="44">X132*Y132*Z132*AA132*AB132</f>
        <v>63504</v>
      </c>
    </row>
    <row r="133" spans="1:29" x14ac:dyDescent="0.25">
      <c r="A133">
        <v>1</v>
      </c>
      <c r="B133">
        <v>0</v>
      </c>
      <c r="C133">
        <v>3</v>
      </c>
      <c r="D133">
        <v>3</v>
      </c>
      <c r="E133">
        <v>0</v>
      </c>
      <c r="F133">
        <v>1</v>
      </c>
      <c r="H133" t="str">
        <f t="shared" si="32"/>
        <v>0-3-3-0-1</v>
      </c>
      <c r="I133">
        <f t="shared" si="36"/>
        <v>1</v>
      </c>
      <c r="J133">
        <f t="shared" si="33"/>
        <v>187</v>
      </c>
      <c r="K133">
        <f t="shared" si="34"/>
        <v>136</v>
      </c>
      <c r="M133">
        <f t="shared" si="37"/>
        <v>4</v>
      </c>
      <c r="N133">
        <f t="shared" si="38"/>
        <v>6</v>
      </c>
      <c r="P133">
        <f t="shared" si="39"/>
        <v>3</v>
      </c>
      <c r="Q133">
        <f t="shared" si="40"/>
        <v>3</v>
      </c>
      <c r="R133">
        <f t="shared" si="41"/>
        <v>1</v>
      </c>
      <c r="S133">
        <f t="shared" si="42"/>
        <v>0</v>
      </c>
      <c r="T133">
        <f t="shared" si="43"/>
        <v>0</v>
      </c>
      <c r="V133" t="str">
        <f t="shared" si="35"/>
        <v>3-3-1-0-0</v>
      </c>
      <c r="X133">
        <f t="shared" si="31"/>
        <v>1</v>
      </c>
      <c r="Y133">
        <f t="shared" si="31"/>
        <v>84</v>
      </c>
      <c r="Z133">
        <f t="shared" si="31"/>
        <v>84</v>
      </c>
      <c r="AA133">
        <f t="shared" si="31"/>
        <v>1</v>
      </c>
      <c r="AB133">
        <f t="shared" si="31"/>
        <v>9</v>
      </c>
      <c r="AC133" s="4">
        <f t="shared" si="44"/>
        <v>63504</v>
      </c>
    </row>
    <row r="134" spans="1:29" x14ac:dyDescent="0.25">
      <c r="A134">
        <v>0</v>
      </c>
      <c r="B134">
        <v>0</v>
      </c>
      <c r="C134">
        <v>3</v>
      </c>
      <c r="D134">
        <v>3</v>
      </c>
      <c r="E134">
        <v>1</v>
      </c>
      <c r="F134">
        <v>0</v>
      </c>
      <c r="H134" t="str">
        <f t="shared" si="32"/>
        <v>0-3-3-1-0</v>
      </c>
      <c r="I134">
        <f t="shared" si="36"/>
        <v>0</v>
      </c>
      <c r="J134">
        <f t="shared" si="33"/>
        <v>177</v>
      </c>
      <c r="K134">
        <f t="shared" si="34"/>
        <v>126</v>
      </c>
      <c r="M134">
        <f t="shared" si="37"/>
        <v>4</v>
      </c>
      <c r="N134">
        <f t="shared" si="38"/>
        <v>6</v>
      </c>
      <c r="P134">
        <f t="shared" si="39"/>
        <v>3</v>
      </c>
      <c r="Q134">
        <f t="shared" si="40"/>
        <v>3</v>
      </c>
      <c r="R134">
        <f t="shared" si="41"/>
        <v>1</v>
      </c>
      <c r="S134">
        <f t="shared" si="42"/>
        <v>0</v>
      </c>
      <c r="T134">
        <f t="shared" si="43"/>
        <v>0</v>
      </c>
      <c r="V134" t="str">
        <f t="shared" si="35"/>
        <v>3-3-1-0-0</v>
      </c>
      <c r="X134">
        <f t="shared" si="31"/>
        <v>1</v>
      </c>
      <c r="Y134">
        <f t="shared" si="31"/>
        <v>84</v>
      </c>
      <c r="Z134">
        <f t="shared" si="31"/>
        <v>84</v>
      </c>
      <c r="AA134">
        <f t="shared" si="31"/>
        <v>9</v>
      </c>
      <c r="AB134">
        <f t="shared" si="31"/>
        <v>1</v>
      </c>
      <c r="AC134" s="4">
        <f t="shared" si="44"/>
        <v>63504</v>
      </c>
    </row>
    <row r="135" spans="1:29" x14ac:dyDescent="0.25">
      <c r="A135">
        <v>1</v>
      </c>
      <c r="B135">
        <v>1</v>
      </c>
      <c r="C135">
        <v>0</v>
      </c>
      <c r="D135">
        <v>0</v>
      </c>
      <c r="E135">
        <v>3</v>
      </c>
      <c r="F135">
        <v>3</v>
      </c>
      <c r="H135" t="str">
        <f t="shared" si="32"/>
        <v>1-0-0-3-3</v>
      </c>
      <c r="I135">
        <f t="shared" si="36"/>
        <v>1</v>
      </c>
      <c r="J135">
        <f t="shared" si="33"/>
        <v>267</v>
      </c>
      <c r="K135">
        <f t="shared" si="34"/>
        <v>217</v>
      </c>
      <c r="M135">
        <f t="shared" si="37"/>
        <v>6</v>
      </c>
      <c r="N135">
        <f t="shared" si="38"/>
        <v>1</v>
      </c>
      <c r="P135">
        <f t="shared" si="39"/>
        <v>3</v>
      </c>
      <c r="Q135">
        <f t="shared" si="40"/>
        <v>3</v>
      </c>
      <c r="R135">
        <f t="shared" si="41"/>
        <v>1</v>
      </c>
      <c r="S135">
        <f t="shared" si="42"/>
        <v>0</v>
      </c>
      <c r="T135">
        <f t="shared" si="43"/>
        <v>0</v>
      </c>
      <c r="V135" t="str">
        <f t="shared" si="35"/>
        <v>3-3-1-0-0</v>
      </c>
      <c r="X135">
        <f t="shared" si="31"/>
        <v>9</v>
      </c>
      <c r="Y135">
        <f t="shared" si="31"/>
        <v>1</v>
      </c>
      <c r="Z135">
        <f t="shared" si="31"/>
        <v>1</v>
      </c>
      <c r="AA135">
        <f t="shared" si="31"/>
        <v>84</v>
      </c>
      <c r="AB135">
        <f t="shared" si="31"/>
        <v>84</v>
      </c>
      <c r="AC135" s="4">
        <f t="shared" si="44"/>
        <v>63504</v>
      </c>
    </row>
    <row r="136" spans="1:29" x14ac:dyDescent="0.25">
      <c r="A136">
        <v>1</v>
      </c>
      <c r="B136">
        <v>1</v>
      </c>
      <c r="C136">
        <v>0</v>
      </c>
      <c r="D136">
        <v>3</v>
      </c>
      <c r="E136">
        <v>0</v>
      </c>
      <c r="F136">
        <v>3</v>
      </c>
      <c r="H136" t="str">
        <f t="shared" si="32"/>
        <v>1-0-3-0-3</v>
      </c>
      <c r="I136">
        <f t="shared" si="36"/>
        <v>1</v>
      </c>
      <c r="J136">
        <f t="shared" si="33"/>
        <v>237</v>
      </c>
      <c r="K136">
        <f t="shared" si="34"/>
        <v>187</v>
      </c>
      <c r="M136">
        <f t="shared" si="37"/>
        <v>6</v>
      </c>
      <c r="N136">
        <f t="shared" si="38"/>
        <v>4</v>
      </c>
      <c r="P136">
        <f t="shared" si="39"/>
        <v>3</v>
      </c>
      <c r="Q136">
        <f t="shared" si="40"/>
        <v>3</v>
      </c>
      <c r="R136">
        <f t="shared" si="41"/>
        <v>1</v>
      </c>
      <c r="S136">
        <f t="shared" si="42"/>
        <v>0</v>
      </c>
      <c r="T136">
        <f t="shared" si="43"/>
        <v>0</v>
      </c>
      <c r="V136" t="str">
        <f t="shared" si="35"/>
        <v>3-3-1-0-0</v>
      </c>
      <c r="X136">
        <f t="shared" si="31"/>
        <v>9</v>
      </c>
      <c r="Y136">
        <f t="shared" si="31"/>
        <v>1</v>
      </c>
      <c r="Z136">
        <f t="shared" si="31"/>
        <v>84</v>
      </c>
      <c r="AA136">
        <f t="shared" si="31"/>
        <v>1</v>
      </c>
      <c r="AB136">
        <f t="shared" si="31"/>
        <v>84</v>
      </c>
      <c r="AC136" s="4">
        <f t="shared" si="44"/>
        <v>63504</v>
      </c>
    </row>
    <row r="137" spans="1:29" x14ac:dyDescent="0.25">
      <c r="A137">
        <v>1</v>
      </c>
      <c r="B137">
        <v>1</v>
      </c>
      <c r="C137">
        <v>0</v>
      </c>
      <c r="D137">
        <v>3</v>
      </c>
      <c r="E137">
        <v>3</v>
      </c>
      <c r="F137">
        <v>0</v>
      </c>
      <c r="H137" t="str">
        <f t="shared" si="32"/>
        <v>1-0-3-3-0</v>
      </c>
      <c r="I137">
        <f t="shared" si="36"/>
        <v>1</v>
      </c>
      <c r="J137">
        <f t="shared" si="33"/>
        <v>207</v>
      </c>
      <c r="K137">
        <f t="shared" si="34"/>
        <v>157</v>
      </c>
      <c r="M137">
        <f t="shared" si="37"/>
        <v>6</v>
      </c>
      <c r="N137">
        <f t="shared" si="38"/>
        <v>4</v>
      </c>
      <c r="P137">
        <f t="shared" si="39"/>
        <v>3</v>
      </c>
      <c r="Q137">
        <f t="shared" si="40"/>
        <v>3</v>
      </c>
      <c r="R137">
        <f t="shared" si="41"/>
        <v>1</v>
      </c>
      <c r="S137">
        <f t="shared" si="42"/>
        <v>0</v>
      </c>
      <c r="T137">
        <f t="shared" si="43"/>
        <v>0</v>
      </c>
      <c r="V137" t="str">
        <f t="shared" si="35"/>
        <v>3-3-1-0-0</v>
      </c>
      <c r="X137">
        <f t="shared" si="31"/>
        <v>9</v>
      </c>
      <c r="Y137">
        <f t="shared" si="31"/>
        <v>1</v>
      </c>
      <c r="Z137">
        <f t="shared" si="31"/>
        <v>84</v>
      </c>
      <c r="AA137">
        <f t="shared" si="31"/>
        <v>84</v>
      </c>
      <c r="AB137">
        <f t="shared" si="31"/>
        <v>1</v>
      </c>
      <c r="AC137" s="4">
        <f t="shared" si="44"/>
        <v>63504</v>
      </c>
    </row>
    <row r="138" spans="1:29" x14ac:dyDescent="0.25">
      <c r="A138">
        <v>2</v>
      </c>
      <c r="B138">
        <v>1</v>
      </c>
      <c r="C138">
        <v>3</v>
      </c>
      <c r="D138">
        <v>0</v>
      </c>
      <c r="E138">
        <v>0</v>
      </c>
      <c r="F138">
        <v>3</v>
      </c>
      <c r="H138" t="str">
        <f t="shared" si="32"/>
        <v>1-3-0-0-3</v>
      </c>
      <c r="I138">
        <f t="shared" si="36"/>
        <v>2</v>
      </c>
      <c r="J138">
        <f t="shared" si="33"/>
        <v>207</v>
      </c>
      <c r="K138">
        <f t="shared" si="34"/>
        <v>157</v>
      </c>
      <c r="M138">
        <f t="shared" si="37"/>
        <v>3</v>
      </c>
      <c r="N138">
        <f t="shared" si="38"/>
        <v>4</v>
      </c>
      <c r="P138">
        <f t="shared" si="39"/>
        <v>3</v>
      </c>
      <c r="Q138">
        <f t="shared" si="40"/>
        <v>3</v>
      </c>
      <c r="R138">
        <f t="shared" si="41"/>
        <v>1</v>
      </c>
      <c r="S138">
        <f t="shared" si="42"/>
        <v>0</v>
      </c>
      <c r="T138">
        <f t="shared" si="43"/>
        <v>0</v>
      </c>
      <c r="V138" t="str">
        <f t="shared" si="35"/>
        <v>3-3-1-0-0</v>
      </c>
      <c r="X138">
        <f t="shared" si="31"/>
        <v>9</v>
      </c>
      <c r="Y138">
        <f t="shared" si="31"/>
        <v>84</v>
      </c>
      <c r="Z138">
        <f t="shared" si="31"/>
        <v>1</v>
      </c>
      <c r="AA138">
        <f t="shared" si="31"/>
        <v>1</v>
      </c>
      <c r="AB138">
        <f t="shared" si="31"/>
        <v>84</v>
      </c>
      <c r="AC138" s="4">
        <f t="shared" si="44"/>
        <v>63504</v>
      </c>
    </row>
    <row r="139" spans="1:29" x14ac:dyDescent="0.25">
      <c r="A139">
        <v>0</v>
      </c>
      <c r="B139">
        <v>1</v>
      </c>
      <c r="C139">
        <v>3</v>
      </c>
      <c r="D139">
        <v>0</v>
      </c>
      <c r="E139">
        <v>3</v>
      </c>
      <c r="F139">
        <v>0</v>
      </c>
      <c r="H139" t="str">
        <f t="shared" si="32"/>
        <v>1-3-0-3-0</v>
      </c>
      <c r="I139">
        <f t="shared" si="36"/>
        <v>0</v>
      </c>
      <c r="J139">
        <f t="shared" si="33"/>
        <v>177</v>
      </c>
      <c r="K139">
        <f t="shared" si="34"/>
        <v>127</v>
      </c>
      <c r="M139">
        <f t="shared" si="37"/>
        <v>3</v>
      </c>
      <c r="N139">
        <f t="shared" si="38"/>
        <v>4</v>
      </c>
      <c r="P139">
        <f t="shared" si="39"/>
        <v>3</v>
      </c>
      <c r="Q139">
        <f t="shared" si="40"/>
        <v>3</v>
      </c>
      <c r="R139">
        <f t="shared" si="41"/>
        <v>1</v>
      </c>
      <c r="S139">
        <f t="shared" si="42"/>
        <v>0</v>
      </c>
      <c r="T139">
        <f t="shared" si="43"/>
        <v>0</v>
      </c>
      <c r="V139" t="str">
        <f t="shared" si="35"/>
        <v>3-3-1-0-0</v>
      </c>
      <c r="X139">
        <f t="shared" si="31"/>
        <v>9</v>
      </c>
      <c r="Y139">
        <f t="shared" si="31"/>
        <v>84</v>
      </c>
      <c r="Z139">
        <f t="shared" si="31"/>
        <v>1</v>
      </c>
      <c r="AA139">
        <f t="shared" si="31"/>
        <v>84</v>
      </c>
      <c r="AB139">
        <f t="shared" si="31"/>
        <v>1</v>
      </c>
      <c r="AC139" s="4">
        <f t="shared" si="44"/>
        <v>63504</v>
      </c>
    </row>
    <row r="140" spans="1:29" x14ac:dyDescent="0.25">
      <c r="A140">
        <v>0</v>
      </c>
      <c r="B140">
        <v>1</v>
      </c>
      <c r="C140">
        <v>3</v>
      </c>
      <c r="D140">
        <v>3</v>
      </c>
      <c r="E140">
        <v>0</v>
      </c>
      <c r="F140">
        <v>0</v>
      </c>
      <c r="H140" t="str">
        <f t="shared" si="32"/>
        <v>1-3-3-0-0</v>
      </c>
      <c r="I140">
        <f t="shared" si="36"/>
        <v>0</v>
      </c>
      <c r="J140">
        <f t="shared" si="33"/>
        <v>147</v>
      </c>
      <c r="K140">
        <f t="shared" si="34"/>
        <v>97</v>
      </c>
      <c r="M140">
        <f t="shared" si="37"/>
        <v>3</v>
      </c>
      <c r="N140">
        <f t="shared" si="38"/>
        <v>7</v>
      </c>
      <c r="P140">
        <f t="shared" si="39"/>
        <v>3</v>
      </c>
      <c r="Q140">
        <f t="shared" si="40"/>
        <v>3</v>
      </c>
      <c r="R140">
        <f t="shared" si="41"/>
        <v>1</v>
      </c>
      <c r="S140">
        <f t="shared" si="42"/>
        <v>0</v>
      </c>
      <c r="T140">
        <f t="shared" si="43"/>
        <v>0</v>
      </c>
      <c r="V140" t="str">
        <f t="shared" si="35"/>
        <v>3-3-1-0-0</v>
      </c>
      <c r="X140">
        <f t="shared" si="31"/>
        <v>9</v>
      </c>
      <c r="Y140">
        <f t="shared" si="31"/>
        <v>84</v>
      </c>
      <c r="Z140">
        <f t="shared" si="31"/>
        <v>84</v>
      </c>
      <c r="AA140">
        <f t="shared" si="31"/>
        <v>1</v>
      </c>
      <c r="AB140">
        <f t="shared" si="31"/>
        <v>1</v>
      </c>
      <c r="AC140" s="4">
        <f t="shared" si="44"/>
        <v>63504</v>
      </c>
    </row>
    <row r="141" spans="1:29" x14ac:dyDescent="0.25">
      <c r="A141">
        <v>0</v>
      </c>
      <c r="B141">
        <v>3</v>
      </c>
      <c r="C141">
        <v>0</v>
      </c>
      <c r="D141">
        <v>0</v>
      </c>
      <c r="E141">
        <v>1</v>
      </c>
      <c r="F141">
        <v>3</v>
      </c>
      <c r="H141" t="str">
        <f t="shared" si="32"/>
        <v>3-0-0-1-3</v>
      </c>
      <c r="I141">
        <f t="shared" si="36"/>
        <v>0</v>
      </c>
      <c r="J141">
        <f t="shared" si="33"/>
        <v>207</v>
      </c>
      <c r="K141">
        <f t="shared" si="34"/>
        <v>159</v>
      </c>
      <c r="M141">
        <f t="shared" si="37"/>
        <v>4</v>
      </c>
      <c r="N141">
        <f t="shared" si="38"/>
        <v>3</v>
      </c>
      <c r="P141">
        <f t="shared" si="39"/>
        <v>3</v>
      </c>
      <c r="Q141">
        <f t="shared" si="40"/>
        <v>3</v>
      </c>
      <c r="R141">
        <f t="shared" si="41"/>
        <v>1</v>
      </c>
      <c r="S141">
        <f t="shared" si="42"/>
        <v>0</v>
      </c>
      <c r="T141">
        <f t="shared" si="43"/>
        <v>0</v>
      </c>
      <c r="V141" t="str">
        <f t="shared" si="35"/>
        <v>3-3-1-0-0</v>
      </c>
      <c r="X141">
        <f t="shared" si="31"/>
        <v>84</v>
      </c>
      <c r="Y141">
        <f t="shared" si="31"/>
        <v>1</v>
      </c>
      <c r="Z141">
        <f t="shared" si="31"/>
        <v>1</v>
      </c>
      <c r="AA141">
        <f t="shared" si="31"/>
        <v>9</v>
      </c>
      <c r="AB141">
        <f t="shared" si="31"/>
        <v>84</v>
      </c>
      <c r="AC141" s="4">
        <f t="shared" si="44"/>
        <v>63504</v>
      </c>
    </row>
    <row r="142" spans="1:29" x14ac:dyDescent="0.25">
      <c r="A142">
        <v>0</v>
      </c>
      <c r="B142">
        <v>3</v>
      </c>
      <c r="C142">
        <v>0</v>
      </c>
      <c r="D142">
        <v>0</v>
      </c>
      <c r="E142">
        <v>3</v>
      </c>
      <c r="F142">
        <v>1</v>
      </c>
      <c r="H142" t="str">
        <f t="shared" si="32"/>
        <v>3-0-0-3-1</v>
      </c>
      <c r="I142">
        <f t="shared" si="36"/>
        <v>0</v>
      </c>
      <c r="J142">
        <f t="shared" si="33"/>
        <v>187</v>
      </c>
      <c r="K142">
        <f t="shared" si="34"/>
        <v>139</v>
      </c>
      <c r="M142">
        <f t="shared" si="37"/>
        <v>4</v>
      </c>
      <c r="N142">
        <f t="shared" si="38"/>
        <v>3</v>
      </c>
      <c r="P142">
        <f t="shared" si="39"/>
        <v>3</v>
      </c>
      <c r="Q142">
        <f t="shared" si="40"/>
        <v>3</v>
      </c>
      <c r="R142">
        <f t="shared" si="41"/>
        <v>1</v>
      </c>
      <c r="S142">
        <f t="shared" si="42"/>
        <v>0</v>
      </c>
      <c r="T142">
        <f t="shared" si="43"/>
        <v>0</v>
      </c>
      <c r="V142" t="str">
        <f t="shared" si="35"/>
        <v>3-3-1-0-0</v>
      </c>
      <c r="X142">
        <f t="shared" si="31"/>
        <v>84</v>
      </c>
      <c r="Y142">
        <f t="shared" si="31"/>
        <v>1</v>
      </c>
      <c r="Z142">
        <f t="shared" si="31"/>
        <v>1</v>
      </c>
      <c r="AA142">
        <f t="shared" si="31"/>
        <v>84</v>
      </c>
      <c r="AB142">
        <f t="shared" si="31"/>
        <v>9</v>
      </c>
      <c r="AC142" s="4">
        <f t="shared" si="44"/>
        <v>63504</v>
      </c>
    </row>
    <row r="143" spans="1:29" x14ac:dyDescent="0.25">
      <c r="A143">
        <v>0</v>
      </c>
      <c r="B143">
        <v>3</v>
      </c>
      <c r="C143">
        <v>0</v>
      </c>
      <c r="D143">
        <v>1</v>
      </c>
      <c r="E143">
        <v>0</v>
      </c>
      <c r="F143">
        <v>3</v>
      </c>
      <c r="H143" t="str">
        <f t="shared" si="32"/>
        <v>3-0-1-0-3</v>
      </c>
      <c r="I143">
        <f t="shared" si="36"/>
        <v>0</v>
      </c>
      <c r="J143">
        <f t="shared" si="33"/>
        <v>197</v>
      </c>
      <c r="K143">
        <f t="shared" si="34"/>
        <v>149</v>
      </c>
      <c r="M143">
        <f t="shared" si="37"/>
        <v>4</v>
      </c>
      <c r="N143">
        <f t="shared" si="38"/>
        <v>4</v>
      </c>
      <c r="P143">
        <f t="shared" si="39"/>
        <v>3</v>
      </c>
      <c r="Q143">
        <f t="shared" si="40"/>
        <v>3</v>
      </c>
      <c r="R143">
        <f t="shared" si="41"/>
        <v>1</v>
      </c>
      <c r="S143">
        <f t="shared" si="42"/>
        <v>0</v>
      </c>
      <c r="T143">
        <f t="shared" si="43"/>
        <v>0</v>
      </c>
      <c r="V143" t="str">
        <f t="shared" si="35"/>
        <v>3-3-1-0-0</v>
      </c>
      <c r="X143">
        <f t="shared" si="31"/>
        <v>84</v>
      </c>
      <c r="Y143">
        <f t="shared" si="31"/>
        <v>1</v>
      </c>
      <c r="Z143">
        <f t="shared" si="31"/>
        <v>9</v>
      </c>
      <c r="AA143">
        <f t="shared" si="31"/>
        <v>1</v>
      </c>
      <c r="AB143">
        <f t="shared" si="31"/>
        <v>84</v>
      </c>
      <c r="AC143" s="4">
        <f t="shared" si="44"/>
        <v>63504</v>
      </c>
    </row>
    <row r="144" spans="1:29" x14ac:dyDescent="0.25">
      <c r="A144">
        <v>0</v>
      </c>
      <c r="B144">
        <v>3</v>
      </c>
      <c r="C144">
        <v>0</v>
      </c>
      <c r="D144">
        <v>1</v>
      </c>
      <c r="E144">
        <v>3</v>
      </c>
      <c r="F144">
        <v>0</v>
      </c>
      <c r="H144" t="str">
        <f t="shared" si="32"/>
        <v>3-0-1-3-0</v>
      </c>
      <c r="I144">
        <f t="shared" si="36"/>
        <v>0</v>
      </c>
      <c r="J144">
        <f t="shared" si="33"/>
        <v>167</v>
      </c>
      <c r="K144">
        <f t="shared" si="34"/>
        <v>119</v>
      </c>
      <c r="M144">
        <f t="shared" si="37"/>
        <v>4</v>
      </c>
      <c r="N144">
        <f t="shared" si="38"/>
        <v>4</v>
      </c>
      <c r="P144">
        <f t="shared" si="39"/>
        <v>3</v>
      </c>
      <c r="Q144">
        <f t="shared" si="40"/>
        <v>3</v>
      </c>
      <c r="R144">
        <f t="shared" si="41"/>
        <v>1</v>
      </c>
      <c r="S144">
        <f t="shared" si="42"/>
        <v>0</v>
      </c>
      <c r="T144">
        <f t="shared" si="43"/>
        <v>0</v>
      </c>
      <c r="V144" t="str">
        <f t="shared" si="35"/>
        <v>3-3-1-0-0</v>
      </c>
      <c r="X144">
        <f t="shared" si="31"/>
        <v>84</v>
      </c>
      <c r="Y144">
        <f t="shared" si="31"/>
        <v>1</v>
      </c>
      <c r="Z144">
        <f t="shared" si="31"/>
        <v>9</v>
      </c>
      <c r="AA144">
        <f t="shared" si="31"/>
        <v>84</v>
      </c>
      <c r="AB144">
        <f t="shared" si="31"/>
        <v>1</v>
      </c>
      <c r="AC144" s="4">
        <f t="shared" si="44"/>
        <v>63504</v>
      </c>
    </row>
    <row r="145" spans="1:29" x14ac:dyDescent="0.25">
      <c r="A145">
        <v>0</v>
      </c>
      <c r="B145">
        <v>3</v>
      </c>
      <c r="C145">
        <v>0</v>
      </c>
      <c r="D145">
        <v>3</v>
      </c>
      <c r="E145">
        <v>0</v>
      </c>
      <c r="F145">
        <v>1</v>
      </c>
      <c r="H145" t="str">
        <f t="shared" si="32"/>
        <v>3-0-3-0-1</v>
      </c>
      <c r="I145">
        <f t="shared" si="36"/>
        <v>0</v>
      </c>
      <c r="J145">
        <f t="shared" si="33"/>
        <v>157</v>
      </c>
      <c r="K145">
        <f t="shared" si="34"/>
        <v>109</v>
      </c>
      <c r="M145">
        <f t="shared" si="37"/>
        <v>4</v>
      </c>
      <c r="N145">
        <f t="shared" si="38"/>
        <v>6</v>
      </c>
      <c r="P145">
        <f t="shared" si="39"/>
        <v>3</v>
      </c>
      <c r="Q145">
        <f t="shared" si="40"/>
        <v>3</v>
      </c>
      <c r="R145">
        <f t="shared" si="41"/>
        <v>1</v>
      </c>
      <c r="S145">
        <f t="shared" si="42"/>
        <v>0</v>
      </c>
      <c r="T145">
        <f t="shared" si="43"/>
        <v>0</v>
      </c>
      <c r="V145" t="str">
        <f t="shared" si="35"/>
        <v>3-3-1-0-0</v>
      </c>
      <c r="X145">
        <f t="shared" si="31"/>
        <v>84</v>
      </c>
      <c r="Y145">
        <f t="shared" si="31"/>
        <v>1</v>
      </c>
      <c r="Z145">
        <f t="shared" si="31"/>
        <v>84</v>
      </c>
      <c r="AA145">
        <f t="shared" si="31"/>
        <v>1</v>
      </c>
      <c r="AB145">
        <f t="shared" si="31"/>
        <v>9</v>
      </c>
      <c r="AC145" s="4">
        <f t="shared" si="44"/>
        <v>63504</v>
      </c>
    </row>
    <row r="146" spans="1:29" x14ac:dyDescent="0.25">
      <c r="A146">
        <v>1</v>
      </c>
      <c r="B146">
        <v>3</v>
      </c>
      <c r="C146">
        <v>0</v>
      </c>
      <c r="D146">
        <v>3</v>
      </c>
      <c r="E146">
        <v>1</v>
      </c>
      <c r="F146">
        <v>0</v>
      </c>
      <c r="H146" t="str">
        <f t="shared" si="32"/>
        <v>3-0-3-1-0</v>
      </c>
      <c r="I146">
        <f t="shared" si="36"/>
        <v>1</v>
      </c>
      <c r="J146">
        <f t="shared" si="33"/>
        <v>147</v>
      </c>
      <c r="K146">
        <f t="shared" si="34"/>
        <v>99</v>
      </c>
      <c r="M146">
        <f t="shared" si="37"/>
        <v>4</v>
      </c>
      <c r="N146">
        <f t="shared" si="38"/>
        <v>6</v>
      </c>
      <c r="P146">
        <f t="shared" si="39"/>
        <v>3</v>
      </c>
      <c r="Q146">
        <f t="shared" si="40"/>
        <v>3</v>
      </c>
      <c r="R146">
        <f t="shared" si="41"/>
        <v>1</v>
      </c>
      <c r="S146">
        <f t="shared" si="42"/>
        <v>0</v>
      </c>
      <c r="T146">
        <f t="shared" si="43"/>
        <v>0</v>
      </c>
      <c r="V146" t="str">
        <f t="shared" si="35"/>
        <v>3-3-1-0-0</v>
      </c>
      <c r="X146">
        <f t="shared" si="31"/>
        <v>84</v>
      </c>
      <c r="Y146">
        <f t="shared" si="31"/>
        <v>1</v>
      </c>
      <c r="Z146">
        <f t="shared" si="31"/>
        <v>84</v>
      </c>
      <c r="AA146">
        <f t="shared" si="31"/>
        <v>9</v>
      </c>
      <c r="AB146">
        <f t="shared" si="31"/>
        <v>1</v>
      </c>
      <c r="AC146" s="4">
        <f t="shared" si="44"/>
        <v>63504</v>
      </c>
    </row>
    <row r="147" spans="1:29" x14ac:dyDescent="0.25">
      <c r="A147">
        <v>0</v>
      </c>
      <c r="B147">
        <v>3</v>
      </c>
      <c r="C147">
        <v>1</v>
      </c>
      <c r="D147">
        <v>0</v>
      </c>
      <c r="E147">
        <v>0</v>
      </c>
      <c r="F147">
        <v>3</v>
      </c>
      <c r="H147" t="str">
        <f t="shared" si="32"/>
        <v>3-1-0-0-3</v>
      </c>
      <c r="I147">
        <f t="shared" si="36"/>
        <v>0</v>
      </c>
      <c r="J147">
        <f t="shared" si="33"/>
        <v>187</v>
      </c>
      <c r="K147">
        <f t="shared" si="34"/>
        <v>139</v>
      </c>
      <c r="M147">
        <f t="shared" si="37"/>
        <v>3</v>
      </c>
      <c r="N147">
        <f t="shared" si="38"/>
        <v>4</v>
      </c>
      <c r="P147">
        <f t="shared" si="39"/>
        <v>3</v>
      </c>
      <c r="Q147">
        <f t="shared" si="40"/>
        <v>3</v>
      </c>
      <c r="R147">
        <f t="shared" si="41"/>
        <v>1</v>
      </c>
      <c r="S147">
        <f t="shared" si="42"/>
        <v>0</v>
      </c>
      <c r="T147">
        <f t="shared" si="43"/>
        <v>0</v>
      </c>
      <c r="V147" t="str">
        <f t="shared" si="35"/>
        <v>3-3-1-0-0</v>
      </c>
      <c r="X147">
        <f t="shared" si="31"/>
        <v>84</v>
      </c>
      <c r="Y147">
        <f t="shared" si="31"/>
        <v>9</v>
      </c>
      <c r="Z147">
        <f t="shared" si="31"/>
        <v>1</v>
      </c>
      <c r="AA147">
        <f t="shared" si="31"/>
        <v>1</v>
      </c>
      <c r="AB147">
        <f t="shared" si="31"/>
        <v>84</v>
      </c>
      <c r="AC147" s="4">
        <f t="shared" si="44"/>
        <v>63504</v>
      </c>
    </row>
    <row r="148" spans="1:29" x14ac:dyDescent="0.25">
      <c r="A148">
        <v>0</v>
      </c>
      <c r="B148">
        <v>3</v>
      </c>
      <c r="C148">
        <v>1</v>
      </c>
      <c r="D148">
        <v>0</v>
      </c>
      <c r="E148">
        <v>3</v>
      </c>
      <c r="F148">
        <v>0</v>
      </c>
      <c r="H148" t="str">
        <f t="shared" si="32"/>
        <v>3-1-0-3-0</v>
      </c>
      <c r="I148">
        <f t="shared" si="36"/>
        <v>0</v>
      </c>
      <c r="J148">
        <f t="shared" si="33"/>
        <v>157</v>
      </c>
      <c r="K148">
        <f t="shared" si="34"/>
        <v>109</v>
      </c>
      <c r="M148">
        <f t="shared" si="37"/>
        <v>3</v>
      </c>
      <c r="N148">
        <f t="shared" si="38"/>
        <v>4</v>
      </c>
      <c r="P148">
        <f t="shared" si="39"/>
        <v>3</v>
      </c>
      <c r="Q148">
        <f t="shared" si="40"/>
        <v>3</v>
      </c>
      <c r="R148">
        <f t="shared" si="41"/>
        <v>1</v>
      </c>
      <c r="S148">
        <f t="shared" si="42"/>
        <v>0</v>
      </c>
      <c r="T148">
        <f t="shared" si="43"/>
        <v>0</v>
      </c>
      <c r="V148" t="str">
        <f t="shared" si="35"/>
        <v>3-3-1-0-0</v>
      </c>
      <c r="X148">
        <f t="shared" si="31"/>
        <v>84</v>
      </c>
      <c r="Y148">
        <f t="shared" si="31"/>
        <v>9</v>
      </c>
      <c r="Z148">
        <f t="shared" si="31"/>
        <v>1</v>
      </c>
      <c r="AA148">
        <f t="shared" si="31"/>
        <v>84</v>
      </c>
      <c r="AB148">
        <f t="shared" si="31"/>
        <v>1</v>
      </c>
      <c r="AC148" s="4">
        <f t="shared" si="44"/>
        <v>63504</v>
      </c>
    </row>
    <row r="149" spans="1:29" x14ac:dyDescent="0.25">
      <c r="A149">
        <v>1</v>
      </c>
      <c r="B149">
        <v>3</v>
      </c>
      <c r="C149">
        <v>1</v>
      </c>
      <c r="D149">
        <v>3</v>
      </c>
      <c r="E149">
        <v>0</v>
      </c>
      <c r="F149">
        <v>0</v>
      </c>
      <c r="H149" t="str">
        <f t="shared" si="32"/>
        <v>3-1-3-0-0</v>
      </c>
      <c r="I149">
        <f t="shared" si="36"/>
        <v>1</v>
      </c>
      <c r="J149">
        <f t="shared" si="33"/>
        <v>127</v>
      </c>
      <c r="K149">
        <f t="shared" si="34"/>
        <v>79</v>
      </c>
      <c r="M149">
        <f t="shared" si="37"/>
        <v>3</v>
      </c>
      <c r="N149">
        <f t="shared" si="38"/>
        <v>7</v>
      </c>
      <c r="P149">
        <f t="shared" si="39"/>
        <v>3</v>
      </c>
      <c r="Q149">
        <f t="shared" si="40"/>
        <v>3</v>
      </c>
      <c r="R149">
        <f t="shared" si="41"/>
        <v>1</v>
      </c>
      <c r="S149">
        <f t="shared" si="42"/>
        <v>0</v>
      </c>
      <c r="T149">
        <f t="shared" si="43"/>
        <v>0</v>
      </c>
      <c r="V149" t="str">
        <f t="shared" si="35"/>
        <v>3-3-1-0-0</v>
      </c>
      <c r="X149">
        <f t="shared" si="31"/>
        <v>84</v>
      </c>
      <c r="Y149">
        <f t="shared" si="31"/>
        <v>9</v>
      </c>
      <c r="Z149">
        <f t="shared" si="31"/>
        <v>84</v>
      </c>
      <c r="AA149">
        <f t="shared" si="31"/>
        <v>1</v>
      </c>
      <c r="AB149">
        <f t="shared" si="31"/>
        <v>1</v>
      </c>
      <c r="AC149" s="4">
        <f t="shared" si="44"/>
        <v>63504</v>
      </c>
    </row>
    <row r="150" spans="1:29" x14ac:dyDescent="0.25">
      <c r="A150">
        <v>0</v>
      </c>
      <c r="B150">
        <v>3</v>
      </c>
      <c r="C150">
        <v>3</v>
      </c>
      <c r="D150">
        <v>0</v>
      </c>
      <c r="E150">
        <v>0</v>
      </c>
      <c r="F150">
        <v>1</v>
      </c>
      <c r="H150" t="str">
        <f t="shared" si="32"/>
        <v>3-3-0-0-1</v>
      </c>
      <c r="I150">
        <f t="shared" si="36"/>
        <v>0</v>
      </c>
      <c r="J150">
        <f t="shared" si="33"/>
        <v>127</v>
      </c>
      <c r="K150">
        <f t="shared" si="34"/>
        <v>79</v>
      </c>
      <c r="M150">
        <f t="shared" si="37"/>
        <v>1</v>
      </c>
      <c r="N150">
        <f t="shared" si="38"/>
        <v>6</v>
      </c>
      <c r="P150">
        <f t="shared" si="39"/>
        <v>3</v>
      </c>
      <c r="Q150">
        <f t="shared" si="40"/>
        <v>3</v>
      </c>
      <c r="R150">
        <f t="shared" si="41"/>
        <v>1</v>
      </c>
      <c r="S150">
        <f t="shared" si="42"/>
        <v>0</v>
      </c>
      <c r="T150">
        <f t="shared" si="43"/>
        <v>0</v>
      </c>
      <c r="V150" t="str">
        <f t="shared" si="35"/>
        <v>3-3-1-0-0</v>
      </c>
      <c r="X150">
        <f t="shared" si="31"/>
        <v>84</v>
      </c>
      <c r="Y150">
        <f t="shared" si="31"/>
        <v>84</v>
      </c>
      <c r="Z150">
        <f t="shared" si="31"/>
        <v>1</v>
      </c>
      <c r="AA150">
        <f t="shared" si="31"/>
        <v>1</v>
      </c>
      <c r="AB150">
        <f t="shared" si="31"/>
        <v>9</v>
      </c>
      <c r="AC150" s="4">
        <f t="shared" si="44"/>
        <v>63504</v>
      </c>
    </row>
    <row r="151" spans="1:29" x14ac:dyDescent="0.25">
      <c r="A151">
        <v>0</v>
      </c>
      <c r="B151">
        <v>3</v>
      </c>
      <c r="C151">
        <v>3</v>
      </c>
      <c r="D151">
        <v>0</v>
      </c>
      <c r="E151">
        <v>1</v>
      </c>
      <c r="F151">
        <v>0</v>
      </c>
      <c r="H151" t="str">
        <f t="shared" si="32"/>
        <v>3-3-0-1-0</v>
      </c>
      <c r="I151">
        <f t="shared" si="36"/>
        <v>0</v>
      </c>
      <c r="J151">
        <f t="shared" si="33"/>
        <v>117</v>
      </c>
      <c r="K151">
        <f t="shared" si="34"/>
        <v>69</v>
      </c>
      <c r="M151">
        <f t="shared" si="37"/>
        <v>1</v>
      </c>
      <c r="N151">
        <f t="shared" si="38"/>
        <v>6</v>
      </c>
      <c r="P151">
        <f t="shared" si="39"/>
        <v>3</v>
      </c>
      <c r="Q151">
        <f t="shared" si="40"/>
        <v>3</v>
      </c>
      <c r="R151">
        <f t="shared" si="41"/>
        <v>1</v>
      </c>
      <c r="S151">
        <f t="shared" si="42"/>
        <v>0</v>
      </c>
      <c r="T151">
        <f t="shared" si="43"/>
        <v>0</v>
      </c>
      <c r="V151" t="str">
        <f t="shared" si="35"/>
        <v>3-3-1-0-0</v>
      </c>
      <c r="X151">
        <f t="shared" si="31"/>
        <v>84</v>
      </c>
      <c r="Y151">
        <f t="shared" si="31"/>
        <v>84</v>
      </c>
      <c r="Z151">
        <f t="shared" si="31"/>
        <v>1</v>
      </c>
      <c r="AA151">
        <f t="shared" si="31"/>
        <v>9</v>
      </c>
      <c r="AB151">
        <f t="shared" si="31"/>
        <v>1</v>
      </c>
      <c r="AC151" s="4">
        <f t="shared" si="44"/>
        <v>63504</v>
      </c>
    </row>
    <row r="152" spans="1:29" x14ac:dyDescent="0.25">
      <c r="A152">
        <v>0</v>
      </c>
      <c r="B152">
        <v>3</v>
      </c>
      <c r="C152">
        <v>3</v>
      </c>
      <c r="D152">
        <v>1</v>
      </c>
      <c r="E152">
        <v>0</v>
      </c>
      <c r="F152">
        <v>0</v>
      </c>
      <c r="H152" t="str">
        <f t="shared" si="32"/>
        <v>3-3-1-0-0</v>
      </c>
      <c r="I152">
        <f t="shared" si="36"/>
        <v>0</v>
      </c>
      <c r="J152">
        <f t="shared" si="33"/>
        <v>107</v>
      </c>
      <c r="K152">
        <f t="shared" si="34"/>
        <v>59</v>
      </c>
      <c r="M152">
        <f t="shared" si="37"/>
        <v>1</v>
      </c>
      <c r="N152">
        <f t="shared" si="38"/>
        <v>7</v>
      </c>
      <c r="P152">
        <f t="shared" si="39"/>
        <v>3</v>
      </c>
      <c r="Q152">
        <f t="shared" si="40"/>
        <v>3</v>
      </c>
      <c r="R152">
        <f t="shared" si="41"/>
        <v>1</v>
      </c>
      <c r="S152">
        <f t="shared" si="42"/>
        <v>0</v>
      </c>
      <c r="T152">
        <f t="shared" si="43"/>
        <v>0</v>
      </c>
      <c r="V152" t="str">
        <f t="shared" si="35"/>
        <v>3-3-1-0-0</v>
      </c>
      <c r="X152">
        <f t="shared" si="31"/>
        <v>84</v>
      </c>
      <c r="Y152">
        <f t="shared" si="31"/>
        <v>84</v>
      </c>
      <c r="Z152">
        <f t="shared" si="31"/>
        <v>9</v>
      </c>
      <c r="AA152">
        <f t="shared" si="31"/>
        <v>1</v>
      </c>
      <c r="AB152">
        <f t="shared" si="31"/>
        <v>1</v>
      </c>
      <c r="AC152" s="4">
        <f t="shared" si="44"/>
        <v>63504</v>
      </c>
    </row>
    <row r="153" spans="1:29" x14ac:dyDescent="0.25">
      <c r="A153">
        <v>0</v>
      </c>
      <c r="B153">
        <v>0</v>
      </c>
      <c r="C153">
        <v>0</v>
      </c>
      <c r="D153">
        <v>1</v>
      </c>
      <c r="E153">
        <v>1</v>
      </c>
      <c r="F153">
        <v>5</v>
      </c>
      <c r="H153" t="str">
        <f t="shared" si="32"/>
        <v>0-0-1-1-5</v>
      </c>
      <c r="I153">
        <f t="shared" si="36"/>
        <v>0</v>
      </c>
      <c r="J153">
        <f t="shared" si="33"/>
        <v>303</v>
      </c>
      <c r="K153">
        <f t="shared" si="34"/>
        <v>260</v>
      </c>
      <c r="M153">
        <f t="shared" si="37"/>
        <v>7</v>
      </c>
      <c r="N153">
        <f t="shared" si="38"/>
        <v>1</v>
      </c>
      <c r="P153">
        <f t="shared" si="39"/>
        <v>5</v>
      </c>
      <c r="Q153">
        <f t="shared" si="40"/>
        <v>1</v>
      </c>
      <c r="R153">
        <f t="shared" si="41"/>
        <v>1</v>
      </c>
      <c r="S153">
        <f t="shared" si="42"/>
        <v>0</v>
      </c>
      <c r="T153">
        <f t="shared" si="43"/>
        <v>0</v>
      </c>
      <c r="V153" t="str">
        <f t="shared" si="35"/>
        <v>5-1-1-0-0</v>
      </c>
      <c r="X153">
        <f t="shared" si="31"/>
        <v>1</v>
      </c>
      <c r="Y153">
        <f t="shared" si="31"/>
        <v>1</v>
      </c>
      <c r="Z153">
        <f t="shared" si="31"/>
        <v>9</v>
      </c>
      <c r="AA153">
        <f t="shared" si="31"/>
        <v>9</v>
      </c>
      <c r="AB153">
        <f t="shared" si="31"/>
        <v>126</v>
      </c>
      <c r="AC153" s="4">
        <f t="shared" si="44"/>
        <v>10206</v>
      </c>
    </row>
    <row r="154" spans="1:29" x14ac:dyDescent="0.25">
      <c r="A154">
        <v>0</v>
      </c>
      <c r="B154">
        <v>0</v>
      </c>
      <c r="C154">
        <v>0</v>
      </c>
      <c r="D154">
        <v>1</v>
      </c>
      <c r="E154">
        <v>5</v>
      </c>
      <c r="F154">
        <v>1</v>
      </c>
      <c r="H154" t="str">
        <f t="shared" si="32"/>
        <v>0-0-1-5-1</v>
      </c>
      <c r="I154">
        <f t="shared" si="36"/>
        <v>0</v>
      </c>
      <c r="J154">
        <f t="shared" si="33"/>
        <v>263</v>
      </c>
      <c r="K154">
        <f t="shared" si="34"/>
        <v>220</v>
      </c>
      <c r="M154">
        <f t="shared" si="37"/>
        <v>7</v>
      </c>
      <c r="N154">
        <f t="shared" si="38"/>
        <v>1</v>
      </c>
      <c r="P154">
        <f t="shared" si="39"/>
        <v>5</v>
      </c>
      <c r="Q154">
        <f t="shared" si="40"/>
        <v>1</v>
      </c>
      <c r="R154">
        <f t="shared" si="41"/>
        <v>1</v>
      </c>
      <c r="S154">
        <f t="shared" si="42"/>
        <v>0</v>
      </c>
      <c r="T154">
        <f t="shared" si="43"/>
        <v>0</v>
      </c>
      <c r="V154" t="str">
        <f t="shared" si="35"/>
        <v>5-1-1-0-0</v>
      </c>
      <c r="X154">
        <f t="shared" si="31"/>
        <v>1</v>
      </c>
      <c r="Y154">
        <f t="shared" si="31"/>
        <v>1</v>
      </c>
      <c r="Z154">
        <f t="shared" si="31"/>
        <v>9</v>
      </c>
      <c r="AA154">
        <f t="shared" si="31"/>
        <v>126</v>
      </c>
      <c r="AB154">
        <f t="shared" si="31"/>
        <v>9</v>
      </c>
      <c r="AC154" s="4">
        <f t="shared" si="44"/>
        <v>10206</v>
      </c>
    </row>
    <row r="155" spans="1:29" x14ac:dyDescent="0.25">
      <c r="A155">
        <v>0</v>
      </c>
      <c r="B155">
        <v>0</v>
      </c>
      <c r="C155">
        <v>0</v>
      </c>
      <c r="D155">
        <v>5</v>
      </c>
      <c r="E155">
        <v>1</v>
      </c>
      <c r="F155">
        <v>1</v>
      </c>
      <c r="H155" t="str">
        <f t="shared" si="32"/>
        <v>0-0-5-1-1</v>
      </c>
      <c r="I155">
        <f t="shared" si="36"/>
        <v>0</v>
      </c>
      <c r="J155">
        <f t="shared" si="33"/>
        <v>223</v>
      </c>
      <c r="K155">
        <f t="shared" si="34"/>
        <v>180</v>
      </c>
      <c r="M155">
        <f t="shared" si="37"/>
        <v>7</v>
      </c>
      <c r="N155">
        <f t="shared" si="38"/>
        <v>5</v>
      </c>
      <c r="P155">
        <f t="shared" si="39"/>
        <v>5</v>
      </c>
      <c r="Q155">
        <f t="shared" si="40"/>
        <v>1</v>
      </c>
      <c r="R155">
        <f t="shared" si="41"/>
        <v>1</v>
      </c>
      <c r="S155">
        <f t="shared" si="42"/>
        <v>0</v>
      </c>
      <c r="T155">
        <f t="shared" si="43"/>
        <v>0</v>
      </c>
      <c r="V155" t="str">
        <f t="shared" si="35"/>
        <v>5-1-1-0-0</v>
      </c>
      <c r="X155">
        <f t="shared" si="31"/>
        <v>1</v>
      </c>
      <c r="Y155">
        <f t="shared" si="31"/>
        <v>1</v>
      </c>
      <c r="Z155">
        <f t="shared" si="31"/>
        <v>126</v>
      </c>
      <c r="AA155">
        <f t="shared" si="31"/>
        <v>9</v>
      </c>
      <c r="AB155">
        <f t="shared" si="31"/>
        <v>9</v>
      </c>
      <c r="AC155" s="4">
        <f t="shared" si="44"/>
        <v>10206</v>
      </c>
    </row>
    <row r="156" spans="1:29" x14ac:dyDescent="0.25">
      <c r="A156">
        <v>0</v>
      </c>
      <c r="B156">
        <v>0</v>
      </c>
      <c r="C156">
        <v>1</v>
      </c>
      <c r="D156">
        <v>0</v>
      </c>
      <c r="E156">
        <v>1</v>
      </c>
      <c r="F156">
        <v>5</v>
      </c>
      <c r="H156" t="str">
        <f t="shared" si="32"/>
        <v>0-1-0-1-5</v>
      </c>
      <c r="I156">
        <f t="shared" si="36"/>
        <v>0</v>
      </c>
      <c r="J156">
        <f t="shared" si="33"/>
        <v>293</v>
      </c>
      <c r="K156">
        <f t="shared" si="34"/>
        <v>250</v>
      </c>
      <c r="M156">
        <f t="shared" si="37"/>
        <v>6</v>
      </c>
      <c r="N156">
        <f t="shared" si="38"/>
        <v>1</v>
      </c>
      <c r="P156">
        <f t="shared" si="39"/>
        <v>5</v>
      </c>
      <c r="Q156">
        <f t="shared" si="40"/>
        <v>1</v>
      </c>
      <c r="R156">
        <f t="shared" si="41"/>
        <v>1</v>
      </c>
      <c r="S156">
        <f t="shared" si="42"/>
        <v>0</v>
      </c>
      <c r="T156">
        <f t="shared" si="43"/>
        <v>0</v>
      </c>
      <c r="V156" t="str">
        <f t="shared" si="35"/>
        <v>5-1-1-0-0</v>
      </c>
      <c r="X156">
        <f t="shared" si="31"/>
        <v>1</v>
      </c>
      <c r="Y156">
        <f t="shared" si="31"/>
        <v>9</v>
      </c>
      <c r="Z156">
        <f t="shared" si="31"/>
        <v>1</v>
      </c>
      <c r="AA156">
        <f t="shared" si="31"/>
        <v>9</v>
      </c>
      <c r="AB156">
        <f t="shared" si="31"/>
        <v>126</v>
      </c>
      <c r="AC156" s="4">
        <f t="shared" si="44"/>
        <v>10206</v>
      </c>
    </row>
    <row r="157" spans="1:29" x14ac:dyDescent="0.25">
      <c r="A157">
        <v>0</v>
      </c>
      <c r="B157">
        <v>0</v>
      </c>
      <c r="C157">
        <v>1</v>
      </c>
      <c r="D157">
        <v>0</v>
      </c>
      <c r="E157">
        <v>5</v>
      </c>
      <c r="F157">
        <v>1</v>
      </c>
      <c r="H157" t="str">
        <f t="shared" si="32"/>
        <v>0-1-0-5-1</v>
      </c>
      <c r="I157">
        <f t="shared" si="36"/>
        <v>0</v>
      </c>
      <c r="J157">
        <f t="shared" si="33"/>
        <v>253</v>
      </c>
      <c r="K157">
        <f t="shared" si="34"/>
        <v>210</v>
      </c>
      <c r="M157">
        <f t="shared" si="37"/>
        <v>6</v>
      </c>
      <c r="N157">
        <f t="shared" si="38"/>
        <v>1</v>
      </c>
      <c r="P157">
        <f t="shared" si="39"/>
        <v>5</v>
      </c>
      <c r="Q157">
        <f t="shared" si="40"/>
        <v>1</v>
      </c>
      <c r="R157">
        <f t="shared" si="41"/>
        <v>1</v>
      </c>
      <c r="S157">
        <f t="shared" si="42"/>
        <v>0</v>
      </c>
      <c r="T157">
        <f t="shared" si="43"/>
        <v>0</v>
      </c>
      <c r="V157" t="str">
        <f t="shared" si="35"/>
        <v>5-1-1-0-0</v>
      </c>
      <c r="X157">
        <f t="shared" ref="X157:AB207" si="45">PERMUT(9,B157)/PERMUT(B157,B157)</f>
        <v>1</v>
      </c>
      <c r="Y157">
        <f t="shared" si="45"/>
        <v>9</v>
      </c>
      <c r="Z157">
        <f t="shared" si="45"/>
        <v>1</v>
      </c>
      <c r="AA157">
        <f t="shared" si="45"/>
        <v>126</v>
      </c>
      <c r="AB157">
        <f t="shared" si="45"/>
        <v>9</v>
      </c>
      <c r="AC157" s="4">
        <f t="shared" si="44"/>
        <v>10206</v>
      </c>
    </row>
    <row r="158" spans="1:29" x14ac:dyDescent="0.25">
      <c r="A158">
        <v>0</v>
      </c>
      <c r="B158">
        <v>0</v>
      </c>
      <c r="C158">
        <v>1</v>
      </c>
      <c r="D158">
        <v>1</v>
      </c>
      <c r="E158">
        <v>0</v>
      </c>
      <c r="F158">
        <v>5</v>
      </c>
      <c r="H158" t="str">
        <f t="shared" si="32"/>
        <v>0-1-1-0-5</v>
      </c>
      <c r="I158">
        <f t="shared" si="36"/>
        <v>0</v>
      </c>
      <c r="J158">
        <f t="shared" si="33"/>
        <v>283</v>
      </c>
      <c r="K158">
        <f t="shared" si="34"/>
        <v>240</v>
      </c>
      <c r="M158">
        <f t="shared" si="37"/>
        <v>6</v>
      </c>
      <c r="N158">
        <f t="shared" si="38"/>
        <v>2</v>
      </c>
      <c r="P158">
        <f t="shared" si="39"/>
        <v>5</v>
      </c>
      <c r="Q158">
        <f t="shared" si="40"/>
        <v>1</v>
      </c>
      <c r="R158">
        <f t="shared" si="41"/>
        <v>1</v>
      </c>
      <c r="S158">
        <f t="shared" si="42"/>
        <v>0</v>
      </c>
      <c r="T158">
        <f t="shared" si="43"/>
        <v>0</v>
      </c>
      <c r="V158" t="str">
        <f t="shared" si="35"/>
        <v>5-1-1-0-0</v>
      </c>
      <c r="X158">
        <f t="shared" si="45"/>
        <v>1</v>
      </c>
      <c r="Y158">
        <f t="shared" si="45"/>
        <v>9</v>
      </c>
      <c r="Z158">
        <f t="shared" si="45"/>
        <v>9</v>
      </c>
      <c r="AA158">
        <f t="shared" si="45"/>
        <v>1</v>
      </c>
      <c r="AB158">
        <f t="shared" si="45"/>
        <v>126</v>
      </c>
      <c r="AC158" s="4">
        <f t="shared" si="44"/>
        <v>10206</v>
      </c>
    </row>
    <row r="159" spans="1:29" x14ac:dyDescent="0.25">
      <c r="A159">
        <v>0</v>
      </c>
      <c r="B159">
        <v>0</v>
      </c>
      <c r="C159">
        <v>1</v>
      </c>
      <c r="D159">
        <v>1</v>
      </c>
      <c r="E159">
        <v>5</v>
      </c>
      <c r="F159">
        <v>0</v>
      </c>
      <c r="H159" t="str">
        <f t="shared" si="32"/>
        <v>0-1-1-5-0</v>
      </c>
      <c r="I159">
        <f t="shared" si="36"/>
        <v>0</v>
      </c>
      <c r="J159">
        <f t="shared" si="33"/>
        <v>233</v>
      </c>
      <c r="K159">
        <f t="shared" si="34"/>
        <v>190</v>
      </c>
      <c r="M159">
        <f t="shared" si="37"/>
        <v>6</v>
      </c>
      <c r="N159">
        <f t="shared" si="38"/>
        <v>2</v>
      </c>
      <c r="P159">
        <f t="shared" si="39"/>
        <v>5</v>
      </c>
      <c r="Q159">
        <f t="shared" si="40"/>
        <v>1</v>
      </c>
      <c r="R159">
        <f t="shared" si="41"/>
        <v>1</v>
      </c>
      <c r="S159">
        <f t="shared" si="42"/>
        <v>0</v>
      </c>
      <c r="T159">
        <f t="shared" si="43"/>
        <v>0</v>
      </c>
      <c r="V159" t="str">
        <f t="shared" si="35"/>
        <v>5-1-1-0-0</v>
      </c>
      <c r="X159">
        <f t="shared" si="45"/>
        <v>1</v>
      </c>
      <c r="Y159">
        <f t="shared" si="45"/>
        <v>9</v>
      </c>
      <c r="Z159">
        <f t="shared" si="45"/>
        <v>9</v>
      </c>
      <c r="AA159">
        <f t="shared" si="45"/>
        <v>126</v>
      </c>
      <c r="AB159">
        <f t="shared" si="45"/>
        <v>1</v>
      </c>
      <c r="AC159" s="4">
        <f t="shared" si="44"/>
        <v>10206</v>
      </c>
    </row>
    <row r="160" spans="1:29" x14ac:dyDescent="0.25">
      <c r="A160">
        <v>0</v>
      </c>
      <c r="B160">
        <v>0</v>
      </c>
      <c r="C160">
        <v>1</v>
      </c>
      <c r="D160">
        <v>5</v>
      </c>
      <c r="E160">
        <v>0</v>
      </c>
      <c r="F160">
        <v>1</v>
      </c>
      <c r="H160" t="str">
        <f t="shared" si="32"/>
        <v>0-1-5-0-1</v>
      </c>
      <c r="I160">
        <f t="shared" si="36"/>
        <v>0</v>
      </c>
      <c r="J160">
        <f t="shared" si="33"/>
        <v>203</v>
      </c>
      <c r="K160">
        <f t="shared" si="34"/>
        <v>160</v>
      </c>
      <c r="M160">
        <f t="shared" si="37"/>
        <v>6</v>
      </c>
      <c r="N160">
        <f t="shared" si="38"/>
        <v>6</v>
      </c>
      <c r="P160">
        <f t="shared" si="39"/>
        <v>5</v>
      </c>
      <c r="Q160">
        <f t="shared" si="40"/>
        <v>1</v>
      </c>
      <c r="R160">
        <f t="shared" si="41"/>
        <v>1</v>
      </c>
      <c r="S160">
        <f t="shared" si="42"/>
        <v>0</v>
      </c>
      <c r="T160">
        <f t="shared" si="43"/>
        <v>0</v>
      </c>
      <c r="V160" t="str">
        <f t="shared" si="35"/>
        <v>5-1-1-0-0</v>
      </c>
      <c r="X160">
        <f t="shared" si="45"/>
        <v>1</v>
      </c>
      <c r="Y160">
        <f t="shared" si="45"/>
        <v>9</v>
      </c>
      <c r="Z160">
        <f t="shared" si="45"/>
        <v>126</v>
      </c>
      <c r="AA160">
        <f t="shared" si="45"/>
        <v>1</v>
      </c>
      <c r="AB160">
        <f t="shared" si="45"/>
        <v>9</v>
      </c>
      <c r="AC160" s="4">
        <f t="shared" si="44"/>
        <v>10206</v>
      </c>
    </row>
    <row r="161" spans="1:29" x14ac:dyDescent="0.25">
      <c r="A161">
        <v>0</v>
      </c>
      <c r="B161">
        <v>0</v>
      </c>
      <c r="C161">
        <v>1</v>
      </c>
      <c r="D161">
        <v>5</v>
      </c>
      <c r="E161">
        <v>1</v>
      </c>
      <c r="F161">
        <v>0</v>
      </c>
      <c r="H161" t="str">
        <f t="shared" si="32"/>
        <v>0-1-5-1-0</v>
      </c>
      <c r="I161">
        <f t="shared" si="36"/>
        <v>0</v>
      </c>
      <c r="J161">
        <f t="shared" si="33"/>
        <v>193</v>
      </c>
      <c r="K161">
        <f t="shared" si="34"/>
        <v>150</v>
      </c>
      <c r="M161">
        <f t="shared" si="37"/>
        <v>6</v>
      </c>
      <c r="N161">
        <f t="shared" si="38"/>
        <v>6</v>
      </c>
      <c r="P161">
        <f t="shared" si="39"/>
        <v>5</v>
      </c>
      <c r="Q161">
        <f t="shared" si="40"/>
        <v>1</v>
      </c>
      <c r="R161">
        <f t="shared" si="41"/>
        <v>1</v>
      </c>
      <c r="S161">
        <f t="shared" si="42"/>
        <v>0</v>
      </c>
      <c r="T161">
        <f t="shared" si="43"/>
        <v>0</v>
      </c>
      <c r="V161" t="str">
        <f t="shared" si="35"/>
        <v>5-1-1-0-0</v>
      </c>
      <c r="X161">
        <f t="shared" si="45"/>
        <v>1</v>
      </c>
      <c r="Y161">
        <f t="shared" si="45"/>
        <v>9</v>
      </c>
      <c r="Z161">
        <f t="shared" si="45"/>
        <v>126</v>
      </c>
      <c r="AA161">
        <f t="shared" si="45"/>
        <v>9</v>
      </c>
      <c r="AB161">
        <f t="shared" si="45"/>
        <v>1</v>
      </c>
      <c r="AC161" s="4">
        <f t="shared" si="44"/>
        <v>10206</v>
      </c>
    </row>
    <row r="162" spans="1:29" x14ac:dyDescent="0.25">
      <c r="A162">
        <v>0</v>
      </c>
      <c r="B162">
        <v>0</v>
      </c>
      <c r="C162">
        <v>5</v>
      </c>
      <c r="D162">
        <v>0</v>
      </c>
      <c r="E162">
        <v>1</v>
      </c>
      <c r="F162">
        <v>1</v>
      </c>
      <c r="H162" t="str">
        <f t="shared" si="32"/>
        <v>0-5-0-1-1</v>
      </c>
      <c r="I162">
        <f t="shared" si="36"/>
        <v>0</v>
      </c>
      <c r="J162">
        <f t="shared" si="33"/>
        <v>173</v>
      </c>
      <c r="K162">
        <f t="shared" si="34"/>
        <v>130</v>
      </c>
      <c r="M162">
        <f t="shared" si="37"/>
        <v>2</v>
      </c>
      <c r="N162">
        <f t="shared" si="38"/>
        <v>5</v>
      </c>
      <c r="P162">
        <f t="shared" si="39"/>
        <v>5</v>
      </c>
      <c r="Q162">
        <f t="shared" si="40"/>
        <v>1</v>
      </c>
      <c r="R162">
        <f t="shared" si="41"/>
        <v>1</v>
      </c>
      <c r="S162">
        <f t="shared" si="42"/>
        <v>0</v>
      </c>
      <c r="T162">
        <f t="shared" si="43"/>
        <v>0</v>
      </c>
      <c r="V162" t="str">
        <f t="shared" si="35"/>
        <v>5-1-1-0-0</v>
      </c>
      <c r="X162">
        <f t="shared" si="45"/>
        <v>1</v>
      </c>
      <c r="Y162">
        <f t="shared" si="45"/>
        <v>126</v>
      </c>
      <c r="Z162">
        <f t="shared" si="45"/>
        <v>1</v>
      </c>
      <c r="AA162">
        <f t="shared" si="45"/>
        <v>9</v>
      </c>
      <c r="AB162">
        <f t="shared" si="45"/>
        <v>9</v>
      </c>
      <c r="AC162" s="4">
        <f t="shared" si="44"/>
        <v>10206</v>
      </c>
    </row>
    <row r="163" spans="1:29" x14ac:dyDescent="0.25">
      <c r="A163">
        <v>0</v>
      </c>
      <c r="B163">
        <v>0</v>
      </c>
      <c r="C163">
        <v>5</v>
      </c>
      <c r="D163">
        <v>1</v>
      </c>
      <c r="E163">
        <v>0</v>
      </c>
      <c r="F163">
        <v>1</v>
      </c>
      <c r="H163" t="str">
        <f t="shared" si="32"/>
        <v>0-5-1-0-1</v>
      </c>
      <c r="I163">
        <f t="shared" si="36"/>
        <v>0</v>
      </c>
      <c r="J163">
        <f t="shared" si="33"/>
        <v>163</v>
      </c>
      <c r="K163">
        <f t="shared" si="34"/>
        <v>120</v>
      </c>
      <c r="M163">
        <f t="shared" si="37"/>
        <v>2</v>
      </c>
      <c r="N163">
        <f t="shared" si="38"/>
        <v>6</v>
      </c>
      <c r="P163">
        <f t="shared" si="39"/>
        <v>5</v>
      </c>
      <c r="Q163">
        <f t="shared" si="40"/>
        <v>1</v>
      </c>
      <c r="R163">
        <f t="shared" si="41"/>
        <v>1</v>
      </c>
      <c r="S163">
        <f t="shared" si="42"/>
        <v>0</v>
      </c>
      <c r="T163">
        <f t="shared" si="43"/>
        <v>0</v>
      </c>
      <c r="V163" t="str">
        <f t="shared" si="35"/>
        <v>5-1-1-0-0</v>
      </c>
      <c r="X163">
        <f t="shared" si="45"/>
        <v>1</v>
      </c>
      <c r="Y163">
        <f t="shared" si="45"/>
        <v>126</v>
      </c>
      <c r="Z163">
        <f t="shared" si="45"/>
        <v>9</v>
      </c>
      <c r="AA163">
        <f t="shared" si="45"/>
        <v>1</v>
      </c>
      <c r="AB163">
        <f t="shared" si="45"/>
        <v>9</v>
      </c>
      <c r="AC163" s="4">
        <f t="shared" si="44"/>
        <v>10206</v>
      </c>
    </row>
    <row r="164" spans="1:29" x14ac:dyDescent="0.25">
      <c r="A164">
        <v>0</v>
      </c>
      <c r="B164">
        <v>0</v>
      </c>
      <c r="C164">
        <v>5</v>
      </c>
      <c r="D164">
        <v>1</v>
      </c>
      <c r="E164">
        <v>1</v>
      </c>
      <c r="F164">
        <v>0</v>
      </c>
      <c r="H164" t="str">
        <f t="shared" si="32"/>
        <v>0-5-1-1-0</v>
      </c>
      <c r="I164">
        <f t="shared" si="36"/>
        <v>0</v>
      </c>
      <c r="J164">
        <f t="shared" si="33"/>
        <v>153</v>
      </c>
      <c r="K164">
        <f t="shared" si="34"/>
        <v>110</v>
      </c>
      <c r="M164">
        <f t="shared" si="37"/>
        <v>2</v>
      </c>
      <c r="N164">
        <f t="shared" si="38"/>
        <v>6</v>
      </c>
      <c r="P164">
        <f t="shared" si="39"/>
        <v>5</v>
      </c>
      <c r="Q164">
        <f t="shared" si="40"/>
        <v>1</v>
      </c>
      <c r="R164">
        <f t="shared" si="41"/>
        <v>1</v>
      </c>
      <c r="S164">
        <f t="shared" si="42"/>
        <v>0</v>
      </c>
      <c r="T164">
        <f t="shared" si="43"/>
        <v>0</v>
      </c>
      <c r="V164" t="str">
        <f t="shared" si="35"/>
        <v>5-1-1-0-0</v>
      </c>
      <c r="X164">
        <f t="shared" si="45"/>
        <v>1</v>
      </c>
      <c r="Y164">
        <f t="shared" si="45"/>
        <v>126</v>
      </c>
      <c r="Z164">
        <f t="shared" si="45"/>
        <v>9</v>
      </c>
      <c r="AA164">
        <f t="shared" si="45"/>
        <v>9</v>
      </c>
      <c r="AB164">
        <f t="shared" si="45"/>
        <v>1</v>
      </c>
      <c r="AC164" s="4">
        <f t="shared" si="44"/>
        <v>10206</v>
      </c>
    </row>
    <row r="165" spans="1:29" x14ac:dyDescent="0.25">
      <c r="A165">
        <v>0</v>
      </c>
      <c r="B165">
        <v>1</v>
      </c>
      <c r="C165">
        <v>0</v>
      </c>
      <c r="D165">
        <v>0</v>
      </c>
      <c r="E165">
        <v>1</v>
      </c>
      <c r="F165">
        <v>5</v>
      </c>
      <c r="H165" t="str">
        <f t="shared" si="32"/>
        <v>1-0-0-1-5</v>
      </c>
      <c r="I165">
        <f t="shared" si="36"/>
        <v>0</v>
      </c>
      <c r="J165">
        <f t="shared" si="33"/>
        <v>283</v>
      </c>
      <c r="K165">
        <f t="shared" si="34"/>
        <v>241</v>
      </c>
      <c r="M165">
        <f t="shared" si="37"/>
        <v>6</v>
      </c>
      <c r="N165">
        <f t="shared" si="38"/>
        <v>1</v>
      </c>
      <c r="P165">
        <f t="shared" si="39"/>
        <v>5</v>
      </c>
      <c r="Q165">
        <f t="shared" si="40"/>
        <v>1</v>
      </c>
      <c r="R165">
        <f t="shared" si="41"/>
        <v>1</v>
      </c>
      <c r="S165">
        <f t="shared" si="42"/>
        <v>0</v>
      </c>
      <c r="T165">
        <f t="shared" si="43"/>
        <v>0</v>
      </c>
      <c r="V165" t="str">
        <f t="shared" si="35"/>
        <v>5-1-1-0-0</v>
      </c>
      <c r="X165">
        <f t="shared" si="45"/>
        <v>9</v>
      </c>
      <c r="Y165">
        <f t="shared" si="45"/>
        <v>1</v>
      </c>
      <c r="Z165">
        <f t="shared" si="45"/>
        <v>1</v>
      </c>
      <c r="AA165">
        <f t="shared" si="45"/>
        <v>9</v>
      </c>
      <c r="AB165">
        <f t="shared" si="45"/>
        <v>126</v>
      </c>
      <c r="AC165" s="4">
        <f t="shared" si="44"/>
        <v>10206</v>
      </c>
    </row>
    <row r="166" spans="1:29" x14ac:dyDescent="0.25">
      <c r="A166">
        <v>1</v>
      </c>
      <c r="B166">
        <v>1</v>
      </c>
      <c r="C166">
        <v>0</v>
      </c>
      <c r="D166">
        <v>0</v>
      </c>
      <c r="E166">
        <v>5</v>
      </c>
      <c r="F166">
        <v>1</v>
      </c>
      <c r="H166" t="str">
        <f t="shared" si="32"/>
        <v>1-0-0-5-1</v>
      </c>
      <c r="I166">
        <f t="shared" si="36"/>
        <v>1</v>
      </c>
      <c r="J166">
        <f t="shared" si="33"/>
        <v>243</v>
      </c>
      <c r="K166">
        <f t="shared" si="34"/>
        <v>201</v>
      </c>
      <c r="M166">
        <f t="shared" si="37"/>
        <v>6</v>
      </c>
      <c r="N166">
        <f t="shared" si="38"/>
        <v>1</v>
      </c>
      <c r="P166">
        <f t="shared" si="39"/>
        <v>5</v>
      </c>
      <c r="Q166">
        <f t="shared" si="40"/>
        <v>1</v>
      </c>
      <c r="R166">
        <f t="shared" si="41"/>
        <v>1</v>
      </c>
      <c r="S166">
        <f t="shared" si="42"/>
        <v>0</v>
      </c>
      <c r="T166">
        <f t="shared" si="43"/>
        <v>0</v>
      </c>
      <c r="V166" t="str">
        <f t="shared" si="35"/>
        <v>5-1-1-0-0</v>
      </c>
      <c r="X166">
        <f t="shared" si="45"/>
        <v>9</v>
      </c>
      <c r="Y166">
        <f t="shared" si="45"/>
        <v>1</v>
      </c>
      <c r="Z166">
        <f t="shared" si="45"/>
        <v>1</v>
      </c>
      <c r="AA166">
        <f t="shared" si="45"/>
        <v>126</v>
      </c>
      <c r="AB166">
        <f t="shared" si="45"/>
        <v>9</v>
      </c>
      <c r="AC166" s="4">
        <f t="shared" si="44"/>
        <v>10206</v>
      </c>
    </row>
    <row r="167" spans="1:29" x14ac:dyDescent="0.25">
      <c r="A167">
        <v>0</v>
      </c>
      <c r="B167">
        <v>1</v>
      </c>
      <c r="C167">
        <v>0</v>
      </c>
      <c r="D167">
        <v>1</v>
      </c>
      <c r="E167">
        <v>0</v>
      </c>
      <c r="F167">
        <v>5</v>
      </c>
      <c r="H167" t="str">
        <f t="shared" si="32"/>
        <v>1-0-1-0-5</v>
      </c>
      <c r="I167">
        <f t="shared" si="36"/>
        <v>0</v>
      </c>
      <c r="J167">
        <f t="shared" si="33"/>
        <v>273</v>
      </c>
      <c r="K167">
        <f t="shared" si="34"/>
        <v>231</v>
      </c>
      <c r="M167">
        <f t="shared" si="37"/>
        <v>6</v>
      </c>
      <c r="N167">
        <f t="shared" si="38"/>
        <v>2</v>
      </c>
      <c r="P167">
        <f t="shared" si="39"/>
        <v>5</v>
      </c>
      <c r="Q167">
        <f t="shared" si="40"/>
        <v>1</v>
      </c>
      <c r="R167">
        <f t="shared" si="41"/>
        <v>1</v>
      </c>
      <c r="S167">
        <f t="shared" si="42"/>
        <v>0</v>
      </c>
      <c r="T167">
        <f t="shared" si="43"/>
        <v>0</v>
      </c>
      <c r="V167" t="str">
        <f t="shared" si="35"/>
        <v>5-1-1-0-0</v>
      </c>
      <c r="X167">
        <f t="shared" si="45"/>
        <v>9</v>
      </c>
      <c r="Y167">
        <f t="shared" si="45"/>
        <v>1</v>
      </c>
      <c r="Z167">
        <f t="shared" si="45"/>
        <v>9</v>
      </c>
      <c r="AA167">
        <f t="shared" si="45"/>
        <v>1</v>
      </c>
      <c r="AB167">
        <f t="shared" si="45"/>
        <v>126</v>
      </c>
      <c r="AC167" s="4">
        <f t="shared" si="44"/>
        <v>10206</v>
      </c>
    </row>
    <row r="168" spans="1:29" x14ac:dyDescent="0.25">
      <c r="A168">
        <v>0</v>
      </c>
      <c r="B168">
        <v>1</v>
      </c>
      <c r="C168">
        <v>0</v>
      </c>
      <c r="D168">
        <v>1</v>
      </c>
      <c r="E168">
        <v>5</v>
      </c>
      <c r="F168">
        <v>0</v>
      </c>
      <c r="H168" t="str">
        <f t="shared" si="32"/>
        <v>1-0-1-5-0</v>
      </c>
      <c r="I168">
        <f t="shared" si="36"/>
        <v>0</v>
      </c>
      <c r="J168">
        <f t="shared" si="33"/>
        <v>223</v>
      </c>
      <c r="K168">
        <f t="shared" si="34"/>
        <v>181</v>
      </c>
      <c r="M168">
        <f t="shared" si="37"/>
        <v>6</v>
      </c>
      <c r="N168">
        <f t="shared" si="38"/>
        <v>2</v>
      </c>
      <c r="P168">
        <f t="shared" si="39"/>
        <v>5</v>
      </c>
      <c r="Q168">
        <f t="shared" si="40"/>
        <v>1</v>
      </c>
      <c r="R168">
        <f t="shared" si="41"/>
        <v>1</v>
      </c>
      <c r="S168">
        <f t="shared" si="42"/>
        <v>0</v>
      </c>
      <c r="T168">
        <f t="shared" si="43"/>
        <v>0</v>
      </c>
      <c r="V168" t="str">
        <f t="shared" si="35"/>
        <v>5-1-1-0-0</v>
      </c>
      <c r="X168">
        <f t="shared" si="45"/>
        <v>9</v>
      </c>
      <c r="Y168">
        <f t="shared" si="45"/>
        <v>1</v>
      </c>
      <c r="Z168">
        <f t="shared" si="45"/>
        <v>9</v>
      </c>
      <c r="AA168">
        <f t="shared" si="45"/>
        <v>126</v>
      </c>
      <c r="AB168">
        <f t="shared" si="45"/>
        <v>1</v>
      </c>
      <c r="AC168" s="4">
        <f t="shared" si="44"/>
        <v>10206</v>
      </c>
    </row>
    <row r="169" spans="1:29" x14ac:dyDescent="0.25">
      <c r="A169">
        <v>1</v>
      </c>
      <c r="B169">
        <v>1</v>
      </c>
      <c r="C169">
        <v>0</v>
      </c>
      <c r="D169">
        <v>5</v>
      </c>
      <c r="E169">
        <v>0</v>
      </c>
      <c r="F169">
        <v>1</v>
      </c>
      <c r="H169" t="str">
        <f t="shared" si="32"/>
        <v>1-0-5-0-1</v>
      </c>
      <c r="I169">
        <f t="shared" si="36"/>
        <v>1</v>
      </c>
      <c r="J169">
        <f t="shared" si="33"/>
        <v>193</v>
      </c>
      <c r="K169">
        <f t="shared" si="34"/>
        <v>151</v>
      </c>
      <c r="M169">
        <f t="shared" si="37"/>
        <v>6</v>
      </c>
      <c r="N169">
        <f t="shared" si="38"/>
        <v>6</v>
      </c>
      <c r="P169">
        <f t="shared" si="39"/>
        <v>5</v>
      </c>
      <c r="Q169">
        <f t="shared" si="40"/>
        <v>1</v>
      </c>
      <c r="R169">
        <f t="shared" si="41"/>
        <v>1</v>
      </c>
      <c r="S169">
        <f t="shared" si="42"/>
        <v>0</v>
      </c>
      <c r="T169">
        <f t="shared" si="43"/>
        <v>0</v>
      </c>
      <c r="V169" t="str">
        <f t="shared" si="35"/>
        <v>5-1-1-0-0</v>
      </c>
      <c r="X169">
        <f t="shared" si="45"/>
        <v>9</v>
      </c>
      <c r="Y169">
        <f t="shared" si="45"/>
        <v>1</v>
      </c>
      <c r="Z169">
        <f t="shared" si="45"/>
        <v>126</v>
      </c>
      <c r="AA169">
        <f t="shared" si="45"/>
        <v>1</v>
      </c>
      <c r="AB169">
        <f t="shared" si="45"/>
        <v>9</v>
      </c>
      <c r="AC169" s="4">
        <f t="shared" si="44"/>
        <v>10206</v>
      </c>
    </row>
    <row r="170" spans="1:29" x14ac:dyDescent="0.25">
      <c r="A170">
        <v>1</v>
      </c>
      <c r="B170">
        <v>1</v>
      </c>
      <c r="C170">
        <v>0</v>
      </c>
      <c r="D170">
        <v>5</v>
      </c>
      <c r="E170">
        <v>1</v>
      </c>
      <c r="F170">
        <v>0</v>
      </c>
      <c r="H170" t="str">
        <f t="shared" si="32"/>
        <v>1-0-5-1-0</v>
      </c>
      <c r="I170">
        <f t="shared" si="36"/>
        <v>1</v>
      </c>
      <c r="J170">
        <f t="shared" si="33"/>
        <v>183</v>
      </c>
      <c r="K170">
        <f t="shared" si="34"/>
        <v>141</v>
      </c>
      <c r="M170">
        <f t="shared" si="37"/>
        <v>6</v>
      </c>
      <c r="N170">
        <f t="shared" si="38"/>
        <v>6</v>
      </c>
      <c r="P170">
        <f t="shared" si="39"/>
        <v>5</v>
      </c>
      <c r="Q170">
        <f t="shared" si="40"/>
        <v>1</v>
      </c>
      <c r="R170">
        <f t="shared" si="41"/>
        <v>1</v>
      </c>
      <c r="S170">
        <f t="shared" si="42"/>
        <v>0</v>
      </c>
      <c r="T170">
        <f t="shared" si="43"/>
        <v>0</v>
      </c>
      <c r="V170" t="str">
        <f t="shared" si="35"/>
        <v>5-1-1-0-0</v>
      </c>
      <c r="X170">
        <f t="shared" si="45"/>
        <v>9</v>
      </c>
      <c r="Y170">
        <f t="shared" si="45"/>
        <v>1</v>
      </c>
      <c r="Z170">
        <f t="shared" si="45"/>
        <v>126</v>
      </c>
      <c r="AA170">
        <f t="shared" si="45"/>
        <v>9</v>
      </c>
      <c r="AB170">
        <f t="shared" si="45"/>
        <v>1</v>
      </c>
      <c r="AC170" s="4">
        <f t="shared" si="44"/>
        <v>10206</v>
      </c>
    </row>
    <row r="171" spans="1:29" x14ac:dyDescent="0.25">
      <c r="A171">
        <v>0</v>
      </c>
      <c r="B171">
        <v>1</v>
      </c>
      <c r="C171">
        <v>1</v>
      </c>
      <c r="D171">
        <v>0</v>
      </c>
      <c r="E171">
        <v>0</v>
      </c>
      <c r="F171">
        <v>5</v>
      </c>
      <c r="H171" t="str">
        <f t="shared" si="32"/>
        <v>1-1-0-0-5</v>
      </c>
      <c r="I171">
        <f t="shared" si="36"/>
        <v>0</v>
      </c>
      <c r="J171">
        <f t="shared" si="33"/>
        <v>263</v>
      </c>
      <c r="K171">
        <f t="shared" si="34"/>
        <v>221</v>
      </c>
      <c r="M171">
        <f t="shared" si="37"/>
        <v>5</v>
      </c>
      <c r="N171">
        <f t="shared" si="38"/>
        <v>2</v>
      </c>
      <c r="P171">
        <f t="shared" si="39"/>
        <v>5</v>
      </c>
      <c r="Q171">
        <f t="shared" si="40"/>
        <v>1</v>
      </c>
      <c r="R171">
        <f t="shared" si="41"/>
        <v>1</v>
      </c>
      <c r="S171">
        <f t="shared" si="42"/>
        <v>0</v>
      </c>
      <c r="T171">
        <f t="shared" si="43"/>
        <v>0</v>
      </c>
      <c r="V171" t="str">
        <f t="shared" si="35"/>
        <v>5-1-1-0-0</v>
      </c>
      <c r="X171">
        <f t="shared" si="45"/>
        <v>9</v>
      </c>
      <c r="Y171">
        <f t="shared" si="45"/>
        <v>9</v>
      </c>
      <c r="Z171">
        <f t="shared" si="45"/>
        <v>1</v>
      </c>
      <c r="AA171">
        <f t="shared" si="45"/>
        <v>1</v>
      </c>
      <c r="AB171">
        <f t="shared" si="45"/>
        <v>126</v>
      </c>
      <c r="AC171" s="4">
        <f t="shared" si="44"/>
        <v>10206</v>
      </c>
    </row>
    <row r="172" spans="1:29" x14ac:dyDescent="0.25">
      <c r="A172">
        <v>0</v>
      </c>
      <c r="B172">
        <v>1</v>
      </c>
      <c r="C172">
        <v>1</v>
      </c>
      <c r="D172">
        <v>0</v>
      </c>
      <c r="E172">
        <v>5</v>
      </c>
      <c r="F172">
        <v>0</v>
      </c>
      <c r="H172" t="str">
        <f t="shared" si="32"/>
        <v>1-1-0-5-0</v>
      </c>
      <c r="I172">
        <f t="shared" si="36"/>
        <v>0</v>
      </c>
      <c r="J172">
        <f t="shared" si="33"/>
        <v>213</v>
      </c>
      <c r="K172">
        <f t="shared" si="34"/>
        <v>171</v>
      </c>
      <c r="M172">
        <f t="shared" si="37"/>
        <v>5</v>
      </c>
      <c r="N172">
        <f t="shared" si="38"/>
        <v>2</v>
      </c>
      <c r="P172">
        <f t="shared" si="39"/>
        <v>5</v>
      </c>
      <c r="Q172">
        <f t="shared" si="40"/>
        <v>1</v>
      </c>
      <c r="R172">
        <f t="shared" si="41"/>
        <v>1</v>
      </c>
      <c r="S172">
        <f t="shared" si="42"/>
        <v>0</v>
      </c>
      <c r="T172">
        <f t="shared" si="43"/>
        <v>0</v>
      </c>
      <c r="V172" t="str">
        <f t="shared" si="35"/>
        <v>5-1-1-0-0</v>
      </c>
      <c r="X172">
        <f t="shared" si="45"/>
        <v>9</v>
      </c>
      <c r="Y172">
        <f t="shared" si="45"/>
        <v>9</v>
      </c>
      <c r="Z172">
        <f t="shared" si="45"/>
        <v>1</v>
      </c>
      <c r="AA172">
        <f t="shared" si="45"/>
        <v>126</v>
      </c>
      <c r="AB172">
        <f t="shared" si="45"/>
        <v>1</v>
      </c>
      <c r="AC172" s="4">
        <f t="shared" si="44"/>
        <v>10206</v>
      </c>
    </row>
    <row r="173" spans="1:29" x14ac:dyDescent="0.25">
      <c r="A173">
        <v>0</v>
      </c>
      <c r="B173">
        <v>1</v>
      </c>
      <c r="C173">
        <v>1</v>
      </c>
      <c r="D173">
        <v>5</v>
      </c>
      <c r="E173">
        <v>0</v>
      </c>
      <c r="F173">
        <v>0</v>
      </c>
      <c r="H173" t="str">
        <f t="shared" si="32"/>
        <v>1-1-5-0-0</v>
      </c>
      <c r="I173">
        <f t="shared" si="36"/>
        <v>0</v>
      </c>
      <c r="J173">
        <f t="shared" si="33"/>
        <v>163</v>
      </c>
      <c r="K173">
        <f t="shared" si="34"/>
        <v>121</v>
      </c>
      <c r="M173">
        <f t="shared" si="37"/>
        <v>5</v>
      </c>
      <c r="N173">
        <f t="shared" si="38"/>
        <v>7</v>
      </c>
      <c r="P173">
        <f t="shared" si="39"/>
        <v>5</v>
      </c>
      <c r="Q173">
        <f t="shared" si="40"/>
        <v>1</v>
      </c>
      <c r="R173">
        <f t="shared" si="41"/>
        <v>1</v>
      </c>
      <c r="S173">
        <f t="shared" si="42"/>
        <v>0</v>
      </c>
      <c r="T173">
        <f t="shared" si="43"/>
        <v>0</v>
      </c>
      <c r="V173" t="str">
        <f t="shared" si="35"/>
        <v>5-1-1-0-0</v>
      </c>
      <c r="X173">
        <f t="shared" si="45"/>
        <v>9</v>
      </c>
      <c r="Y173">
        <f t="shared" si="45"/>
        <v>9</v>
      </c>
      <c r="Z173">
        <f t="shared" si="45"/>
        <v>126</v>
      </c>
      <c r="AA173">
        <f t="shared" si="45"/>
        <v>1</v>
      </c>
      <c r="AB173">
        <f t="shared" si="45"/>
        <v>1</v>
      </c>
      <c r="AC173" s="4">
        <f t="shared" si="44"/>
        <v>10206</v>
      </c>
    </row>
    <row r="174" spans="1:29" x14ac:dyDescent="0.25">
      <c r="A174">
        <v>0</v>
      </c>
      <c r="B174">
        <v>1</v>
      </c>
      <c r="C174">
        <v>5</v>
      </c>
      <c r="D174">
        <v>0</v>
      </c>
      <c r="E174">
        <v>0</v>
      </c>
      <c r="F174">
        <v>1</v>
      </c>
      <c r="H174" t="str">
        <f t="shared" si="32"/>
        <v>1-5-0-0-1</v>
      </c>
      <c r="I174">
        <f t="shared" si="36"/>
        <v>0</v>
      </c>
      <c r="J174">
        <f t="shared" si="33"/>
        <v>143</v>
      </c>
      <c r="K174">
        <f t="shared" si="34"/>
        <v>101</v>
      </c>
      <c r="M174">
        <f t="shared" si="37"/>
        <v>1</v>
      </c>
      <c r="N174">
        <f t="shared" si="38"/>
        <v>6</v>
      </c>
      <c r="P174">
        <f t="shared" si="39"/>
        <v>5</v>
      </c>
      <c r="Q174">
        <f t="shared" si="40"/>
        <v>1</v>
      </c>
      <c r="R174">
        <f t="shared" si="41"/>
        <v>1</v>
      </c>
      <c r="S174">
        <f t="shared" si="42"/>
        <v>0</v>
      </c>
      <c r="T174">
        <f t="shared" si="43"/>
        <v>0</v>
      </c>
      <c r="V174" t="str">
        <f t="shared" si="35"/>
        <v>5-1-1-0-0</v>
      </c>
      <c r="X174">
        <f t="shared" si="45"/>
        <v>9</v>
      </c>
      <c r="Y174">
        <f t="shared" si="45"/>
        <v>126</v>
      </c>
      <c r="Z174">
        <f t="shared" si="45"/>
        <v>1</v>
      </c>
      <c r="AA174">
        <f t="shared" si="45"/>
        <v>1</v>
      </c>
      <c r="AB174">
        <f t="shared" si="45"/>
        <v>9</v>
      </c>
      <c r="AC174" s="4">
        <f t="shared" si="44"/>
        <v>10206</v>
      </c>
    </row>
    <row r="175" spans="1:29" x14ac:dyDescent="0.25">
      <c r="A175">
        <v>0</v>
      </c>
      <c r="B175">
        <v>1</v>
      </c>
      <c r="C175">
        <v>5</v>
      </c>
      <c r="D175">
        <v>0</v>
      </c>
      <c r="E175">
        <v>1</v>
      </c>
      <c r="F175">
        <v>0</v>
      </c>
      <c r="H175" t="str">
        <f t="shared" si="32"/>
        <v>1-5-0-1-0</v>
      </c>
      <c r="I175">
        <f t="shared" si="36"/>
        <v>0</v>
      </c>
      <c r="J175">
        <f t="shared" si="33"/>
        <v>133</v>
      </c>
      <c r="K175">
        <f t="shared" si="34"/>
        <v>91</v>
      </c>
      <c r="M175">
        <f t="shared" si="37"/>
        <v>1</v>
      </c>
      <c r="N175">
        <f t="shared" si="38"/>
        <v>6</v>
      </c>
      <c r="P175">
        <f t="shared" si="39"/>
        <v>5</v>
      </c>
      <c r="Q175">
        <f t="shared" si="40"/>
        <v>1</v>
      </c>
      <c r="R175">
        <f t="shared" si="41"/>
        <v>1</v>
      </c>
      <c r="S175">
        <f t="shared" si="42"/>
        <v>0</v>
      </c>
      <c r="T175">
        <f t="shared" si="43"/>
        <v>0</v>
      </c>
      <c r="V175" t="str">
        <f t="shared" si="35"/>
        <v>5-1-1-0-0</v>
      </c>
      <c r="X175">
        <f t="shared" si="45"/>
        <v>9</v>
      </c>
      <c r="Y175">
        <f t="shared" si="45"/>
        <v>126</v>
      </c>
      <c r="Z175">
        <f t="shared" si="45"/>
        <v>1</v>
      </c>
      <c r="AA175">
        <f t="shared" si="45"/>
        <v>9</v>
      </c>
      <c r="AB175">
        <f t="shared" si="45"/>
        <v>1</v>
      </c>
      <c r="AC175" s="4">
        <f t="shared" si="44"/>
        <v>10206</v>
      </c>
    </row>
    <row r="176" spans="1:29" x14ac:dyDescent="0.25">
      <c r="A176">
        <v>0</v>
      </c>
      <c r="B176">
        <v>1</v>
      </c>
      <c r="C176">
        <v>5</v>
      </c>
      <c r="D176">
        <v>1</v>
      </c>
      <c r="E176">
        <v>0</v>
      </c>
      <c r="F176">
        <v>0</v>
      </c>
      <c r="H176" t="str">
        <f t="shared" si="32"/>
        <v>1-5-1-0-0</v>
      </c>
      <c r="I176">
        <f t="shared" si="36"/>
        <v>0</v>
      </c>
      <c r="J176">
        <f t="shared" si="33"/>
        <v>123</v>
      </c>
      <c r="K176">
        <f t="shared" si="34"/>
        <v>81</v>
      </c>
      <c r="M176">
        <f t="shared" si="37"/>
        <v>1</v>
      </c>
      <c r="N176">
        <f t="shared" si="38"/>
        <v>7</v>
      </c>
      <c r="P176">
        <f t="shared" si="39"/>
        <v>5</v>
      </c>
      <c r="Q176">
        <f t="shared" si="40"/>
        <v>1</v>
      </c>
      <c r="R176">
        <f t="shared" si="41"/>
        <v>1</v>
      </c>
      <c r="S176">
        <f t="shared" si="42"/>
        <v>0</v>
      </c>
      <c r="T176">
        <f t="shared" si="43"/>
        <v>0</v>
      </c>
      <c r="V176" t="str">
        <f t="shared" si="35"/>
        <v>5-1-1-0-0</v>
      </c>
      <c r="X176">
        <f t="shared" si="45"/>
        <v>9</v>
      </c>
      <c r="Y176">
        <f t="shared" si="45"/>
        <v>126</v>
      </c>
      <c r="Z176">
        <f t="shared" si="45"/>
        <v>9</v>
      </c>
      <c r="AA176">
        <f t="shared" si="45"/>
        <v>1</v>
      </c>
      <c r="AB176">
        <f t="shared" si="45"/>
        <v>1</v>
      </c>
      <c r="AC176" s="4">
        <f t="shared" si="44"/>
        <v>10206</v>
      </c>
    </row>
    <row r="177" spans="1:29" x14ac:dyDescent="0.25">
      <c r="A177">
        <v>0</v>
      </c>
      <c r="B177">
        <v>5</v>
      </c>
      <c r="C177">
        <v>0</v>
      </c>
      <c r="D177">
        <v>0</v>
      </c>
      <c r="E177">
        <v>1</v>
      </c>
      <c r="F177">
        <v>1</v>
      </c>
      <c r="H177" t="str">
        <f t="shared" si="32"/>
        <v>5-0-0-1-1</v>
      </c>
      <c r="I177">
        <f t="shared" si="36"/>
        <v>0</v>
      </c>
      <c r="J177">
        <f t="shared" si="33"/>
        <v>123</v>
      </c>
      <c r="K177">
        <f t="shared" si="34"/>
        <v>85</v>
      </c>
      <c r="M177">
        <f t="shared" si="37"/>
        <v>2</v>
      </c>
      <c r="N177">
        <f t="shared" si="38"/>
        <v>5</v>
      </c>
      <c r="P177">
        <f t="shared" si="39"/>
        <v>5</v>
      </c>
      <c r="Q177">
        <f t="shared" si="40"/>
        <v>1</v>
      </c>
      <c r="R177">
        <f t="shared" si="41"/>
        <v>1</v>
      </c>
      <c r="S177">
        <f t="shared" si="42"/>
        <v>0</v>
      </c>
      <c r="T177">
        <f t="shared" si="43"/>
        <v>0</v>
      </c>
      <c r="V177" t="str">
        <f t="shared" si="35"/>
        <v>5-1-1-0-0</v>
      </c>
      <c r="X177">
        <f t="shared" si="45"/>
        <v>126</v>
      </c>
      <c r="Y177">
        <f t="shared" si="45"/>
        <v>1</v>
      </c>
      <c r="Z177">
        <f t="shared" si="45"/>
        <v>1</v>
      </c>
      <c r="AA177">
        <f t="shared" si="45"/>
        <v>9</v>
      </c>
      <c r="AB177">
        <f t="shared" si="45"/>
        <v>9</v>
      </c>
      <c r="AC177" s="4">
        <f t="shared" si="44"/>
        <v>10206</v>
      </c>
    </row>
    <row r="178" spans="1:29" x14ac:dyDescent="0.25">
      <c r="A178">
        <v>0</v>
      </c>
      <c r="B178">
        <v>5</v>
      </c>
      <c r="C178">
        <v>0</v>
      </c>
      <c r="D178">
        <v>1</v>
      </c>
      <c r="E178">
        <v>0</v>
      </c>
      <c r="F178">
        <v>1</v>
      </c>
      <c r="H178" t="str">
        <f t="shared" si="32"/>
        <v>5-0-1-0-1</v>
      </c>
      <c r="I178">
        <f t="shared" si="36"/>
        <v>0</v>
      </c>
      <c r="J178">
        <f t="shared" si="33"/>
        <v>113</v>
      </c>
      <c r="K178">
        <f t="shared" si="34"/>
        <v>75</v>
      </c>
      <c r="M178">
        <f t="shared" si="37"/>
        <v>2</v>
      </c>
      <c r="N178">
        <f t="shared" si="38"/>
        <v>6</v>
      </c>
      <c r="P178">
        <f t="shared" si="39"/>
        <v>5</v>
      </c>
      <c r="Q178">
        <f t="shared" si="40"/>
        <v>1</v>
      </c>
      <c r="R178">
        <f t="shared" si="41"/>
        <v>1</v>
      </c>
      <c r="S178">
        <f t="shared" si="42"/>
        <v>0</v>
      </c>
      <c r="T178">
        <f t="shared" si="43"/>
        <v>0</v>
      </c>
      <c r="V178" t="str">
        <f t="shared" si="35"/>
        <v>5-1-1-0-0</v>
      </c>
      <c r="X178">
        <f t="shared" si="45"/>
        <v>126</v>
      </c>
      <c r="Y178">
        <f t="shared" si="45"/>
        <v>1</v>
      </c>
      <c r="Z178">
        <f t="shared" si="45"/>
        <v>9</v>
      </c>
      <c r="AA178">
        <f t="shared" si="45"/>
        <v>1</v>
      </c>
      <c r="AB178">
        <f t="shared" si="45"/>
        <v>9</v>
      </c>
      <c r="AC178" s="4">
        <f t="shared" si="44"/>
        <v>10206</v>
      </c>
    </row>
    <row r="179" spans="1:29" x14ac:dyDescent="0.25">
      <c r="A179">
        <v>0</v>
      </c>
      <c r="B179">
        <v>5</v>
      </c>
      <c r="C179">
        <v>0</v>
      </c>
      <c r="D179">
        <v>1</v>
      </c>
      <c r="E179">
        <v>1</v>
      </c>
      <c r="F179">
        <v>0</v>
      </c>
      <c r="H179" t="str">
        <f t="shared" si="32"/>
        <v>5-0-1-1-0</v>
      </c>
      <c r="I179">
        <f t="shared" si="36"/>
        <v>0</v>
      </c>
      <c r="J179">
        <f t="shared" si="33"/>
        <v>103</v>
      </c>
      <c r="K179">
        <f t="shared" si="34"/>
        <v>65</v>
      </c>
      <c r="M179">
        <f t="shared" si="37"/>
        <v>2</v>
      </c>
      <c r="N179">
        <f t="shared" si="38"/>
        <v>6</v>
      </c>
      <c r="P179">
        <f t="shared" si="39"/>
        <v>5</v>
      </c>
      <c r="Q179">
        <f t="shared" si="40"/>
        <v>1</v>
      </c>
      <c r="R179">
        <f t="shared" si="41"/>
        <v>1</v>
      </c>
      <c r="S179">
        <f t="shared" si="42"/>
        <v>0</v>
      </c>
      <c r="T179">
        <f t="shared" si="43"/>
        <v>0</v>
      </c>
      <c r="V179" t="str">
        <f t="shared" si="35"/>
        <v>5-1-1-0-0</v>
      </c>
      <c r="X179">
        <f t="shared" si="45"/>
        <v>126</v>
      </c>
      <c r="Y179">
        <f t="shared" si="45"/>
        <v>1</v>
      </c>
      <c r="Z179">
        <f t="shared" si="45"/>
        <v>9</v>
      </c>
      <c r="AA179">
        <f t="shared" si="45"/>
        <v>9</v>
      </c>
      <c r="AB179">
        <f t="shared" si="45"/>
        <v>1</v>
      </c>
      <c r="AC179" s="4">
        <f t="shared" si="44"/>
        <v>10206</v>
      </c>
    </row>
    <row r="180" spans="1:29" x14ac:dyDescent="0.25">
      <c r="A180">
        <v>0</v>
      </c>
      <c r="B180">
        <v>5</v>
      </c>
      <c r="C180">
        <v>1</v>
      </c>
      <c r="D180">
        <v>0</v>
      </c>
      <c r="E180">
        <v>0</v>
      </c>
      <c r="F180">
        <v>1</v>
      </c>
      <c r="H180" t="str">
        <f t="shared" si="32"/>
        <v>5-1-0-0-1</v>
      </c>
      <c r="I180">
        <f t="shared" si="36"/>
        <v>0</v>
      </c>
      <c r="J180">
        <f t="shared" si="33"/>
        <v>103</v>
      </c>
      <c r="K180">
        <f t="shared" si="34"/>
        <v>65</v>
      </c>
      <c r="M180">
        <f t="shared" si="37"/>
        <v>1</v>
      </c>
      <c r="N180">
        <f t="shared" si="38"/>
        <v>6</v>
      </c>
      <c r="P180">
        <f t="shared" si="39"/>
        <v>5</v>
      </c>
      <c r="Q180">
        <f t="shared" si="40"/>
        <v>1</v>
      </c>
      <c r="R180">
        <f t="shared" si="41"/>
        <v>1</v>
      </c>
      <c r="S180">
        <f t="shared" si="42"/>
        <v>0</v>
      </c>
      <c r="T180">
        <f t="shared" si="43"/>
        <v>0</v>
      </c>
      <c r="V180" t="str">
        <f t="shared" si="35"/>
        <v>5-1-1-0-0</v>
      </c>
      <c r="X180">
        <f t="shared" si="45"/>
        <v>126</v>
      </c>
      <c r="Y180">
        <f t="shared" si="45"/>
        <v>9</v>
      </c>
      <c r="Z180">
        <f t="shared" si="45"/>
        <v>1</v>
      </c>
      <c r="AA180">
        <f t="shared" si="45"/>
        <v>1</v>
      </c>
      <c r="AB180">
        <f t="shared" si="45"/>
        <v>9</v>
      </c>
      <c r="AC180" s="4">
        <f t="shared" si="44"/>
        <v>10206</v>
      </c>
    </row>
    <row r="181" spans="1:29" x14ac:dyDescent="0.25">
      <c r="A181">
        <v>0</v>
      </c>
      <c r="B181">
        <v>5</v>
      </c>
      <c r="C181">
        <v>1</v>
      </c>
      <c r="D181">
        <v>0</v>
      </c>
      <c r="E181">
        <v>1</v>
      </c>
      <c r="F181">
        <v>0</v>
      </c>
      <c r="H181" t="str">
        <f t="shared" si="32"/>
        <v>5-1-0-1-0</v>
      </c>
      <c r="I181">
        <f t="shared" si="36"/>
        <v>0</v>
      </c>
      <c r="J181">
        <f t="shared" si="33"/>
        <v>93</v>
      </c>
      <c r="K181">
        <f t="shared" si="34"/>
        <v>55</v>
      </c>
      <c r="M181">
        <f t="shared" si="37"/>
        <v>1</v>
      </c>
      <c r="N181">
        <f t="shared" si="38"/>
        <v>6</v>
      </c>
      <c r="P181">
        <f t="shared" si="39"/>
        <v>5</v>
      </c>
      <c r="Q181">
        <f t="shared" si="40"/>
        <v>1</v>
      </c>
      <c r="R181">
        <f t="shared" si="41"/>
        <v>1</v>
      </c>
      <c r="S181">
        <f t="shared" si="42"/>
        <v>0</v>
      </c>
      <c r="T181">
        <f t="shared" si="43"/>
        <v>0</v>
      </c>
      <c r="V181" t="str">
        <f t="shared" si="35"/>
        <v>5-1-1-0-0</v>
      </c>
      <c r="X181">
        <f t="shared" si="45"/>
        <v>126</v>
      </c>
      <c r="Y181">
        <f t="shared" si="45"/>
        <v>9</v>
      </c>
      <c r="Z181">
        <f t="shared" si="45"/>
        <v>1</v>
      </c>
      <c r="AA181">
        <f t="shared" si="45"/>
        <v>9</v>
      </c>
      <c r="AB181">
        <f t="shared" si="45"/>
        <v>1</v>
      </c>
      <c r="AC181" s="4">
        <f t="shared" si="44"/>
        <v>10206</v>
      </c>
    </row>
    <row r="182" spans="1:29" x14ac:dyDescent="0.25">
      <c r="A182">
        <v>0</v>
      </c>
      <c r="B182">
        <v>5</v>
      </c>
      <c r="C182">
        <v>1</v>
      </c>
      <c r="D182">
        <v>1</v>
      </c>
      <c r="E182">
        <v>0</v>
      </c>
      <c r="F182">
        <v>0</v>
      </c>
      <c r="H182" t="str">
        <f t="shared" si="32"/>
        <v>5-1-1-0-0</v>
      </c>
      <c r="I182">
        <f t="shared" si="36"/>
        <v>0</v>
      </c>
      <c r="J182">
        <f t="shared" si="33"/>
        <v>83</v>
      </c>
      <c r="K182">
        <f t="shared" si="34"/>
        <v>45</v>
      </c>
      <c r="M182">
        <f t="shared" si="37"/>
        <v>1</v>
      </c>
      <c r="N182">
        <f t="shared" si="38"/>
        <v>7</v>
      </c>
      <c r="P182">
        <f t="shared" si="39"/>
        <v>5</v>
      </c>
      <c r="Q182">
        <f t="shared" si="40"/>
        <v>1</v>
      </c>
      <c r="R182">
        <f t="shared" si="41"/>
        <v>1</v>
      </c>
      <c r="S182">
        <f t="shared" si="42"/>
        <v>0</v>
      </c>
      <c r="T182">
        <f t="shared" si="43"/>
        <v>0</v>
      </c>
      <c r="V182" t="str">
        <f t="shared" si="35"/>
        <v>5-1-1-0-0</v>
      </c>
      <c r="X182">
        <f t="shared" si="45"/>
        <v>126</v>
      </c>
      <c r="Y182">
        <f t="shared" si="45"/>
        <v>9</v>
      </c>
      <c r="Z182">
        <f t="shared" si="45"/>
        <v>9</v>
      </c>
      <c r="AA182">
        <f t="shared" si="45"/>
        <v>1</v>
      </c>
      <c r="AB182">
        <f t="shared" si="45"/>
        <v>1</v>
      </c>
      <c r="AC182" s="4">
        <f t="shared" si="44"/>
        <v>10206</v>
      </c>
    </row>
    <row r="183" spans="1:29" x14ac:dyDescent="0.25">
      <c r="A183">
        <v>0</v>
      </c>
      <c r="B183">
        <v>0</v>
      </c>
      <c r="C183">
        <v>0</v>
      </c>
      <c r="D183">
        <v>1</v>
      </c>
      <c r="E183">
        <v>2</v>
      </c>
      <c r="F183">
        <v>4</v>
      </c>
      <c r="H183" t="str">
        <f t="shared" si="32"/>
        <v>0-0-1-2-4</v>
      </c>
      <c r="I183">
        <f t="shared" si="36"/>
        <v>0</v>
      </c>
      <c r="J183">
        <f t="shared" si="33"/>
        <v>296</v>
      </c>
      <c r="K183">
        <f t="shared" si="34"/>
        <v>247</v>
      </c>
      <c r="M183">
        <f t="shared" si="37"/>
        <v>7</v>
      </c>
      <c r="N183">
        <f t="shared" si="38"/>
        <v>1</v>
      </c>
      <c r="P183">
        <f t="shared" si="39"/>
        <v>4</v>
      </c>
      <c r="Q183">
        <f t="shared" si="40"/>
        <v>2</v>
      </c>
      <c r="R183">
        <f t="shared" si="41"/>
        <v>1</v>
      </c>
      <c r="S183">
        <f t="shared" si="42"/>
        <v>0</v>
      </c>
      <c r="T183">
        <f t="shared" si="43"/>
        <v>0</v>
      </c>
      <c r="V183" t="str">
        <f t="shared" si="35"/>
        <v>4-2-1-0-0</v>
      </c>
      <c r="X183">
        <f t="shared" si="45"/>
        <v>1</v>
      </c>
      <c r="Y183">
        <f t="shared" si="45"/>
        <v>1</v>
      </c>
      <c r="Z183">
        <f t="shared" si="45"/>
        <v>9</v>
      </c>
      <c r="AA183">
        <f t="shared" si="45"/>
        <v>36</v>
      </c>
      <c r="AB183">
        <f t="shared" si="45"/>
        <v>126</v>
      </c>
      <c r="AC183" s="4">
        <f t="shared" si="44"/>
        <v>40824</v>
      </c>
    </row>
    <row r="184" spans="1:29" x14ac:dyDescent="0.25">
      <c r="A184">
        <v>1</v>
      </c>
      <c r="B184">
        <v>0</v>
      </c>
      <c r="C184">
        <v>0</v>
      </c>
      <c r="D184">
        <v>1</v>
      </c>
      <c r="E184">
        <v>4</v>
      </c>
      <c r="F184">
        <v>2</v>
      </c>
      <c r="H184" t="str">
        <f t="shared" si="32"/>
        <v>0-0-1-4-2</v>
      </c>
      <c r="I184">
        <f t="shared" si="36"/>
        <v>1</v>
      </c>
      <c r="J184">
        <f t="shared" si="33"/>
        <v>276</v>
      </c>
      <c r="K184">
        <f t="shared" si="34"/>
        <v>227</v>
      </c>
      <c r="M184">
        <f t="shared" si="37"/>
        <v>7</v>
      </c>
      <c r="N184">
        <f t="shared" si="38"/>
        <v>1</v>
      </c>
      <c r="P184">
        <f t="shared" si="39"/>
        <v>4</v>
      </c>
      <c r="Q184">
        <f t="shared" si="40"/>
        <v>2</v>
      </c>
      <c r="R184">
        <f t="shared" si="41"/>
        <v>1</v>
      </c>
      <c r="S184">
        <f t="shared" si="42"/>
        <v>0</v>
      </c>
      <c r="T184">
        <f t="shared" si="43"/>
        <v>0</v>
      </c>
      <c r="V184" t="str">
        <f t="shared" si="35"/>
        <v>4-2-1-0-0</v>
      </c>
      <c r="X184">
        <f t="shared" si="45"/>
        <v>1</v>
      </c>
      <c r="Y184">
        <f t="shared" si="45"/>
        <v>1</v>
      </c>
      <c r="Z184">
        <f t="shared" si="45"/>
        <v>9</v>
      </c>
      <c r="AA184">
        <f t="shared" si="45"/>
        <v>126</v>
      </c>
      <c r="AB184">
        <f t="shared" si="45"/>
        <v>36</v>
      </c>
      <c r="AC184" s="4">
        <f t="shared" si="44"/>
        <v>40824</v>
      </c>
    </row>
    <row r="185" spans="1:29" x14ac:dyDescent="0.25">
      <c r="A185">
        <v>0</v>
      </c>
      <c r="B185">
        <v>0</v>
      </c>
      <c r="C185">
        <v>0</v>
      </c>
      <c r="D185">
        <v>2</v>
      </c>
      <c r="E185">
        <v>1</v>
      </c>
      <c r="F185">
        <v>4</v>
      </c>
      <c r="H185" t="str">
        <f t="shared" si="32"/>
        <v>0-0-2-1-4</v>
      </c>
      <c r="I185">
        <f t="shared" si="36"/>
        <v>0</v>
      </c>
      <c r="J185">
        <f t="shared" si="33"/>
        <v>286</v>
      </c>
      <c r="K185">
        <f t="shared" si="34"/>
        <v>237</v>
      </c>
      <c r="M185">
        <f t="shared" si="37"/>
        <v>7</v>
      </c>
      <c r="N185">
        <f t="shared" si="38"/>
        <v>2</v>
      </c>
      <c r="P185">
        <f t="shared" si="39"/>
        <v>4</v>
      </c>
      <c r="Q185">
        <f t="shared" si="40"/>
        <v>2</v>
      </c>
      <c r="R185">
        <f t="shared" si="41"/>
        <v>1</v>
      </c>
      <c r="S185">
        <f t="shared" si="42"/>
        <v>0</v>
      </c>
      <c r="T185">
        <f t="shared" si="43"/>
        <v>0</v>
      </c>
      <c r="V185" t="str">
        <f t="shared" si="35"/>
        <v>4-2-1-0-0</v>
      </c>
      <c r="X185">
        <f t="shared" si="45"/>
        <v>1</v>
      </c>
      <c r="Y185">
        <f t="shared" si="45"/>
        <v>1</v>
      </c>
      <c r="Z185">
        <f t="shared" si="45"/>
        <v>36</v>
      </c>
      <c r="AA185">
        <f t="shared" si="45"/>
        <v>9</v>
      </c>
      <c r="AB185">
        <f t="shared" si="45"/>
        <v>126</v>
      </c>
      <c r="AC185" s="4">
        <f t="shared" si="44"/>
        <v>40824</v>
      </c>
    </row>
    <row r="186" spans="1:29" x14ac:dyDescent="0.25">
      <c r="A186">
        <v>0</v>
      </c>
      <c r="B186">
        <v>0</v>
      </c>
      <c r="C186">
        <v>0</v>
      </c>
      <c r="D186">
        <v>2</v>
      </c>
      <c r="E186">
        <v>4</v>
      </c>
      <c r="F186">
        <v>1</v>
      </c>
      <c r="H186" t="str">
        <f t="shared" si="32"/>
        <v>0-0-2-4-1</v>
      </c>
      <c r="I186">
        <f t="shared" si="36"/>
        <v>0</v>
      </c>
      <c r="J186">
        <f t="shared" si="33"/>
        <v>256</v>
      </c>
      <c r="K186">
        <f t="shared" si="34"/>
        <v>207</v>
      </c>
      <c r="M186">
        <f t="shared" si="37"/>
        <v>7</v>
      </c>
      <c r="N186">
        <f t="shared" si="38"/>
        <v>2</v>
      </c>
      <c r="P186">
        <f t="shared" si="39"/>
        <v>4</v>
      </c>
      <c r="Q186">
        <f t="shared" si="40"/>
        <v>2</v>
      </c>
      <c r="R186">
        <f t="shared" si="41"/>
        <v>1</v>
      </c>
      <c r="S186">
        <f t="shared" si="42"/>
        <v>0</v>
      </c>
      <c r="T186">
        <f t="shared" si="43"/>
        <v>0</v>
      </c>
      <c r="V186" t="str">
        <f t="shared" si="35"/>
        <v>4-2-1-0-0</v>
      </c>
      <c r="X186">
        <f t="shared" si="45"/>
        <v>1</v>
      </c>
      <c r="Y186">
        <f t="shared" si="45"/>
        <v>1</v>
      </c>
      <c r="Z186">
        <f t="shared" si="45"/>
        <v>36</v>
      </c>
      <c r="AA186">
        <f t="shared" si="45"/>
        <v>126</v>
      </c>
      <c r="AB186">
        <f t="shared" si="45"/>
        <v>9</v>
      </c>
      <c r="AC186" s="4">
        <f t="shared" si="44"/>
        <v>40824</v>
      </c>
    </row>
    <row r="187" spans="1:29" x14ac:dyDescent="0.25">
      <c r="A187">
        <v>0</v>
      </c>
      <c r="B187">
        <v>0</v>
      </c>
      <c r="C187">
        <v>0</v>
      </c>
      <c r="D187">
        <v>4</v>
      </c>
      <c r="E187">
        <v>1</v>
      </c>
      <c r="F187">
        <v>2</v>
      </c>
      <c r="H187" t="str">
        <f t="shared" si="32"/>
        <v>0-0-4-1-2</v>
      </c>
      <c r="I187">
        <f t="shared" si="36"/>
        <v>0</v>
      </c>
      <c r="J187">
        <f t="shared" si="33"/>
        <v>246</v>
      </c>
      <c r="K187">
        <f t="shared" si="34"/>
        <v>197</v>
      </c>
      <c r="M187">
        <f t="shared" si="37"/>
        <v>7</v>
      </c>
      <c r="N187">
        <f t="shared" si="38"/>
        <v>4</v>
      </c>
      <c r="P187">
        <f t="shared" si="39"/>
        <v>4</v>
      </c>
      <c r="Q187">
        <f t="shared" si="40"/>
        <v>2</v>
      </c>
      <c r="R187">
        <f t="shared" si="41"/>
        <v>1</v>
      </c>
      <c r="S187">
        <f t="shared" si="42"/>
        <v>0</v>
      </c>
      <c r="T187">
        <f t="shared" si="43"/>
        <v>0</v>
      </c>
      <c r="V187" t="str">
        <f t="shared" si="35"/>
        <v>4-2-1-0-0</v>
      </c>
      <c r="X187">
        <f t="shared" si="45"/>
        <v>1</v>
      </c>
      <c r="Y187">
        <f t="shared" si="45"/>
        <v>1</v>
      </c>
      <c r="Z187">
        <f t="shared" si="45"/>
        <v>126</v>
      </c>
      <c r="AA187">
        <f t="shared" si="45"/>
        <v>9</v>
      </c>
      <c r="AB187">
        <f t="shared" si="45"/>
        <v>36</v>
      </c>
      <c r="AC187" s="4">
        <f t="shared" si="44"/>
        <v>40824</v>
      </c>
    </row>
    <row r="188" spans="1:29" x14ac:dyDescent="0.25">
      <c r="A188">
        <v>1</v>
      </c>
      <c r="B188">
        <v>0</v>
      </c>
      <c r="C188">
        <v>0</v>
      </c>
      <c r="D188">
        <v>4</v>
      </c>
      <c r="E188">
        <v>2</v>
      </c>
      <c r="F188">
        <v>1</v>
      </c>
      <c r="H188" t="str">
        <f t="shared" si="32"/>
        <v>0-0-4-2-1</v>
      </c>
      <c r="I188">
        <f t="shared" si="36"/>
        <v>1</v>
      </c>
      <c r="J188">
        <f t="shared" si="33"/>
        <v>236</v>
      </c>
      <c r="K188">
        <f t="shared" si="34"/>
        <v>187</v>
      </c>
      <c r="M188">
        <f t="shared" si="37"/>
        <v>7</v>
      </c>
      <c r="N188">
        <f t="shared" si="38"/>
        <v>4</v>
      </c>
      <c r="P188">
        <f t="shared" si="39"/>
        <v>4</v>
      </c>
      <c r="Q188">
        <f t="shared" si="40"/>
        <v>2</v>
      </c>
      <c r="R188">
        <f t="shared" si="41"/>
        <v>1</v>
      </c>
      <c r="S188">
        <f t="shared" si="42"/>
        <v>0</v>
      </c>
      <c r="T188">
        <f t="shared" si="43"/>
        <v>0</v>
      </c>
      <c r="V188" t="str">
        <f t="shared" si="35"/>
        <v>4-2-1-0-0</v>
      </c>
      <c r="X188">
        <f t="shared" si="45"/>
        <v>1</v>
      </c>
      <c r="Y188">
        <f t="shared" si="45"/>
        <v>1</v>
      </c>
      <c r="Z188">
        <f t="shared" si="45"/>
        <v>126</v>
      </c>
      <c r="AA188">
        <f t="shared" si="45"/>
        <v>36</v>
      </c>
      <c r="AB188">
        <f t="shared" si="45"/>
        <v>9</v>
      </c>
      <c r="AC188" s="4">
        <f t="shared" si="44"/>
        <v>40824</v>
      </c>
    </row>
    <row r="189" spans="1:29" x14ac:dyDescent="0.25">
      <c r="A189">
        <v>0</v>
      </c>
      <c r="B189">
        <v>0</v>
      </c>
      <c r="C189">
        <v>1</v>
      </c>
      <c r="D189">
        <v>0</v>
      </c>
      <c r="E189">
        <v>2</v>
      </c>
      <c r="F189">
        <v>4</v>
      </c>
      <c r="H189" t="str">
        <f t="shared" si="32"/>
        <v>0-1-0-2-4</v>
      </c>
      <c r="I189">
        <f t="shared" si="36"/>
        <v>0</v>
      </c>
      <c r="J189">
        <f t="shared" si="33"/>
        <v>286</v>
      </c>
      <c r="K189">
        <f t="shared" si="34"/>
        <v>237</v>
      </c>
      <c r="M189">
        <f t="shared" si="37"/>
        <v>6</v>
      </c>
      <c r="N189">
        <f t="shared" si="38"/>
        <v>1</v>
      </c>
      <c r="P189">
        <f t="shared" si="39"/>
        <v>4</v>
      </c>
      <c r="Q189">
        <f t="shared" si="40"/>
        <v>2</v>
      </c>
      <c r="R189">
        <f t="shared" si="41"/>
        <v>1</v>
      </c>
      <c r="S189">
        <f t="shared" si="42"/>
        <v>0</v>
      </c>
      <c r="T189">
        <f t="shared" si="43"/>
        <v>0</v>
      </c>
      <c r="V189" t="str">
        <f t="shared" si="35"/>
        <v>4-2-1-0-0</v>
      </c>
      <c r="X189">
        <f t="shared" si="45"/>
        <v>1</v>
      </c>
      <c r="Y189">
        <f t="shared" si="45"/>
        <v>9</v>
      </c>
      <c r="Z189">
        <f t="shared" si="45"/>
        <v>1</v>
      </c>
      <c r="AA189">
        <f t="shared" si="45"/>
        <v>36</v>
      </c>
      <c r="AB189">
        <f t="shared" si="45"/>
        <v>126</v>
      </c>
      <c r="AC189" s="4">
        <f t="shared" si="44"/>
        <v>40824</v>
      </c>
    </row>
    <row r="190" spans="1:29" x14ac:dyDescent="0.25">
      <c r="A190">
        <v>0</v>
      </c>
      <c r="B190">
        <v>0</v>
      </c>
      <c r="C190">
        <v>1</v>
      </c>
      <c r="D190">
        <v>0</v>
      </c>
      <c r="E190">
        <v>4</v>
      </c>
      <c r="F190">
        <v>2</v>
      </c>
      <c r="H190" t="str">
        <f t="shared" si="32"/>
        <v>0-1-0-4-2</v>
      </c>
      <c r="I190">
        <f t="shared" si="36"/>
        <v>0</v>
      </c>
      <c r="J190">
        <f t="shared" si="33"/>
        <v>266</v>
      </c>
      <c r="K190">
        <f t="shared" si="34"/>
        <v>217</v>
      </c>
      <c r="M190">
        <f t="shared" si="37"/>
        <v>6</v>
      </c>
      <c r="N190">
        <f t="shared" si="38"/>
        <v>1</v>
      </c>
      <c r="P190">
        <f t="shared" si="39"/>
        <v>4</v>
      </c>
      <c r="Q190">
        <f t="shared" si="40"/>
        <v>2</v>
      </c>
      <c r="R190">
        <f t="shared" si="41"/>
        <v>1</v>
      </c>
      <c r="S190">
        <f t="shared" si="42"/>
        <v>0</v>
      </c>
      <c r="T190">
        <f t="shared" si="43"/>
        <v>0</v>
      </c>
      <c r="V190" t="str">
        <f t="shared" si="35"/>
        <v>4-2-1-0-0</v>
      </c>
      <c r="X190">
        <f t="shared" si="45"/>
        <v>1</v>
      </c>
      <c r="Y190">
        <f t="shared" si="45"/>
        <v>9</v>
      </c>
      <c r="Z190">
        <f t="shared" si="45"/>
        <v>1</v>
      </c>
      <c r="AA190">
        <f t="shared" si="45"/>
        <v>126</v>
      </c>
      <c r="AB190">
        <f t="shared" si="45"/>
        <v>36</v>
      </c>
      <c r="AC190" s="4">
        <f t="shared" si="44"/>
        <v>40824</v>
      </c>
    </row>
    <row r="191" spans="1:29" x14ac:dyDescent="0.25">
      <c r="A191">
        <v>0</v>
      </c>
      <c r="B191">
        <v>0</v>
      </c>
      <c r="C191">
        <v>1</v>
      </c>
      <c r="D191">
        <v>2</v>
      </c>
      <c r="E191">
        <v>0</v>
      </c>
      <c r="F191">
        <v>4</v>
      </c>
      <c r="H191" t="str">
        <f t="shared" si="32"/>
        <v>0-1-2-0-4</v>
      </c>
      <c r="I191">
        <f t="shared" si="36"/>
        <v>0</v>
      </c>
      <c r="J191">
        <f t="shared" si="33"/>
        <v>266</v>
      </c>
      <c r="K191">
        <f t="shared" si="34"/>
        <v>217</v>
      </c>
      <c r="M191">
        <f t="shared" si="37"/>
        <v>6</v>
      </c>
      <c r="N191">
        <f t="shared" si="38"/>
        <v>3</v>
      </c>
      <c r="P191">
        <f t="shared" si="39"/>
        <v>4</v>
      </c>
      <c r="Q191">
        <f t="shared" si="40"/>
        <v>2</v>
      </c>
      <c r="R191">
        <f t="shared" si="41"/>
        <v>1</v>
      </c>
      <c r="S191">
        <f t="shared" si="42"/>
        <v>0</v>
      </c>
      <c r="T191">
        <f t="shared" si="43"/>
        <v>0</v>
      </c>
      <c r="V191" t="str">
        <f t="shared" si="35"/>
        <v>4-2-1-0-0</v>
      </c>
      <c r="X191">
        <f t="shared" si="45"/>
        <v>1</v>
      </c>
      <c r="Y191">
        <f t="shared" si="45"/>
        <v>9</v>
      </c>
      <c r="Z191">
        <f t="shared" si="45"/>
        <v>36</v>
      </c>
      <c r="AA191">
        <f t="shared" si="45"/>
        <v>1</v>
      </c>
      <c r="AB191">
        <f t="shared" si="45"/>
        <v>126</v>
      </c>
      <c r="AC191" s="4">
        <f t="shared" si="44"/>
        <v>40824</v>
      </c>
    </row>
    <row r="192" spans="1:29" x14ac:dyDescent="0.25">
      <c r="A192">
        <v>0</v>
      </c>
      <c r="B192">
        <v>0</v>
      </c>
      <c r="C192">
        <v>1</v>
      </c>
      <c r="D192">
        <v>2</v>
      </c>
      <c r="E192">
        <v>4</v>
      </c>
      <c r="F192">
        <v>0</v>
      </c>
      <c r="H192" t="str">
        <f t="shared" si="32"/>
        <v>0-1-2-4-0</v>
      </c>
      <c r="I192">
        <f t="shared" si="36"/>
        <v>0</v>
      </c>
      <c r="J192">
        <f t="shared" si="33"/>
        <v>226</v>
      </c>
      <c r="K192">
        <f t="shared" si="34"/>
        <v>177</v>
      </c>
      <c r="M192">
        <f t="shared" si="37"/>
        <v>6</v>
      </c>
      <c r="N192">
        <f t="shared" si="38"/>
        <v>3</v>
      </c>
      <c r="P192">
        <f t="shared" si="39"/>
        <v>4</v>
      </c>
      <c r="Q192">
        <f t="shared" si="40"/>
        <v>2</v>
      </c>
      <c r="R192">
        <f t="shared" si="41"/>
        <v>1</v>
      </c>
      <c r="S192">
        <f t="shared" si="42"/>
        <v>0</v>
      </c>
      <c r="T192">
        <f t="shared" si="43"/>
        <v>0</v>
      </c>
      <c r="V192" t="str">
        <f t="shared" si="35"/>
        <v>4-2-1-0-0</v>
      </c>
      <c r="X192">
        <f t="shared" si="45"/>
        <v>1</v>
      </c>
      <c r="Y192">
        <f t="shared" si="45"/>
        <v>9</v>
      </c>
      <c r="Z192">
        <f t="shared" si="45"/>
        <v>36</v>
      </c>
      <c r="AA192">
        <f t="shared" si="45"/>
        <v>126</v>
      </c>
      <c r="AB192">
        <f t="shared" si="45"/>
        <v>1</v>
      </c>
      <c r="AC192" s="4">
        <f t="shared" si="44"/>
        <v>40824</v>
      </c>
    </row>
    <row r="193" spans="1:29" x14ac:dyDescent="0.25">
      <c r="A193">
        <v>1</v>
      </c>
      <c r="B193">
        <v>0</v>
      </c>
      <c r="C193">
        <v>1</v>
      </c>
      <c r="D193">
        <v>4</v>
      </c>
      <c r="E193">
        <v>0</v>
      </c>
      <c r="F193">
        <v>2</v>
      </c>
      <c r="H193" t="str">
        <f t="shared" si="32"/>
        <v>0-1-4-0-2</v>
      </c>
      <c r="I193">
        <f t="shared" si="36"/>
        <v>1</v>
      </c>
      <c r="J193">
        <f t="shared" si="33"/>
        <v>226</v>
      </c>
      <c r="K193">
        <f t="shared" si="34"/>
        <v>177</v>
      </c>
      <c r="M193">
        <f t="shared" si="37"/>
        <v>6</v>
      </c>
      <c r="N193">
        <f t="shared" si="38"/>
        <v>5</v>
      </c>
      <c r="P193">
        <f t="shared" si="39"/>
        <v>4</v>
      </c>
      <c r="Q193">
        <f t="shared" si="40"/>
        <v>2</v>
      </c>
      <c r="R193">
        <f t="shared" si="41"/>
        <v>1</v>
      </c>
      <c r="S193">
        <f t="shared" si="42"/>
        <v>0</v>
      </c>
      <c r="T193">
        <f t="shared" si="43"/>
        <v>0</v>
      </c>
      <c r="V193" t="str">
        <f t="shared" si="35"/>
        <v>4-2-1-0-0</v>
      </c>
      <c r="X193">
        <f t="shared" si="45"/>
        <v>1</v>
      </c>
      <c r="Y193">
        <f t="shared" si="45"/>
        <v>9</v>
      </c>
      <c r="Z193">
        <f t="shared" si="45"/>
        <v>126</v>
      </c>
      <c r="AA193">
        <f t="shared" si="45"/>
        <v>1</v>
      </c>
      <c r="AB193">
        <f t="shared" si="45"/>
        <v>36</v>
      </c>
      <c r="AC193" s="4">
        <f t="shared" si="44"/>
        <v>40824</v>
      </c>
    </row>
    <row r="194" spans="1:29" x14ac:dyDescent="0.25">
      <c r="A194">
        <v>0</v>
      </c>
      <c r="B194">
        <v>0</v>
      </c>
      <c r="C194">
        <v>1</v>
      </c>
      <c r="D194">
        <v>4</v>
      </c>
      <c r="E194">
        <v>2</v>
      </c>
      <c r="F194">
        <v>0</v>
      </c>
      <c r="H194" t="str">
        <f t="shared" si="32"/>
        <v>0-1-4-2-0</v>
      </c>
      <c r="I194">
        <f t="shared" si="36"/>
        <v>0</v>
      </c>
      <c r="J194">
        <f t="shared" si="33"/>
        <v>206</v>
      </c>
      <c r="K194">
        <f t="shared" si="34"/>
        <v>157</v>
      </c>
      <c r="M194">
        <f t="shared" si="37"/>
        <v>6</v>
      </c>
      <c r="N194">
        <f t="shared" si="38"/>
        <v>5</v>
      </c>
      <c r="P194">
        <f t="shared" si="39"/>
        <v>4</v>
      </c>
      <c r="Q194">
        <f t="shared" si="40"/>
        <v>2</v>
      </c>
      <c r="R194">
        <f t="shared" si="41"/>
        <v>1</v>
      </c>
      <c r="S194">
        <f t="shared" si="42"/>
        <v>0</v>
      </c>
      <c r="T194">
        <f t="shared" si="43"/>
        <v>0</v>
      </c>
      <c r="V194" t="str">
        <f t="shared" si="35"/>
        <v>4-2-1-0-0</v>
      </c>
      <c r="X194">
        <f t="shared" si="45"/>
        <v>1</v>
      </c>
      <c r="Y194">
        <f t="shared" si="45"/>
        <v>9</v>
      </c>
      <c r="Z194">
        <f t="shared" si="45"/>
        <v>126</v>
      </c>
      <c r="AA194">
        <f t="shared" si="45"/>
        <v>36</v>
      </c>
      <c r="AB194">
        <f t="shared" si="45"/>
        <v>1</v>
      </c>
      <c r="AC194" s="4">
        <f t="shared" si="44"/>
        <v>40824</v>
      </c>
    </row>
    <row r="195" spans="1:29" x14ac:dyDescent="0.25">
      <c r="A195">
        <v>0</v>
      </c>
      <c r="B195">
        <v>0</v>
      </c>
      <c r="C195">
        <v>2</v>
      </c>
      <c r="D195">
        <v>0</v>
      </c>
      <c r="E195">
        <v>1</v>
      </c>
      <c r="F195">
        <v>4</v>
      </c>
      <c r="H195" t="str">
        <f t="shared" ref="H195:H258" si="46">CONCATENATE(B195,"-",C195,"-",D195,"-",E195,"-",F195)</f>
        <v>0-2-0-1-4</v>
      </c>
      <c r="I195">
        <f t="shared" si="36"/>
        <v>0</v>
      </c>
      <c r="J195">
        <f t="shared" ref="J195:J258" si="47">((9*B195)-((B195-1)*(B195))/2)+((19*C195)-((C195-1)*(C195))/2)+((29*D195)-((D195-1)*(D195))/2)+((39*E195)-((E195-1)*(E195))/2)+((49*F195)-((F195-1)*(F195))/2)</f>
        <v>266</v>
      </c>
      <c r="K195">
        <f t="shared" ref="K195:K258" si="48">((1*B195)+((B195-1)*(B195))/2)+((10*C195)+((C195-1)*(C195))/2)+((20*D195)+((D195-1)*(D195))/2)+((30*E195)+((E195-1)*(E195))/2)+((40*F195)+((F195-1)*(F195))/2)</f>
        <v>217</v>
      </c>
      <c r="M195">
        <f t="shared" si="37"/>
        <v>5</v>
      </c>
      <c r="N195">
        <f t="shared" si="38"/>
        <v>2</v>
      </c>
      <c r="P195">
        <f t="shared" si="39"/>
        <v>4</v>
      </c>
      <c r="Q195">
        <f t="shared" si="40"/>
        <v>2</v>
      </c>
      <c r="R195">
        <f t="shared" si="41"/>
        <v>1</v>
      </c>
      <c r="S195">
        <f t="shared" si="42"/>
        <v>0</v>
      </c>
      <c r="T195">
        <f t="shared" si="43"/>
        <v>0</v>
      </c>
      <c r="V195" t="str">
        <f t="shared" ref="V195:V258" si="49">CONCATENATE(P195,"-",Q195,"-",R195,"-",S195,"-",T195)</f>
        <v>4-2-1-0-0</v>
      </c>
      <c r="X195">
        <f t="shared" si="45"/>
        <v>1</v>
      </c>
      <c r="Y195">
        <f t="shared" si="45"/>
        <v>36</v>
      </c>
      <c r="Z195">
        <f t="shared" si="45"/>
        <v>1</v>
      </c>
      <c r="AA195">
        <f t="shared" si="45"/>
        <v>9</v>
      </c>
      <c r="AB195">
        <f t="shared" si="45"/>
        <v>126</v>
      </c>
      <c r="AC195" s="4">
        <f t="shared" si="44"/>
        <v>40824</v>
      </c>
    </row>
    <row r="196" spans="1:29" x14ac:dyDescent="0.25">
      <c r="A196">
        <v>0</v>
      </c>
      <c r="B196">
        <v>0</v>
      </c>
      <c r="C196">
        <v>2</v>
      </c>
      <c r="D196">
        <v>0</v>
      </c>
      <c r="E196">
        <v>4</v>
      </c>
      <c r="F196">
        <v>1</v>
      </c>
      <c r="H196" t="str">
        <f t="shared" si="46"/>
        <v>0-2-0-4-1</v>
      </c>
      <c r="I196">
        <f t="shared" ref="I196:I259" si="50">A196</f>
        <v>0</v>
      </c>
      <c r="J196">
        <f t="shared" si="47"/>
        <v>236</v>
      </c>
      <c r="K196">
        <f t="shared" si="48"/>
        <v>187</v>
      </c>
      <c r="M196">
        <f t="shared" ref="M196:M259" si="51">D196+E196+F196</f>
        <v>5</v>
      </c>
      <c r="N196">
        <f t="shared" ref="N196:N259" si="52">B196+C196+D196</f>
        <v>2</v>
      </c>
      <c r="P196">
        <f t="shared" ref="P196:P259" si="53">LARGE($B196:$F196,1)</f>
        <v>4</v>
      </c>
      <c r="Q196">
        <f t="shared" ref="Q196:Q259" si="54">LARGE($B196:$F196,2)</f>
        <v>2</v>
      </c>
      <c r="R196">
        <f t="shared" ref="R196:R259" si="55">LARGE($B196:$F196,3)</f>
        <v>1</v>
      </c>
      <c r="S196">
        <f t="shared" ref="S196:S259" si="56">LARGE($B196:$F196,4)</f>
        <v>0</v>
      </c>
      <c r="T196">
        <f t="shared" ref="T196:T259" si="57">LARGE($B196:$F196,5)</f>
        <v>0</v>
      </c>
      <c r="V196" t="str">
        <f t="shared" si="49"/>
        <v>4-2-1-0-0</v>
      </c>
      <c r="X196">
        <f t="shared" si="45"/>
        <v>1</v>
      </c>
      <c r="Y196">
        <f t="shared" si="45"/>
        <v>36</v>
      </c>
      <c r="Z196">
        <f t="shared" si="45"/>
        <v>1</v>
      </c>
      <c r="AA196">
        <f t="shared" si="45"/>
        <v>126</v>
      </c>
      <c r="AB196">
        <f t="shared" si="45"/>
        <v>9</v>
      </c>
      <c r="AC196" s="4">
        <f t="shared" ref="AC196:AC259" si="58">X196*Y196*Z196*AA196*AB196</f>
        <v>40824</v>
      </c>
    </row>
    <row r="197" spans="1:29" x14ac:dyDescent="0.25">
      <c r="A197">
        <v>0</v>
      </c>
      <c r="B197">
        <v>0</v>
      </c>
      <c r="C197">
        <v>2</v>
      </c>
      <c r="D197">
        <v>1</v>
      </c>
      <c r="E197">
        <v>0</v>
      </c>
      <c r="F197">
        <v>4</v>
      </c>
      <c r="H197" t="str">
        <f t="shared" si="46"/>
        <v>0-2-1-0-4</v>
      </c>
      <c r="I197">
        <f t="shared" si="50"/>
        <v>0</v>
      </c>
      <c r="J197">
        <f t="shared" si="47"/>
        <v>256</v>
      </c>
      <c r="K197">
        <f t="shared" si="48"/>
        <v>207</v>
      </c>
      <c r="M197">
        <f t="shared" si="51"/>
        <v>5</v>
      </c>
      <c r="N197">
        <f t="shared" si="52"/>
        <v>3</v>
      </c>
      <c r="P197">
        <f t="shared" si="53"/>
        <v>4</v>
      </c>
      <c r="Q197">
        <f t="shared" si="54"/>
        <v>2</v>
      </c>
      <c r="R197">
        <f t="shared" si="55"/>
        <v>1</v>
      </c>
      <c r="S197">
        <f t="shared" si="56"/>
        <v>0</v>
      </c>
      <c r="T197">
        <f t="shared" si="57"/>
        <v>0</v>
      </c>
      <c r="V197" t="str">
        <f t="shared" si="49"/>
        <v>4-2-1-0-0</v>
      </c>
      <c r="X197">
        <f t="shared" si="45"/>
        <v>1</v>
      </c>
      <c r="Y197">
        <f t="shared" si="45"/>
        <v>36</v>
      </c>
      <c r="Z197">
        <f t="shared" si="45"/>
        <v>9</v>
      </c>
      <c r="AA197">
        <f t="shared" si="45"/>
        <v>1</v>
      </c>
      <c r="AB197">
        <f t="shared" si="45"/>
        <v>126</v>
      </c>
      <c r="AC197" s="4">
        <f t="shared" si="58"/>
        <v>40824</v>
      </c>
    </row>
    <row r="198" spans="1:29" x14ac:dyDescent="0.25">
      <c r="A198">
        <v>0</v>
      </c>
      <c r="B198">
        <v>0</v>
      </c>
      <c r="C198">
        <v>2</v>
      </c>
      <c r="D198">
        <v>1</v>
      </c>
      <c r="E198">
        <v>4</v>
      </c>
      <c r="F198">
        <v>0</v>
      </c>
      <c r="H198" t="str">
        <f t="shared" si="46"/>
        <v>0-2-1-4-0</v>
      </c>
      <c r="I198">
        <f t="shared" si="50"/>
        <v>0</v>
      </c>
      <c r="J198">
        <f t="shared" si="47"/>
        <v>216</v>
      </c>
      <c r="K198">
        <f t="shared" si="48"/>
        <v>167</v>
      </c>
      <c r="M198">
        <f t="shared" si="51"/>
        <v>5</v>
      </c>
      <c r="N198">
        <f t="shared" si="52"/>
        <v>3</v>
      </c>
      <c r="P198">
        <f t="shared" si="53"/>
        <v>4</v>
      </c>
      <c r="Q198">
        <f t="shared" si="54"/>
        <v>2</v>
      </c>
      <c r="R198">
        <f t="shared" si="55"/>
        <v>1</v>
      </c>
      <c r="S198">
        <f t="shared" si="56"/>
        <v>0</v>
      </c>
      <c r="T198">
        <f t="shared" si="57"/>
        <v>0</v>
      </c>
      <c r="V198" t="str">
        <f t="shared" si="49"/>
        <v>4-2-1-0-0</v>
      </c>
      <c r="X198">
        <f t="shared" si="45"/>
        <v>1</v>
      </c>
      <c r="Y198">
        <f t="shared" si="45"/>
        <v>36</v>
      </c>
      <c r="Z198">
        <f t="shared" si="45"/>
        <v>9</v>
      </c>
      <c r="AA198">
        <f t="shared" si="45"/>
        <v>126</v>
      </c>
      <c r="AB198">
        <f t="shared" si="45"/>
        <v>1</v>
      </c>
      <c r="AC198" s="4">
        <f t="shared" si="58"/>
        <v>40824</v>
      </c>
    </row>
    <row r="199" spans="1:29" x14ac:dyDescent="0.25">
      <c r="A199">
        <v>1</v>
      </c>
      <c r="B199">
        <v>0</v>
      </c>
      <c r="C199">
        <v>2</v>
      </c>
      <c r="D199">
        <v>4</v>
      </c>
      <c r="E199">
        <v>0</v>
      </c>
      <c r="F199">
        <v>1</v>
      </c>
      <c r="H199" t="str">
        <f t="shared" si="46"/>
        <v>0-2-4-0-1</v>
      </c>
      <c r="I199">
        <f t="shared" si="50"/>
        <v>1</v>
      </c>
      <c r="J199">
        <f t="shared" si="47"/>
        <v>196</v>
      </c>
      <c r="K199">
        <f t="shared" si="48"/>
        <v>147</v>
      </c>
      <c r="M199">
        <f t="shared" si="51"/>
        <v>5</v>
      </c>
      <c r="N199">
        <f t="shared" si="52"/>
        <v>6</v>
      </c>
      <c r="P199">
        <f t="shared" si="53"/>
        <v>4</v>
      </c>
      <c r="Q199">
        <f t="shared" si="54"/>
        <v>2</v>
      </c>
      <c r="R199">
        <f t="shared" si="55"/>
        <v>1</v>
      </c>
      <c r="S199">
        <f t="shared" si="56"/>
        <v>0</v>
      </c>
      <c r="T199">
        <f t="shared" si="57"/>
        <v>0</v>
      </c>
      <c r="V199" t="str">
        <f t="shared" si="49"/>
        <v>4-2-1-0-0</v>
      </c>
      <c r="X199">
        <f t="shared" si="45"/>
        <v>1</v>
      </c>
      <c r="Y199">
        <f t="shared" si="45"/>
        <v>36</v>
      </c>
      <c r="Z199">
        <f t="shared" si="45"/>
        <v>126</v>
      </c>
      <c r="AA199">
        <f t="shared" si="45"/>
        <v>1</v>
      </c>
      <c r="AB199">
        <f t="shared" si="45"/>
        <v>9</v>
      </c>
      <c r="AC199" s="4">
        <f t="shared" si="58"/>
        <v>40824</v>
      </c>
    </row>
    <row r="200" spans="1:29" x14ac:dyDescent="0.25">
      <c r="A200">
        <v>0</v>
      </c>
      <c r="B200">
        <v>0</v>
      </c>
      <c r="C200">
        <v>2</v>
      </c>
      <c r="D200">
        <v>4</v>
      </c>
      <c r="E200">
        <v>1</v>
      </c>
      <c r="F200">
        <v>0</v>
      </c>
      <c r="H200" t="str">
        <f t="shared" si="46"/>
        <v>0-2-4-1-0</v>
      </c>
      <c r="I200">
        <f t="shared" si="50"/>
        <v>0</v>
      </c>
      <c r="J200">
        <f t="shared" si="47"/>
        <v>186</v>
      </c>
      <c r="K200">
        <f t="shared" si="48"/>
        <v>137</v>
      </c>
      <c r="M200">
        <f t="shared" si="51"/>
        <v>5</v>
      </c>
      <c r="N200">
        <f t="shared" si="52"/>
        <v>6</v>
      </c>
      <c r="P200">
        <f t="shared" si="53"/>
        <v>4</v>
      </c>
      <c r="Q200">
        <f t="shared" si="54"/>
        <v>2</v>
      </c>
      <c r="R200">
        <f t="shared" si="55"/>
        <v>1</v>
      </c>
      <c r="S200">
        <f t="shared" si="56"/>
        <v>0</v>
      </c>
      <c r="T200">
        <f t="shared" si="57"/>
        <v>0</v>
      </c>
      <c r="V200" t="str">
        <f t="shared" si="49"/>
        <v>4-2-1-0-0</v>
      </c>
      <c r="X200">
        <f t="shared" si="45"/>
        <v>1</v>
      </c>
      <c r="Y200">
        <f t="shared" si="45"/>
        <v>36</v>
      </c>
      <c r="Z200">
        <f t="shared" si="45"/>
        <v>126</v>
      </c>
      <c r="AA200">
        <f t="shared" si="45"/>
        <v>9</v>
      </c>
      <c r="AB200">
        <f t="shared" si="45"/>
        <v>1</v>
      </c>
      <c r="AC200" s="4">
        <f t="shared" si="58"/>
        <v>40824</v>
      </c>
    </row>
    <row r="201" spans="1:29" x14ac:dyDescent="0.25">
      <c r="A201">
        <v>0</v>
      </c>
      <c r="B201">
        <v>0</v>
      </c>
      <c r="C201">
        <v>4</v>
      </c>
      <c r="D201">
        <v>0</v>
      </c>
      <c r="E201">
        <v>1</v>
      </c>
      <c r="F201">
        <v>2</v>
      </c>
      <c r="H201" t="str">
        <f t="shared" si="46"/>
        <v>0-4-0-1-2</v>
      </c>
      <c r="I201">
        <f t="shared" si="50"/>
        <v>0</v>
      </c>
      <c r="J201">
        <f t="shared" si="47"/>
        <v>206</v>
      </c>
      <c r="K201">
        <f t="shared" si="48"/>
        <v>157</v>
      </c>
      <c r="M201">
        <f t="shared" si="51"/>
        <v>3</v>
      </c>
      <c r="N201">
        <f t="shared" si="52"/>
        <v>4</v>
      </c>
      <c r="P201">
        <f t="shared" si="53"/>
        <v>4</v>
      </c>
      <c r="Q201">
        <f t="shared" si="54"/>
        <v>2</v>
      </c>
      <c r="R201">
        <f t="shared" si="55"/>
        <v>1</v>
      </c>
      <c r="S201">
        <f t="shared" si="56"/>
        <v>0</v>
      </c>
      <c r="T201">
        <f t="shared" si="57"/>
        <v>0</v>
      </c>
      <c r="V201" t="str">
        <f t="shared" si="49"/>
        <v>4-2-1-0-0</v>
      </c>
      <c r="X201">
        <f t="shared" si="45"/>
        <v>1</v>
      </c>
      <c r="Y201">
        <f t="shared" si="45"/>
        <v>126</v>
      </c>
      <c r="Z201">
        <f t="shared" si="45"/>
        <v>1</v>
      </c>
      <c r="AA201">
        <f t="shared" si="45"/>
        <v>9</v>
      </c>
      <c r="AB201">
        <f t="shared" si="45"/>
        <v>36</v>
      </c>
      <c r="AC201" s="4">
        <f t="shared" si="58"/>
        <v>40824</v>
      </c>
    </row>
    <row r="202" spans="1:29" x14ac:dyDescent="0.25">
      <c r="A202">
        <v>0</v>
      </c>
      <c r="B202">
        <v>0</v>
      </c>
      <c r="C202">
        <v>4</v>
      </c>
      <c r="D202">
        <v>0</v>
      </c>
      <c r="E202">
        <v>2</v>
      </c>
      <c r="F202">
        <v>1</v>
      </c>
      <c r="H202" t="str">
        <f t="shared" si="46"/>
        <v>0-4-0-2-1</v>
      </c>
      <c r="I202">
        <f t="shared" si="50"/>
        <v>0</v>
      </c>
      <c r="J202">
        <f t="shared" si="47"/>
        <v>196</v>
      </c>
      <c r="K202">
        <f t="shared" si="48"/>
        <v>147</v>
      </c>
      <c r="M202">
        <f t="shared" si="51"/>
        <v>3</v>
      </c>
      <c r="N202">
        <f t="shared" si="52"/>
        <v>4</v>
      </c>
      <c r="P202">
        <f t="shared" si="53"/>
        <v>4</v>
      </c>
      <c r="Q202">
        <f t="shared" si="54"/>
        <v>2</v>
      </c>
      <c r="R202">
        <f t="shared" si="55"/>
        <v>1</v>
      </c>
      <c r="S202">
        <f t="shared" si="56"/>
        <v>0</v>
      </c>
      <c r="T202">
        <f t="shared" si="57"/>
        <v>0</v>
      </c>
      <c r="V202" t="str">
        <f t="shared" si="49"/>
        <v>4-2-1-0-0</v>
      </c>
      <c r="X202">
        <f t="shared" si="45"/>
        <v>1</v>
      </c>
      <c r="Y202">
        <f t="shared" si="45"/>
        <v>126</v>
      </c>
      <c r="Z202">
        <f t="shared" si="45"/>
        <v>1</v>
      </c>
      <c r="AA202">
        <f t="shared" si="45"/>
        <v>36</v>
      </c>
      <c r="AB202">
        <f t="shared" si="45"/>
        <v>9</v>
      </c>
      <c r="AC202" s="4">
        <f t="shared" si="58"/>
        <v>40824</v>
      </c>
    </row>
    <row r="203" spans="1:29" x14ac:dyDescent="0.25">
      <c r="A203">
        <v>0</v>
      </c>
      <c r="B203">
        <v>0</v>
      </c>
      <c r="C203">
        <v>4</v>
      </c>
      <c r="D203">
        <v>1</v>
      </c>
      <c r="E203">
        <v>0</v>
      </c>
      <c r="F203">
        <v>2</v>
      </c>
      <c r="H203" t="str">
        <f t="shared" si="46"/>
        <v>0-4-1-0-2</v>
      </c>
      <c r="I203">
        <f t="shared" si="50"/>
        <v>0</v>
      </c>
      <c r="J203">
        <f t="shared" si="47"/>
        <v>196</v>
      </c>
      <c r="K203">
        <f t="shared" si="48"/>
        <v>147</v>
      </c>
      <c r="M203">
        <f t="shared" si="51"/>
        <v>3</v>
      </c>
      <c r="N203">
        <f t="shared" si="52"/>
        <v>5</v>
      </c>
      <c r="P203">
        <f t="shared" si="53"/>
        <v>4</v>
      </c>
      <c r="Q203">
        <f t="shared" si="54"/>
        <v>2</v>
      </c>
      <c r="R203">
        <f t="shared" si="55"/>
        <v>1</v>
      </c>
      <c r="S203">
        <f t="shared" si="56"/>
        <v>0</v>
      </c>
      <c r="T203">
        <f t="shared" si="57"/>
        <v>0</v>
      </c>
      <c r="V203" t="str">
        <f t="shared" si="49"/>
        <v>4-2-1-0-0</v>
      </c>
      <c r="X203">
        <f t="shared" si="45"/>
        <v>1</v>
      </c>
      <c r="Y203">
        <f t="shared" si="45"/>
        <v>126</v>
      </c>
      <c r="Z203">
        <f t="shared" si="45"/>
        <v>9</v>
      </c>
      <c r="AA203">
        <f t="shared" si="45"/>
        <v>1</v>
      </c>
      <c r="AB203">
        <f t="shared" si="45"/>
        <v>36</v>
      </c>
      <c r="AC203" s="4">
        <f t="shared" si="58"/>
        <v>40824</v>
      </c>
    </row>
    <row r="204" spans="1:29" x14ac:dyDescent="0.25">
      <c r="A204">
        <v>0</v>
      </c>
      <c r="B204">
        <v>0</v>
      </c>
      <c r="C204">
        <v>4</v>
      </c>
      <c r="D204">
        <v>1</v>
      </c>
      <c r="E204">
        <v>2</v>
      </c>
      <c r="F204">
        <v>0</v>
      </c>
      <c r="H204" t="str">
        <f t="shared" si="46"/>
        <v>0-4-1-2-0</v>
      </c>
      <c r="I204">
        <f t="shared" si="50"/>
        <v>0</v>
      </c>
      <c r="J204">
        <f t="shared" si="47"/>
        <v>176</v>
      </c>
      <c r="K204">
        <f t="shared" si="48"/>
        <v>127</v>
      </c>
      <c r="M204">
        <f t="shared" si="51"/>
        <v>3</v>
      </c>
      <c r="N204">
        <f t="shared" si="52"/>
        <v>5</v>
      </c>
      <c r="P204">
        <f t="shared" si="53"/>
        <v>4</v>
      </c>
      <c r="Q204">
        <f t="shared" si="54"/>
        <v>2</v>
      </c>
      <c r="R204">
        <f t="shared" si="55"/>
        <v>1</v>
      </c>
      <c r="S204">
        <f t="shared" si="56"/>
        <v>0</v>
      </c>
      <c r="T204">
        <f t="shared" si="57"/>
        <v>0</v>
      </c>
      <c r="V204" t="str">
        <f t="shared" si="49"/>
        <v>4-2-1-0-0</v>
      </c>
      <c r="X204">
        <f t="shared" si="45"/>
        <v>1</v>
      </c>
      <c r="Y204">
        <f t="shared" si="45"/>
        <v>126</v>
      </c>
      <c r="Z204">
        <f t="shared" si="45"/>
        <v>9</v>
      </c>
      <c r="AA204">
        <f t="shared" si="45"/>
        <v>36</v>
      </c>
      <c r="AB204">
        <f t="shared" si="45"/>
        <v>1</v>
      </c>
      <c r="AC204" s="4">
        <f t="shared" si="58"/>
        <v>40824</v>
      </c>
    </row>
    <row r="205" spans="1:29" x14ac:dyDescent="0.25">
      <c r="A205">
        <v>1</v>
      </c>
      <c r="B205">
        <v>0</v>
      </c>
      <c r="C205">
        <v>4</v>
      </c>
      <c r="D205">
        <v>2</v>
      </c>
      <c r="E205">
        <v>0</v>
      </c>
      <c r="F205">
        <v>1</v>
      </c>
      <c r="H205" t="str">
        <f t="shared" si="46"/>
        <v>0-4-2-0-1</v>
      </c>
      <c r="I205">
        <f t="shared" si="50"/>
        <v>1</v>
      </c>
      <c r="J205">
        <f t="shared" si="47"/>
        <v>176</v>
      </c>
      <c r="K205">
        <f t="shared" si="48"/>
        <v>127</v>
      </c>
      <c r="M205">
        <f t="shared" si="51"/>
        <v>3</v>
      </c>
      <c r="N205">
        <f t="shared" si="52"/>
        <v>6</v>
      </c>
      <c r="P205">
        <f t="shared" si="53"/>
        <v>4</v>
      </c>
      <c r="Q205">
        <f t="shared" si="54"/>
        <v>2</v>
      </c>
      <c r="R205">
        <f t="shared" si="55"/>
        <v>1</v>
      </c>
      <c r="S205">
        <f t="shared" si="56"/>
        <v>0</v>
      </c>
      <c r="T205">
        <f t="shared" si="57"/>
        <v>0</v>
      </c>
      <c r="V205" t="str">
        <f t="shared" si="49"/>
        <v>4-2-1-0-0</v>
      </c>
      <c r="X205">
        <f t="shared" si="45"/>
        <v>1</v>
      </c>
      <c r="Y205">
        <f t="shared" si="45"/>
        <v>126</v>
      </c>
      <c r="Z205">
        <f t="shared" si="45"/>
        <v>36</v>
      </c>
      <c r="AA205">
        <f t="shared" si="45"/>
        <v>1</v>
      </c>
      <c r="AB205">
        <f t="shared" si="45"/>
        <v>9</v>
      </c>
      <c r="AC205" s="4">
        <f t="shared" si="58"/>
        <v>40824</v>
      </c>
    </row>
    <row r="206" spans="1:29" x14ac:dyDescent="0.25">
      <c r="A206">
        <v>0</v>
      </c>
      <c r="B206">
        <v>0</v>
      </c>
      <c r="C206">
        <v>4</v>
      </c>
      <c r="D206">
        <v>2</v>
      </c>
      <c r="E206">
        <v>1</v>
      </c>
      <c r="F206">
        <v>0</v>
      </c>
      <c r="H206" t="str">
        <f t="shared" si="46"/>
        <v>0-4-2-1-0</v>
      </c>
      <c r="I206">
        <f t="shared" si="50"/>
        <v>0</v>
      </c>
      <c r="J206">
        <f t="shared" si="47"/>
        <v>166</v>
      </c>
      <c r="K206">
        <f t="shared" si="48"/>
        <v>117</v>
      </c>
      <c r="M206">
        <f t="shared" si="51"/>
        <v>3</v>
      </c>
      <c r="N206">
        <f t="shared" si="52"/>
        <v>6</v>
      </c>
      <c r="P206">
        <f t="shared" si="53"/>
        <v>4</v>
      </c>
      <c r="Q206">
        <f t="shared" si="54"/>
        <v>2</v>
      </c>
      <c r="R206">
        <f t="shared" si="55"/>
        <v>1</v>
      </c>
      <c r="S206">
        <f t="shared" si="56"/>
        <v>0</v>
      </c>
      <c r="T206">
        <f t="shared" si="57"/>
        <v>0</v>
      </c>
      <c r="V206" t="str">
        <f t="shared" si="49"/>
        <v>4-2-1-0-0</v>
      </c>
      <c r="X206">
        <f t="shared" si="45"/>
        <v>1</v>
      </c>
      <c r="Y206">
        <f t="shared" si="45"/>
        <v>126</v>
      </c>
      <c r="Z206">
        <f t="shared" si="45"/>
        <v>36</v>
      </c>
      <c r="AA206">
        <f t="shared" si="45"/>
        <v>9</v>
      </c>
      <c r="AB206">
        <f t="shared" si="45"/>
        <v>1</v>
      </c>
      <c r="AC206" s="4">
        <f t="shared" si="58"/>
        <v>40824</v>
      </c>
    </row>
    <row r="207" spans="1:29" x14ac:dyDescent="0.25">
      <c r="A207">
        <v>0</v>
      </c>
      <c r="B207">
        <v>1</v>
      </c>
      <c r="C207">
        <v>0</v>
      </c>
      <c r="D207">
        <v>0</v>
      </c>
      <c r="E207">
        <v>2</v>
      </c>
      <c r="F207">
        <v>4</v>
      </c>
      <c r="H207" t="str">
        <f t="shared" si="46"/>
        <v>1-0-0-2-4</v>
      </c>
      <c r="I207">
        <f t="shared" si="50"/>
        <v>0</v>
      </c>
      <c r="J207">
        <f t="shared" si="47"/>
        <v>276</v>
      </c>
      <c r="K207">
        <f t="shared" si="48"/>
        <v>228</v>
      </c>
      <c r="M207">
        <f t="shared" si="51"/>
        <v>6</v>
      </c>
      <c r="N207">
        <f t="shared" si="52"/>
        <v>1</v>
      </c>
      <c r="P207">
        <f t="shared" si="53"/>
        <v>4</v>
      </c>
      <c r="Q207">
        <f t="shared" si="54"/>
        <v>2</v>
      </c>
      <c r="R207">
        <f t="shared" si="55"/>
        <v>1</v>
      </c>
      <c r="S207">
        <f t="shared" si="56"/>
        <v>0</v>
      </c>
      <c r="T207">
        <f t="shared" si="57"/>
        <v>0</v>
      </c>
      <c r="V207" t="str">
        <f t="shared" si="49"/>
        <v>4-2-1-0-0</v>
      </c>
      <c r="X207">
        <f t="shared" si="45"/>
        <v>9</v>
      </c>
      <c r="Y207">
        <f t="shared" si="45"/>
        <v>1</v>
      </c>
      <c r="Z207">
        <f t="shared" si="45"/>
        <v>1</v>
      </c>
      <c r="AA207">
        <f t="shared" si="45"/>
        <v>36</v>
      </c>
      <c r="AB207">
        <f t="shared" si="45"/>
        <v>126</v>
      </c>
      <c r="AC207" s="4">
        <f t="shared" si="58"/>
        <v>40824</v>
      </c>
    </row>
    <row r="208" spans="1:29" x14ac:dyDescent="0.25">
      <c r="A208">
        <v>0</v>
      </c>
      <c r="B208">
        <v>1</v>
      </c>
      <c r="C208">
        <v>0</v>
      </c>
      <c r="D208">
        <v>0</v>
      </c>
      <c r="E208">
        <v>4</v>
      </c>
      <c r="F208">
        <v>2</v>
      </c>
      <c r="H208" t="str">
        <f t="shared" si="46"/>
        <v>1-0-0-4-2</v>
      </c>
      <c r="I208">
        <f t="shared" si="50"/>
        <v>0</v>
      </c>
      <c r="J208">
        <f t="shared" si="47"/>
        <v>256</v>
      </c>
      <c r="K208">
        <f t="shared" si="48"/>
        <v>208</v>
      </c>
      <c r="M208">
        <f t="shared" si="51"/>
        <v>6</v>
      </c>
      <c r="N208">
        <f t="shared" si="52"/>
        <v>1</v>
      </c>
      <c r="P208">
        <f t="shared" si="53"/>
        <v>4</v>
      </c>
      <c r="Q208">
        <f t="shared" si="54"/>
        <v>2</v>
      </c>
      <c r="R208">
        <f t="shared" si="55"/>
        <v>1</v>
      </c>
      <c r="S208">
        <f t="shared" si="56"/>
        <v>0</v>
      </c>
      <c r="T208">
        <f t="shared" si="57"/>
        <v>0</v>
      </c>
      <c r="V208" t="str">
        <f t="shared" si="49"/>
        <v>4-2-1-0-0</v>
      </c>
      <c r="X208">
        <f t="shared" ref="X208:AB258" si="59">PERMUT(9,B208)/PERMUT(B208,B208)</f>
        <v>9</v>
      </c>
      <c r="Y208">
        <f t="shared" si="59"/>
        <v>1</v>
      </c>
      <c r="Z208">
        <f t="shared" si="59"/>
        <v>1</v>
      </c>
      <c r="AA208">
        <f t="shared" si="59"/>
        <v>126</v>
      </c>
      <c r="AB208">
        <f t="shared" si="59"/>
        <v>36</v>
      </c>
      <c r="AC208" s="4">
        <f t="shared" si="58"/>
        <v>40824</v>
      </c>
    </row>
    <row r="209" spans="1:29" x14ac:dyDescent="0.25">
      <c r="A209">
        <v>2</v>
      </c>
      <c r="B209">
        <v>1</v>
      </c>
      <c r="C209">
        <v>0</v>
      </c>
      <c r="D209">
        <v>2</v>
      </c>
      <c r="E209">
        <v>0</v>
      </c>
      <c r="F209">
        <v>4</v>
      </c>
      <c r="H209" t="str">
        <f t="shared" si="46"/>
        <v>1-0-2-0-4</v>
      </c>
      <c r="I209">
        <f t="shared" si="50"/>
        <v>2</v>
      </c>
      <c r="J209">
        <f t="shared" si="47"/>
        <v>256</v>
      </c>
      <c r="K209">
        <f t="shared" si="48"/>
        <v>208</v>
      </c>
      <c r="M209">
        <f t="shared" si="51"/>
        <v>6</v>
      </c>
      <c r="N209">
        <f t="shared" si="52"/>
        <v>3</v>
      </c>
      <c r="P209">
        <f t="shared" si="53"/>
        <v>4</v>
      </c>
      <c r="Q209">
        <f t="shared" si="54"/>
        <v>2</v>
      </c>
      <c r="R209">
        <f t="shared" si="55"/>
        <v>1</v>
      </c>
      <c r="S209">
        <f t="shared" si="56"/>
        <v>0</v>
      </c>
      <c r="T209">
        <f t="shared" si="57"/>
        <v>0</v>
      </c>
      <c r="V209" t="str">
        <f t="shared" si="49"/>
        <v>4-2-1-0-0</v>
      </c>
      <c r="X209">
        <f t="shared" si="59"/>
        <v>9</v>
      </c>
      <c r="Y209">
        <f t="shared" si="59"/>
        <v>1</v>
      </c>
      <c r="Z209">
        <f t="shared" si="59"/>
        <v>36</v>
      </c>
      <c r="AA209">
        <f t="shared" si="59"/>
        <v>1</v>
      </c>
      <c r="AB209">
        <f t="shared" si="59"/>
        <v>126</v>
      </c>
      <c r="AC209" s="4">
        <f t="shared" si="58"/>
        <v>40824</v>
      </c>
    </row>
    <row r="210" spans="1:29" x14ac:dyDescent="0.25">
      <c r="A210">
        <v>0</v>
      </c>
      <c r="B210">
        <v>1</v>
      </c>
      <c r="C210">
        <v>0</v>
      </c>
      <c r="D210">
        <v>2</v>
      </c>
      <c r="E210">
        <v>4</v>
      </c>
      <c r="F210">
        <v>0</v>
      </c>
      <c r="H210" t="str">
        <f t="shared" si="46"/>
        <v>1-0-2-4-0</v>
      </c>
      <c r="I210">
        <f t="shared" si="50"/>
        <v>0</v>
      </c>
      <c r="J210">
        <f t="shared" si="47"/>
        <v>216</v>
      </c>
      <c r="K210">
        <f t="shared" si="48"/>
        <v>168</v>
      </c>
      <c r="M210">
        <f t="shared" si="51"/>
        <v>6</v>
      </c>
      <c r="N210">
        <f t="shared" si="52"/>
        <v>3</v>
      </c>
      <c r="P210">
        <f t="shared" si="53"/>
        <v>4</v>
      </c>
      <c r="Q210">
        <f t="shared" si="54"/>
        <v>2</v>
      </c>
      <c r="R210">
        <f t="shared" si="55"/>
        <v>1</v>
      </c>
      <c r="S210">
        <f t="shared" si="56"/>
        <v>0</v>
      </c>
      <c r="T210">
        <f t="shared" si="57"/>
        <v>0</v>
      </c>
      <c r="V210" t="str">
        <f t="shared" si="49"/>
        <v>4-2-1-0-0</v>
      </c>
      <c r="X210">
        <f t="shared" si="59"/>
        <v>9</v>
      </c>
      <c r="Y210">
        <f t="shared" si="59"/>
        <v>1</v>
      </c>
      <c r="Z210">
        <f t="shared" si="59"/>
        <v>36</v>
      </c>
      <c r="AA210">
        <f t="shared" si="59"/>
        <v>126</v>
      </c>
      <c r="AB210">
        <f t="shared" si="59"/>
        <v>1</v>
      </c>
      <c r="AC210" s="4">
        <f t="shared" si="58"/>
        <v>40824</v>
      </c>
    </row>
    <row r="211" spans="1:29" x14ac:dyDescent="0.25">
      <c r="A211">
        <v>0</v>
      </c>
      <c r="B211">
        <v>1</v>
      </c>
      <c r="C211">
        <v>0</v>
      </c>
      <c r="D211">
        <v>4</v>
      </c>
      <c r="E211">
        <v>0</v>
      </c>
      <c r="F211">
        <v>2</v>
      </c>
      <c r="H211" t="str">
        <f t="shared" si="46"/>
        <v>1-0-4-0-2</v>
      </c>
      <c r="I211">
        <f t="shared" si="50"/>
        <v>0</v>
      </c>
      <c r="J211">
        <f t="shared" si="47"/>
        <v>216</v>
      </c>
      <c r="K211">
        <f t="shared" si="48"/>
        <v>168</v>
      </c>
      <c r="M211">
        <f t="shared" si="51"/>
        <v>6</v>
      </c>
      <c r="N211">
        <f t="shared" si="52"/>
        <v>5</v>
      </c>
      <c r="P211">
        <f t="shared" si="53"/>
        <v>4</v>
      </c>
      <c r="Q211">
        <f t="shared" si="54"/>
        <v>2</v>
      </c>
      <c r="R211">
        <f t="shared" si="55"/>
        <v>1</v>
      </c>
      <c r="S211">
        <f t="shared" si="56"/>
        <v>0</v>
      </c>
      <c r="T211">
        <f t="shared" si="57"/>
        <v>0</v>
      </c>
      <c r="V211" t="str">
        <f t="shared" si="49"/>
        <v>4-2-1-0-0</v>
      </c>
      <c r="X211">
        <f t="shared" si="59"/>
        <v>9</v>
      </c>
      <c r="Y211">
        <f t="shared" si="59"/>
        <v>1</v>
      </c>
      <c r="Z211">
        <f t="shared" si="59"/>
        <v>126</v>
      </c>
      <c r="AA211">
        <f t="shared" si="59"/>
        <v>1</v>
      </c>
      <c r="AB211">
        <f t="shared" si="59"/>
        <v>36</v>
      </c>
      <c r="AC211" s="4">
        <f t="shared" si="58"/>
        <v>40824</v>
      </c>
    </row>
    <row r="212" spans="1:29" x14ac:dyDescent="0.25">
      <c r="A212">
        <v>1</v>
      </c>
      <c r="B212">
        <v>1</v>
      </c>
      <c r="C212">
        <v>0</v>
      </c>
      <c r="D212">
        <v>4</v>
      </c>
      <c r="E212">
        <v>2</v>
      </c>
      <c r="F212">
        <v>0</v>
      </c>
      <c r="H212" t="str">
        <f t="shared" si="46"/>
        <v>1-0-4-2-0</v>
      </c>
      <c r="I212">
        <f t="shared" si="50"/>
        <v>1</v>
      </c>
      <c r="J212">
        <f t="shared" si="47"/>
        <v>196</v>
      </c>
      <c r="K212">
        <f t="shared" si="48"/>
        <v>148</v>
      </c>
      <c r="M212">
        <f t="shared" si="51"/>
        <v>6</v>
      </c>
      <c r="N212">
        <f t="shared" si="52"/>
        <v>5</v>
      </c>
      <c r="P212">
        <f t="shared" si="53"/>
        <v>4</v>
      </c>
      <c r="Q212">
        <f t="shared" si="54"/>
        <v>2</v>
      </c>
      <c r="R212">
        <f t="shared" si="55"/>
        <v>1</v>
      </c>
      <c r="S212">
        <f t="shared" si="56"/>
        <v>0</v>
      </c>
      <c r="T212">
        <f t="shared" si="57"/>
        <v>0</v>
      </c>
      <c r="V212" t="str">
        <f t="shared" si="49"/>
        <v>4-2-1-0-0</v>
      </c>
      <c r="X212">
        <f t="shared" si="59"/>
        <v>9</v>
      </c>
      <c r="Y212">
        <f t="shared" si="59"/>
        <v>1</v>
      </c>
      <c r="Z212">
        <f t="shared" si="59"/>
        <v>126</v>
      </c>
      <c r="AA212">
        <f t="shared" si="59"/>
        <v>36</v>
      </c>
      <c r="AB212">
        <f t="shared" si="59"/>
        <v>1</v>
      </c>
      <c r="AC212" s="4">
        <f t="shared" si="58"/>
        <v>40824</v>
      </c>
    </row>
    <row r="213" spans="1:29" x14ac:dyDescent="0.25">
      <c r="A213">
        <v>1</v>
      </c>
      <c r="B213">
        <v>1</v>
      </c>
      <c r="C213">
        <v>2</v>
      </c>
      <c r="D213">
        <v>0</v>
      </c>
      <c r="E213">
        <v>0</v>
      </c>
      <c r="F213">
        <v>4</v>
      </c>
      <c r="H213" t="str">
        <f t="shared" si="46"/>
        <v>1-2-0-0-4</v>
      </c>
      <c r="I213">
        <f t="shared" si="50"/>
        <v>1</v>
      </c>
      <c r="J213">
        <f t="shared" si="47"/>
        <v>236</v>
      </c>
      <c r="K213">
        <f t="shared" si="48"/>
        <v>188</v>
      </c>
      <c r="M213">
        <f t="shared" si="51"/>
        <v>4</v>
      </c>
      <c r="N213">
        <f t="shared" si="52"/>
        <v>3</v>
      </c>
      <c r="P213">
        <f t="shared" si="53"/>
        <v>4</v>
      </c>
      <c r="Q213">
        <f t="shared" si="54"/>
        <v>2</v>
      </c>
      <c r="R213">
        <f t="shared" si="55"/>
        <v>1</v>
      </c>
      <c r="S213">
        <f t="shared" si="56"/>
        <v>0</v>
      </c>
      <c r="T213">
        <f t="shared" si="57"/>
        <v>0</v>
      </c>
      <c r="V213" t="str">
        <f t="shared" si="49"/>
        <v>4-2-1-0-0</v>
      </c>
      <c r="X213">
        <f t="shared" si="59"/>
        <v>9</v>
      </c>
      <c r="Y213">
        <f t="shared" si="59"/>
        <v>36</v>
      </c>
      <c r="Z213">
        <f t="shared" si="59"/>
        <v>1</v>
      </c>
      <c r="AA213">
        <f t="shared" si="59"/>
        <v>1</v>
      </c>
      <c r="AB213">
        <f t="shared" si="59"/>
        <v>126</v>
      </c>
      <c r="AC213" s="4">
        <f t="shared" si="58"/>
        <v>40824</v>
      </c>
    </row>
    <row r="214" spans="1:29" x14ac:dyDescent="0.25">
      <c r="A214">
        <v>0</v>
      </c>
      <c r="B214">
        <v>1</v>
      </c>
      <c r="C214">
        <v>2</v>
      </c>
      <c r="D214">
        <v>0</v>
      </c>
      <c r="E214">
        <v>4</v>
      </c>
      <c r="F214">
        <v>0</v>
      </c>
      <c r="H214" t="str">
        <f t="shared" si="46"/>
        <v>1-2-0-4-0</v>
      </c>
      <c r="I214">
        <f t="shared" si="50"/>
        <v>0</v>
      </c>
      <c r="J214">
        <f t="shared" si="47"/>
        <v>196</v>
      </c>
      <c r="K214">
        <f t="shared" si="48"/>
        <v>148</v>
      </c>
      <c r="M214">
        <f t="shared" si="51"/>
        <v>4</v>
      </c>
      <c r="N214">
        <f t="shared" si="52"/>
        <v>3</v>
      </c>
      <c r="P214">
        <f t="shared" si="53"/>
        <v>4</v>
      </c>
      <c r="Q214">
        <f t="shared" si="54"/>
        <v>2</v>
      </c>
      <c r="R214">
        <f t="shared" si="55"/>
        <v>1</v>
      </c>
      <c r="S214">
        <f t="shared" si="56"/>
        <v>0</v>
      </c>
      <c r="T214">
        <f t="shared" si="57"/>
        <v>0</v>
      </c>
      <c r="V214" t="str">
        <f t="shared" si="49"/>
        <v>4-2-1-0-0</v>
      </c>
      <c r="X214">
        <f t="shared" si="59"/>
        <v>9</v>
      </c>
      <c r="Y214">
        <f t="shared" si="59"/>
        <v>36</v>
      </c>
      <c r="Z214">
        <f t="shared" si="59"/>
        <v>1</v>
      </c>
      <c r="AA214">
        <f t="shared" si="59"/>
        <v>126</v>
      </c>
      <c r="AB214">
        <f t="shared" si="59"/>
        <v>1</v>
      </c>
      <c r="AC214" s="4">
        <f t="shared" si="58"/>
        <v>40824</v>
      </c>
    </row>
    <row r="215" spans="1:29" x14ac:dyDescent="0.25">
      <c r="A215">
        <v>0</v>
      </c>
      <c r="B215">
        <v>1</v>
      </c>
      <c r="C215">
        <v>2</v>
      </c>
      <c r="D215">
        <v>4</v>
      </c>
      <c r="E215">
        <v>0</v>
      </c>
      <c r="F215">
        <v>0</v>
      </c>
      <c r="H215" t="str">
        <f t="shared" si="46"/>
        <v>1-2-4-0-0</v>
      </c>
      <c r="I215">
        <f t="shared" si="50"/>
        <v>0</v>
      </c>
      <c r="J215">
        <f t="shared" si="47"/>
        <v>156</v>
      </c>
      <c r="K215">
        <f t="shared" si="48"/>
        <v>108</v>
      </c>
      <c r="M215">
        <f t="shared" si="51"/>
        <v>4</v>
      </c>
      <c r="N215">
        <f t="shared" si="52"/>
        <v>7</v>
      </c>
      <c r="P215">
        <f t="shared" si="53"/>
        <v>4</v>
      </c>
      <c r="Q215">
        <f t="shared" si="54"/>
        <v>2</v>
      </c>
      <c r="R215">
        <f t="shared" si="55"/>
        <v>1</v>
      </c>
      <c r="S215">
        <f t="shared" si="56"/>
        <v>0</v>
      </c>
      <c r="T215">
        <f t="shared" si="57"/>
        <v>0</v>
      </c>
      <c r="V215" t="str">
        <f t="shared" si="49"/>
        <v>4-2-1-0-0</v>
      </c>
      <c r="X215">
        <f t="shared" si="59"/>
        <v>9</v>
      </c>
      <c r="Y215">
        <f t="shared" si="59"/>
        <v>36</v>
      </c>
      <c r="Z215">
        <f t="shared" si="59"/>
        <v>126</v>
      </c>
      <c r="AA215">
        <f t="shared" si="59"/>
        <v>1</v>
      </c>
      <c r="AB215">
        <f t="shared" si="59"/>
        <v>1</v>
      </c>
      <c r="AC215" s="4">
        <f t="shared" si="58"/>
        <v>40824</v>
      </c>
    </row>
    <row r="216" spans="1:29" x14ac:dyDescent="0.25">
      <c r="A216">
        <v>0</v>
      </c>
      <c r="B216">
        <v>1</v>
      </c>
      <c r="C216">
        <v>4</v>
      </c>
      <c r="D216">
        <v>0</v>
      </c>
      <c r="E216">
        <v>0</v>
      </c>
      <c r="F216">
        <v>2</v>
      </c>
      <c r="H216" t="str">
        <f t="shared" si="46"/>
        <v>1-4-0-0-2</v>
      </c>
      <c r="I216">
        <f t="shared" si="50"/>
        <v>0</v>
      </c>
      <c r="J216">
        <f t="shared" si="47"/>
        <v>176</v>
      </c>
      <c r="K216">
        <f t="shared" si="48"/>
        <v>128</v>
      </c>
      <c r="M216">
        <f t="shared" si="51"/>
        <v>2</v>
      </c>
      <c r="N216">
        <f t="shared" si="52"/>
        <v>5</v>
      </c>
      <c r="P216">
        <f t="shared" si="53"/>
        <v>4</v>
      </c>
      <c r="Q216">
        <f t="shared" si="54"/>
        <v>2</v>
      </c>
      <c r="R216">
        <f t="shared" si="55"/>
        <v>1</v>
      </c>
      <c r="S216">
        <f t="shared" si="56"/>
        <v>0</v>
      </c>
      <c r="T216">
        <f t="shared" si="57"/>
        <v>0</v>
      </c>
      <c r="V216" t="str">
        <f t="shared" si="49"/>
        <v>4-2-1-0-0</v>
      </c>
      <c r="X216">
        <f t="shared" si="59"/>
        <v>9</v>
      </c>
      <c r="Y216">
        <f t="shared" si="59"/>
        <v>126</v>
      </c>
      <c r="Z216">
        <f t="shared" si="59"/>
        <v>1</v>
      </c>
      <c r="AA216">
        <f t="shared" si="59"/>
        <v>1</v>
      </c>
      <c r="AB216">
        <f t="shared" si="59"/>
        <v>36</v>
      </c>
      <c r="AC216" s="4">
        <f t="shared" si="58"/>
        <v>40824</v>
      </c>
    </row>
    <row r="217" spans="1:29" x14ac:dyDescent="0.25">
      <c r="A217">
        <v>0</v>
      </c>
      <c r="B217">
        <v>1</v>
      </c>
      <c r="C217">
        <v>4</v>
      </c>
      <c r="D217">
        <v>0</v>
      </c>
      <c r="E217">
        <v>2</v>
      </c>
      <c r="F217">
        <v>0</v>
      </c>
      <c r="H217" t="str">
        <f t="shared" si="46"/>
        <v>1-4-0-2-0</v>
      </c>
      <c r="I217">
        <f t="shared" si="50"/>
        <v>0</v>
      </c>
      <c r="J217">
        <f t="shared" si="47"/>
        <v>156</v>
      </c>
      <c r="K217">
        <f t="shared" si="48"/>
        <v>108</v>
      </c>
      <c r="M217">
        <f t="shared" si="51"/>
        <v>2</v>
      </c>
      <c r="N217">
        <f t="shared" si="52"/>
        <v>5</v>
      </c>
      <c r="P217">
        <f t="shared" si="53"/>
        <v>4</v>
      </c>
      <c r="Q217">
        <f t="shared" si="54"/>
        <v>2</v>
      </c>
      <c r="R217">
        <f t="shared" si="55"/>
        <v>1</v>
      </c>
      <c r="S217">
        <f t="shared" si="56"/>
        <v>0</v>
      </c>
      <c r="T217">
        <f t="shared" si="57"/>
        <v>0</v>
      </c>
      <c r="V217" t="str">
        <f t="shared" si="49"/>
        <v>4-2-1-0-0</v>
      </c>
      <c r="X217">
        <f t="shared" si="59"/>
        <v>9</v>
      </c>
      <c r="Y217">
        <f t="shared" si="59"/>
        <v>126</v>
      </c>
      <c r="Z217">
        <f t="shared" si="59"/>
        <v>1</v>
      </c>
      <c r="AA217">
        <f t="shared" si="59"/>
        <v>36</v>
      </c>
      <c r="AB217">
        <f t="shared" si="59"/>
        <v>1</v>
      </c>
      <c r="AC217" s="4">
        <f t="shared" si="58"/>
        <v>40824</v>
      </c>
    </row>
    <row r="218" spans="1:29" x14ac:dyDescent="0.25">
      <c r="A218">
        <v>0</v>
      </c>
      <c r="B218">
        <v>1</v>
      </c>
      <c r="C218">
        <v>4</v>
      </c>
      <c r="D218">
        <v>2</v>
      </c>
      <c r="E218">
        <v>0</v>
      </c>
      <c r="F218">
        <v>0</v>
      </c>
      <c r="H218" t="str">
        <f t="shared" si="46"/>
        <v>1-4-2-0-0</v>
      </c>
      <c r="I218">
        <f t="shared" si="50"/>
        <v>0</v>
      </c>
      <c r="J218">
        <f t="shared" si="47"/>
        <v>136</v>
      </c>
      <c r="K218">
        <f t="shared" si="48"/>
        <v>88</v>
      </c>
      <c r="M218">
        <f t="shared" si="51"/>
        <v>2</v>
      </c>
      <c r="N218">
        <f t="shared" si="52"/>
        <v>7</v>
      </c>
      <c r="P218">
        <f t="shared" si="53"/>
        <v>4</v>
      </c>
      <c r="Q218">
        <f t="shared" si="54"/>
        <v>2</v>
      </c>
      <c r="R218">
        <f t="shared" si="55"/>
        <v>1</v>
      </c>
      <c r="S218">
        <f t="shared" si="56"/>
        <v>0</v>
      </c>
      <c r="T218">
        <f t="shared" si="57"/>
        <v>0</v>
      </c>
      <c r="V218" t="str">
        <f t="shared" si="49"/>
        <v>4-2-1-0-0</v>
      </c>
      <c r="X218">
        <f t="shared" si="59"/>
        <v>9</v>
      </c>
      <c r="Y218">
        <f t="shared" si="59"/>
        <v>126</v>
      </c>
      <c r="Z218">
        <f t="shared" si="59"/>
        <v>36</v>
      </c>
      <c r="AA218">
        <f t="shared" si="59"/>
        <v>1</v>
      </c>
      <c r="AB218">
        <f t="shared" si="59"/>
        <v>1</v>
      </c>
      <c r="AC218" s="4">
        <f t="shared" si="58"/>
        <v>40824</v>
      </c>
    </row>
    <row r="219" spans="1:29" x14ac:dyDescent="0.25">
      <c r="A219">
        <v>1</v>
      </c>
      <c r="B219">
        <v>2</v>
      </c>
      <c r="C219">
        <v>0</v>
      </c>
      <c r="D219">
        <v>0</v>
      </c>
      <c r="E219">
        <v>1</v>
      </c>
      <c r="F219">
        <v>4</v>
      </c>
      <c r="H219" t="str">
        <f t="shared" si="46"/>
        <v>2-0-0-1-4</v>
      </c>
      <c r="I219">
        <f t="shared" si="50"/>
        <v>1</v>
      </c>
      <c r="J219">
        <f t="shared" si="47"/>
        <v>246</v>
      </c>
      <c r="K219">
        <f t="shared" si="48"/>
        <v>199</v>
      </c>
      <c r="M219">
        <f t="shared" si="51"/>
        <v>5</v>
      </c>
      <c r="N219">
        <f t="shared" si="52"/>
        <v>2</v>
      </c>
      <c r="P219">
        <f t="shared" si="53"/>
        <v>4</v>
      </c>
      <c r="Q219">
        <f t="shared" si="54"/>
        <v>2</v>
      </c>
      <c r="R219">
        <f t="shared" si="55"/>
        <v>1</v>
      </c>
      <c r="S219">
        <f t="shared" si="56"/>
        <v>0</v>
      </c>
      <c r="T219">
        <f t="shared" si="57"/>
        <v>0</v>
      </c>
      <c r="V219" t="str">
        <f t="shared" si="49"/>
        <v>4-2-1-0-0</v>
      </c>
      <c r="X219">
        <f t="shared" si="59"/>
        <v>36</v>
      </c>
      <c r="Y219">
        <f t="shared" si="59"/>
        <v>1</v>
      </c>
      <c r="Z219">
        <f t="shared" si="59"/>
        <v>1</v>
      </c>
      <c r="AA219">
        <f t="shared" si="59"/>
        <v>9</v>
      </c>
      <c r="AB219">
        <f t="shared" si="59"/>
        <v>126</v>
      </c>
      <c r="AC219" s="4">
        <f t="shared" si="58"/>
        <v>40824</v>
      </c>
    </row>
    <row r="220" spans="1:29" x14ac:dyDescent="0.25">
      <c r="A220">
        <v>0</v>
      </c>
      <c r="B220">
        <v>2</v>
      </c>
      <c r="C220">
        <v>0</v>
      </c>
      <c r="D220">
        <v>0</v>
      </c>
      <c r="E220">
        <v>4</v>
      </c>
      <c r="F220">
        <v>1</v>
      </c>
      <c r="H220" t="str">
        <f t="shared" si="46"/>
        <v>2-0-0-4-1</v>
      </c>
      <c r="I220">
        <f t="shared" si="50"/>
        <v>0</v>
      </c>
      <c r="J220">
        <f t="shared" si="47"/>
        <v>216</v>
      </c>
      <c r="K220">
        <f t="shared" si="48"/>
        <v>169</v>
      </c>
      <c r="M220">
        <f t="shared" si="51"/>
        <v>5</v>
      </c>
      <c r="N220">
        <f t="shared" si="52"/>
        <v>2</v>
      </c>
      <c r="P220">
        <f t="shared" si="53"/>
        <v>4</v>
      </c>
      <c r="Q220">
        <f t="shared" si="54"/>
        <v>2</v>
      </c>
      <c r="R220">
        <f t="shared" si="55"/>
        <v>1</v>
      </c>
      <c r="S220">
        <f t="shared" si="56"/>
        <v>0</v>
      </c>
      <c r="T220">
        <f t="shared" si="57"/>
        <v>0</v>
      </c>
      <c r="V220" t="str">
        <f t="shared" si="49"/>
        <v>4-2-1-0-0</v>
      </c>
      <c r="X220">
        <f t="shared" si="59"/>
        <v>36</v>
      </c>
      <c r="Y220">
        <f t="shared" si="59"/>
        <v>1</v>
      </c>
      <c r="Z220">
        <f t="shared" si="59"/>
        <v>1</v>
      </c>
      <c r="AA220">
        <f t="shared" si="59"/>
        <v>126</v>
      </c>
      <c r="AB220">
        <f t="shared" si="59"/>
        <v>9</v>
      </c>
      <c r="AC220" s="4">
        <f t="shared" si="58"/>
        <v>40824</v>
      </c>
    </row>
    <row r="221" spans="1:29" x14ac:dyDescent="0.25">
      <c r="A221">
        <v>0</v>
      </c>
      <c r="B221">
        <v>2</v>
      </c>
      <c r="C221">
        <v>0</v>
      </c>
      <c r="D221">
        <v>1</v>
      </c>
      <c r="E221">
        <v>0</v>
      </c>
      <c r="F221">
        <v>4</v>
      </c>
      <c r="H221" t="str">
        <f t="shared" si="46"/>
        <v>2-0-1-0-4</v>
      </c>
      <c r="I221">
        <f t="shared" si="50"/>
        <v>0</v>
      </c>
      <c r="J221">
        <f t="shared" si="47"/>
        <v>236</v>
      </c>
      <c r="K221">
        <f t="shared" si="48"/>
        <v>189</v>
      </c>
      <c r="M221">
        <f t="shared" si="51"/>
        <v>5</v>
      </c>
      <c r="N221">
        <f t="shared" si="52"/>
        <v>3</v>
      </c>
      <c r="P221">
        <f t="shared" si="53"/>
        <v>4</v>
      </c>
      <c r="Q221">
        <f t="shared" si="54"/>
        <v>2</v>
      </c>
      <c r="R221">
        <f t="shared" si="55"/>
        <v>1</v>
      </c>
      <c r="S221">
        <f t="shared" si="56"/>
        <v>0</v>
      </c>
      <c r="T221">
        <f t="shared" si="57"/>
        <v>0</v>
      </c>
      <c r="V221" t="str">
        <f t="shared" si="49"/>
        <v>4-2-1-0-0</v>
      </c>
      <c r="X221">
        <f t="shared" si="59"/>
        <v>36</v>
      </c>
      <c r="Y221">
        <f t="shared" si="59"/>
        <v>1</v>
      </c>
      <c r="Z221">
        <f t="shared" si="59"/>
        <v>9</v>
      </c>
      <c r="AA221">
        <f t="shared" si="59"/>
        <v>1</v>
      </c>
      <c r="AB221">
        <f t="shared" si="59"/>
        <v>126</v>
      </c>
      <c r="AC221" s="4">
        <f t="shared" si="58"/>
        <v>40824</v>
      </c>
    </row>
    <row r="222" spans="1:29" x14ac:dyDescent="0.25">
      <c r="A222">
        <v>1</v>
      </c>
      <c r="B222">
        <v>2</v>
      </c>
      <c r="C222">
        <v>0</v>
      </c>
      <c r="D222">
        <v>1</v>
      </c>
      <c r="E222">
        <v>4</v>
      </c>
      <c r="F222">
        <v>0</v>
      </c>
      <c r="H222" t="str">
        <f t="shared" si="46"/>
        <v>2-0-1-4-0</v>
      </c>
      <c r="I222">
        <f t="shared" si="50"/>
        <v>1</v>
      </c>
      <c r="J222">
        <f t="shared" si="47"/>
        <v>196</v>
      </c>
      <c r="K222">
        <f t="shared" si="48"/>
        <v>149</v>
      </c>
      <c r="M222">
        <f t="shared" si="51"/>
        <v>5</v>
      </c>
      <c r="N222">
        <f t="shared" si="52"/>
        <v>3</v>
      </c>
      <c r="P222">
        <f t="shared" si="53"/>
        <v>4</v>
      </c>
      <c r="Q222">
        <f t="shared" si="54"/>
        <v>2</v>
      </c>
      <c r="R222">
        <f t="shared" si="55"/>
        <v>1</v>
      </c>
      <c r="S222">
        <f t="shared" si="56"/>
        <v>0</v>
      </c>
      <c r="T222">
        <f t="shared" si="57"/>
        <v>0</v>
      </c>
      <c r="V222" t="str">
        <f t="shared" si="49"/>
        <v>4-2-1-0-0</v>
      </c>
      <c r="X222">
        <f t="shared" si="59"/>
        <v>36</v>
      </c>
      <c r="Y222">
        <f t="shared" si="59"/>
        <v>1</v>
      </c>
      <c r="Z222">
        <f t="shared" si="59"/>
        <v>9</v>
      </c>
      <c r="AA222">
        <f t="shared" si="59"/>
        <v>126</v>
      </c>
      <c r="AB222">
        <f t="shared" si="59"/>
        <v>1</v>
      </c>
      <c r="AC222" s="4">
        <f t="shared" si="58"/>
        <v>40824</v>
      </c>
    </row>
    <row r="223" spans="1:29" x14ac:dyDescent="0.25">
      <c r="A223">
        <v>0</v>
      </c>
      <c r="B223">
        <v>2</v>
      </c>
      <c r="C223">
        <v>0</v>
      </c>
      <c r="D223">
        <v>4</v>
      </c>
      <c r="E223">
        <v>0</v>
      </c>
      <c r="F223">
        <v>1</v>
      </c>
      <c r="H223" t="str">
        <f t="shared" si="46"/>
        <v>2-0-4-0-1</v>
      </c>
      <c r="I223">
        <f t="shared" si="50"/>
        <v>0</v>
      </c>
      <c r="J223">
        <f t="shared" si="47"/>
        <v>176</v>
      </c>
      <c r="K223">
        <f t="shared" si="48"/>
        <v>129</v>
      </c>
      <c r="M223">
        <f t="shared" si="51"/>
        <v>5</v>
      </c>
      <c r="N223">
        <f t="shared" si="52"/>
        <v>6</v>
      </c>
      <c r="P223">
        <f t="shared" si="53"/>
        <v>4</v>
      </c>
      <c r="Q223">
        <f t="shared" si="54"/>
        <v>2</v>
      </c>
      <c r="R223">
        <f t="shared" si="55"/>
        <v>1</v>
      </c>
      <c r="S223">
        <f t="shared" si="56"/>
        <v>0</v>
      </c>
      <c r="T223">
        <f t="shared" si="57"/>
        <v>0</v>
      </c>
      <c r="V223" t="str">
        <f t="shared" si="49"/>
        <v>4-2-1-0-0</v>
      </c>
      <c r="X223">
        <f t="shared" si="59"/>
        <v>36</v>
      </c>
      <c r="Y223">
        <f t="shared" si="59"/>
        <v>1</v>
      </c>
      <c r="Z223">
        <f t="shared" si="59"/>
        <v>126</v>
      </c>
      <c r="AA223">
        <f t="shared" si="59"/>
        <v>1</v>
      </c>
      <c r="AB223">
        <f t="shared" si="59"/>
        <v>9</v>
      </c>
      <c r="AC223" s="4">
        <f t="shared" si="58"/>
        <v>40824</v>
      </c>
    </row>
    <row r="224" spans="1:29" x14ac:dyDescent="0.25">
      <c r="A224">
        <v>1</v>
      </c>
      <c r="B224">
        <v>2</v>
      </c>
      <c r="C224">
        <v>0</v>
      </c>
      <c r="D224">
        <v>4</v>
      </c>
      <c r="E224">
        <v>1</v>
      </c>
      <c r="F224">
        <v>0</v>
      </c>
      <c r="H224" t="str">
        <f t="shared" si="46"/>
        <v>2-0-4-1-0</v>
      </c>
      <c r="I224">
        <f t="shared" si="50"/>
        <v>1</v>
      </c>
      <c r="J224">
        <f t="shared" si="47"/>
        <v>166</v>
      </c>
      <c r="K224">
        <f t="shared" si="48"/>
        <v>119</v>
      </c>
      <c r="M224">
        <f t="shared" si="51"/>
        <v>5</v>
      </c>
      <c r="N224">
        <f t="shared" si="52"/>
        <v>6</v>
      </c>
      <c r="P224">
        <f t="shared" si="53"/>
        <v>4</v>
      </c>
      <c r="Q224">
        <f t="shared" si="54"/>
        <v>2</v>
      </c>
      <c r="R224">
        <f t="shared" si="55"/>
        <v>1</v>
      </c>
      <c r="S224">
        <f t="shared" si="56"/>
        <v>0</v>
      </c>
      <c r="T224">
        <f t="shared" si="57"/>
        <v>0</v>
      </c>
      <c r="V224" t="str">
        <f t="shared" si="49"/>
        <v>4-2-1-0-0</v>
      </c>
      <c r="X224">
        <f t="shared" si="59"/>
        <v>36</v>
      </c>
      <c r="Y224">
        <f t="shared" si="59"/>
        <v>1</v>
      </c>
      <c r="Z224">
        <f t="shared" si="59"/>
        <v>126</v>
      </c>
      <c r="AA224">
        <f t="shared" si="59"/>
        <v>9</v>
      </c>
      <c r="AB224">
        <f t="shared" si="59"/>
        <v>1</v>
      </c>
      <c r="AC224" s="4">
        <f t="shared" si="58"/>
        <v>40824</v>
      </c>
    </row>
    <row r="225" spans="1:29" x14ac:dyDescent="0.25">
      <c r="A225">
        <v>1</v>
      </c>
      <c r="B225">
        <v>2</v>
      </c>
      <c r="C225">
        <v>1</v>
      </c>
      <c r="D225">
        <v>0</v>
      </c>
      <c r="E225">
        <v>0</v>
      </c>
      <c r="F225">
        <v>4</v>
      </c>
      <c r="H225" t="str">
        <f t="shared" si="46"/>
        <v>2-1-0-0-4</v>
      </c>
      <c r="I225">
        <f t="shared" si="50"/>
        <v>1</v>
      </c>
      <c r="J225">
        <f t="shared" si="47"/>
        <v>226</v>
      </c>
      <c r="K225">
        <f t="shared" si="48"/>
        <v>179</v>
      </c>
      <c r="M225">
        <f t="shared" si="51"/>
        <v>4</v>
      </c>
      <c r="N225">
        <f t="shared" si="52"/>
        <v>3</v>
      </c>
      <c r="P225">
        <f t="shared" si="53"/>
        <v>4</v>
      </c>
      <c r="Q225">
        <f t="shared" si="54"/>
        <v>2</v>
      </c>
      <c r="R225">
        <f t="shared" si="55"/>
        <v>1</v>
      </c>
      <c r="S225">
        <f t="shared" si="56"/>
        <v>0</v>
      </c>
      <c r="T225">
        <f t="shared" si="57"/>
        <v>0</v>
      </c>
      <c r="V225" t="str">
        <f t="shared" si="49"/>
        <v>4-2-1-0-0</v>
      </c>
      <c r="X225">
        <f t="shared" si="59"/>
        <v>36</v>
      </c>
      <c r="Y225">
        <f t="shared" si="59"/>
        <v>9</v>
      </c>
      <c r="Z225">
        <f t="shared" si="59"/>
        <v>1</v>
      </c>
      <c r="AA225">
        <f t="shared" si="59"/>
        <v>1</v>
      </c>
      <c r="AB225">
        <f t="shared" si="59"/>
        <v>126</v>
      </c>
      <c r="AC225" s="4">
        <f t="shared" si="58"/>
        <v>40824</v>
      </c>
    </row>
    <row r="226" spans="1:29" x14ac:dyDescent="0.25">
      <c r="A226">
        <v>0</v>
      </c>
      <c r="B226">
        <v>2</v>
      </c>
      <c r="C226">
        <v>1</v>
      </c>
      <c r="D226">
        <v>0</v>
      </c>
      <c r="E226">
        <v>4</v>
      </c>
      <c r="F226">
        <v>0</v>
      </c>
      <c r="H226" t="str">
        <f t="shared" si="46"/>
        <v>2-1-0-4-0</v>
      </c>
      <c r="I226">
        <f t="shared" si="50"/>
        <v>0</v>
      </c>
      <c r="J226">
        <f t="shared" si="47"/>
        <v>186</v>
      </c>
      <c r="K226">
        <f t="shared" si="48"/>
        <v>139</v>
      </c>
      <c r="M226">
        <f t="shared" si="51"/>
        <v>4</v>
      </c>
      <c r="N226">
        <f t="shared" si="52"/>
        <v>3</v>
      </c>
      <c r="P226">
        <f t="shared" si="53"/>
        <v>4</v>
      </c>
      <c r="Q226">
        <f t="shared" si="54"/>
        <v>2</v>
      </c>
      <c r="R226">
        <f t="shared" si="55"/>
        <v>1</v>
      </c>
      <c r="S226">
        <f t="shared" si="56"/>
        <v>0</v>
      </c>
      <c r="T226">
        <f t="shared" si="57"/>
        <v>0</v>
      </c>
      <c r="V226" t="str">
        <f t="shared" si="49"/>
        <v>4-2-1-0-0</v>
      </c>
      <c r="X226">
        <f t="shared" si="59"/>
        <v>36</v>
      </c>
      <c r="Y226">
        <f t="shared" si="59"/>
        <v>9</v>
      </c>
      <c r="Z226">
        <f t="shared" si="59"/>
        <v>1</v>
      </c>
      <c r="AA226">
        <f t="shared" si="59"/>
        <v>126</v>
      </c>
      <c r="AB226">
        <f t="shared" si="59"/>
        <v>1</v>
      </c>
      <c r="AC226" s="4">
        <f t="shared" si="58"/>
        <v>40824</v>
      </c>
    </row>
    <row r="227" spans="1:29" x14ac:dyDescent="0.25">
      <c r="A227">
        <v>0</v>
      </c>
      <c r="B227">
        <v>2</v>
      </c>
      <c r="C227">
        <v>1</v>
      </c>
      <c r="D227">
        <v>4</v>
      </c>
      <c r="E227">
        <v>0</v>
      </c>
      <c r="F227">
        <v>0</v>
      </c>
      <c r="H227" t="str">
        <f t="shared" si="46"/>
        <v>2-1-4-0-0</v>
      </c>
      <c r="I227">
        <f t="shared" si="50"/>
        <v>0</v>
      </c>
      <c r="J227">
        <f t="shared" si="47"/>
        <v>146</v>
      </c>
      <c r="K227">
        <f t="shared" si="48"/>
        <v>99</v>
      </c>
      <c r="M227">
        <f t="shared" si="51"/>
        <v>4</v>
      </c>
      <c r="N227">
        <f t="shared" si="52"/>
        <v>7</v>
      </c>
      <c r="P227">
        <f t="shared" si="53"/>
        <v>4</v>
      </c>
      <c r="Q227">
        <f t="shared" si="54"/>
        <v>2</v>
      </c>
      <c r="R227">
        <f t="shared" si="55"/>
        <v>1</v>
      </c>
      <c r="S227">
        <f t="shared" si="56"/>
        <v>0</v>
      </c>
      <c r="T227">
        <f t="shared" si="57"/>
        <v>0</v>
      </c>
      <c r="V227" t="str">
        <f t="shared" si="49"/>
        <v>4-2-1-0-0</v>
      </c>
      <c r="X227">
        <f t="shared" si="59"/>
        <v>36</v>
      </c>
      <c r="Y227">
        <f t="shared" si="59"/>
        <v>9</v>
      </c>
      <c r="Z227">
        <f t="shared" si="59"/>
        <v>126</v>
      </c>
      <c r="AA227">
        <f t="shared" si="59"/>
        <v>1</v>
      </c>
      <c r="AB227">
        <f t="shared" si="59"/>
        <v>1</v>
      </c>
      <c r="AC227" s="4">
        <f t="shared" si="58"/>
        <v>40824</v>
      </c>
    </row>
    <row r="228" spans="1:29" x14ac:dyDescent="0.25">
      <c r="A228">
        <v>0</v>
      </c>
      <c r="B228">
        <v>2</v>
      </c>
      <c r="C228">
        <v>4</v>
      </c>
      <c r="D228">
        <v>0</v>
      </c>
      <c r="E228">
        <v>0</v>
      </c>
      <c r="F228">
        <v>1</v>
      </c>
      <c r="H228" t="str">
        <f t="shared" si="46"/>
        <v>2-4-0-0-1</v>
      </c>
      <c r="I228">
        <f t="shared" si="50"/>
        <v>0</v>
      </c>
      <c r="J228">
        <f t="shared" si="47"/>
        <v>136</v>
      </c>
      <c r="K228">
        <f t="shared" si="48"/>
        <v>89</v>
      </c>
      <c r="M228">
        <f t="shared" si="51"/>
        <v>1</v>
      </c>
      <c r="N228">
        <f t="shared" si="52"/>
        <v>6</v>
      </c>
      <c r="P228">
        <f t="shared" si="53"/>
        <v>4</v>
      </c>
      <c r="Q228">
        <f t="shared" si="54"/>
        <v>2</v>
      </c>
      <c r="R228">
        <f t="shared" si="55"/>
        <v>1</v>
      </c>
      <c r="S228">
        <f t="shared" si="56"/>
        <v>0</v>
      </c>
      <c r="T228">
        <f t="shared" si="57"/>
        <v>0</v>
      </c>
      <c r="V228" t="str">
        <f t="shared" si="49"/>
        <v>4-2-1-0-0</v>
      </c>
      <c r="X228">
        <f t="shared" si="59"/>
        <v>36</v>
      </c>
      <c r="Y228">
        <f t="shared" si="59"/>
        <v>126</v>
      </c>
      <c r="Z228">
        <f t="shared" si="59"/>
        <v>1</v>
      </c>
      <c r="AA228">
        <f t="shared" si="59"/>
        <v>1</v>
      </c>
      <c r="AB228">
        <f t="shared" si="59"/>
        <v>9</v>
      </c>
      <c r="AC228" s="4">
        <f t="shared" si="58"/>
        <v>40824</v>
      </c>
    </row>
    <row r="229" spans="1:29" x14ac:dyDescent="0.25">
      <c r="A229">
        <v>0</v>
      </c>
      <c r="B229">
        <v>2</v>
      </c>
      <c r="C229">
        <v>4</v>
      </c>
      <c r="D229">
        <v>0</v>
      </c>
      <c r="E229">
        <v>1</v>
      </c>
      <c r="F229">
        <v>0</v>
      </c>
      <c r="H229" t="str">
        <f t="shared" si="46"/>
        <v>2-4-0-1-0</v>
      </c>
      <c r="I229">
        <f t="shared" si="50"/>
        <v>0</v>
      </c>
      <c r="J229">
        <f t="shared" si="47"/>
        <v>126</v>
      </c>
      <c r="K229">
        <f t="shared" si="48"/>
        <v>79</v>
      </c>
      <c r="M229">
        <f t="shared" si="51"/>
        <v>1</v>
      </c>
      <c r="N229">
        <f t="shared" si="52"/>
        <v>6</v>
      </c>
      <c r="P229">
        <f t="shared" si="53"/>
        <v>4</v>
      </c>
      <c r="Q229">
        <f t="shared" si="54"/>
        <v>2</v>
      </c>
      <c r="R229">
        <f t="shared" si="55"/>
        <v>1</v>
      </c>
      <c r="S229">
        <f t="shared" si="56"/>
        <v>0</v>
      </c>
      <c r="T229">
        <f t="shared" si="57"/>
        <v>0</v>
      </c>
      <c r="V229" t="str">
        <f t="shared" si="49"/>
        <v>4-2-1-0-0</v>
      </c>
      <c r="X229">
        <f t="shared" si="59"/>
        <v>36</v>
      </c>
      <c r="Y229">
        <f t="shared" si="59"/>
        <v>126</v>
      </c>
      <c r="Z229">
        <f t="shared" si="59"/>
        <v>1</v>
      </c>
      <c r="AA229">
        <f t="shared" si="59"/>
        <v>9</v>
      </c>
      <c r="AB229">
        <f t="shared" si="59"/>
        <v>1</v>
      </c>
      <c r="AC229" s="4">
        <f t="shared" si="58"/>
        <v>40824</v>
      </c>
    </row>
    <row r="230" spans="1:29" x14ac:dyDescent="0.25">
      <c r="A230">
        <v>0</v>
      </c>
      <c r="B230">
        <v>2</v>
      </c>
      <c r="C230">
        <v>4</v>
      </c>
      <c r="D230">
        <v>1</v>
      </c>
      <c r="E230">
        <v>0</v>
      </c>
      <c r="F230">
        <v>0</v>
      </c>
      <c r="H230" t="str">
        <f t="shared" si="46"/>
        <v>2-4-1-0-0</v>
      </c>
      <c r="I230">
        <f t="shared" si="50"/>
        <v>0</v>
      </c>
      <c r="J230">
        <f t="shared" si="47"/>
        <v>116</v>
      </c>
      <c r="K230">
        <f t="shared" si="48"/>
        <v>69</v>
      </c>
      <c r="M230">
        <f t="shared" si="51"/>
        <v>1</v>
      </c>
      <c r="N230">
        <f t="shared" si="52"/>
        <v>7</v>
      </c>
      <c r="P230">
        <f t="shared" si="53"/>
        <v>4</v>
      </c>
      <c r="Q230">
        <f t="shared" si="54"/>
        <v>2</v>
      </c>
      <c r="R230">
        <f t="shared" si="55"/>
        <v>1</v>
      </c>
      <c r="S230">
        <f t="shared" si="56"/>
        <v>0</v>
      </c>
      <c r="T230">
        <f t="shared" si="57"/>
        <v>0</v>
      </c>
      <c r="V230" t="str">
        <f t="shared" si="49"/>
        <v>4-2-1-0-0</v>
      </c>
      <c r="X230">
        <f t="shared" si="59"/>
        <v>36</v>
      </c>
      <c r="Y230">
        <f t="shared" si="59"/>
        <v>126</v>
      </c>
      <c r="Z230">
        <f t="shared" si="59"/>
        <v>9</v>
      </c>
      <c r="AA230">
        <f t="shared" si="59"/>
        <v>1</v>
      </c>
      <c r="AB230">
        <f t="shared" si="59"/>
        <v>1</v>
      </c>
      <c r="AC230" s="4">
        <f t="shared" si="58"/>
        <v>40824</v>
      </c>
    </row>
    <row r="231" spans="1:29" x14ac:dyDescent="0.25">
      <c r="A231">
        <v>0</v>
      </c>
      <c r="B231">
        <v>4</v>
      </c>
      <c r="C231">
        <v>0</v>
      </c>
      <c r="D231">
        <v>0</v>
      </c>
      <c r="E231">
        <v>1</v>
      </c>
      <c r="F231">
        <v>2</v>
      </c>
      <c r="H231" t="str">
        <f t="shared" si="46"/>
        <v>4-0-0-1-2</v>
      </c>
      <c r="I231">
        <f t="shared" si="50"/>
        <v>0</v>
      </c>
      <c r="J231">
        <f t="shared" si="47"/>
        <v>166</v>
      </c>
      <c r="K231">
        <f t="shared" si="48"/>
        <v>121</v>
      </c>
      <c r="M231">
        <f t="shared" si="51"/>
        <v>3</v>
      </c>
      <c r="N231">
        <f t="shared" si="52"/>
        <v>4</v>
      </c>
      <c r="P231">
        <f t="shared" si="53"/>
        <v>4</v>
      </c>
      <c r="Q231">
        <f t="shared" si="54"/>
        <v>2</v>
      </c>
      <c r="R231">
        <f t="shared" si="55"/>
        <v>1</v>
      </c>
      <c r="S231">
        <f t="shared" si="56"/>
        <v>0</v>
      </c>
      <c r="T231">
        <f t="shared" si="57"/>
        <v>0</v>
      </c>
      <c r="V231" t="str">
        <f t="shared" si="49"/>
        <v>4-2-1-0-0</v>
      </c>
      <c r="X231">
        <f t="shared" si="59"/>
        <v>126</v>
      </c>
      <c r="Y231">
        <f t="shared" si="59"/>
        <v>1</v>
      </c>
      <c r="Z231">
        <f t="shared" si="59"/>
        <v>1</v>
      </c>
      <c r="AA231">
        <f t="shared" si="59"/>
        <v>9</v>
      </c>
      <c r="AB231">
        <f t="shared" si="59"/>
        <v>36</v>
      </c>
      <c r="AC231" s="4">
        <f t="shared" si="58"/>
        <v>40824</v>
      </c>
    </row>
    <row r="232" spans="1:29" x14ac:dyDescent="0.25">
      <c r="A232">
        <v>0</v>
      </c>
      <c r="B232">
        <v>4</v>
      </c>
      <c r="C232">
        <v>0</v>
      </c>
      <c r="D232">
        <v>0</v>
      </c>
      <c r="E232">
        <v>2</v>
      </c>
      <c r="F232">
        <v>1</v>
      </c>
      <c r="H232" t="str">
        <f t="shared" si="46"/>
        <v>4-0-0-2-1</v>
      </c>
      <c r="I232">
        <f t="shared" si="50"/>
        <v>0</v>
      </c>
      <c r="J232">
        <f t="shared" si="47"/>
        <v>156</v>
      </c>
      <c r="K232">
        <f t="shared" si="48"/>
        <v>111</v>
      </c>
      <c r="M232">
        <f t="shared" si="51"/>
        <v>3</v>
      </c>
      <c r="N232">
        <f t="shared" si="52"/>
        <v>4</v>
      </c>
      <c r="P232">
        <f t="shared" si="53"/>
        <v>4</v>
      </c>
      <c r="Q232">
        <f t="shared" si="54"/>
        <v>2</v>
      </c>
      <c r="R232">
        <f t="shared" si="55"/>
        <v>1</v>
      </c>
      <c r="S232">
        <f t="shared" si="56"/>
        <v>0</v>
      </c>
      <c r="T232">
        <f t="shared" si="57"/>
        <v>0</v>
      </c>
      <c r="V232" t="str">
        <f t="shared" si="49"/>
        <v>4-2-1-0-0</v>
      </c>
      <c r="X232">
        <f t="shared" si="59"/>
        <v>126</v>
      </c>
      <c r="Y232">
        <f t="shared" si="59"/>
        <v>1</v>
      </c>
      <c r="Z232">
        <f t="shared" si="59"/>
        <v>1</v>
      </c>
      <c r="AA232">
        <f t="shared" si="59"/>
        <v>36</v>
      </c>
      <c r="AB232">
        <f t="shared" si="59"/>
        <v>9</v>
      </c>
      <c r="AC232" s="4">
        <f t="shared" si="58"/>
        <v>40824</v>
      </c>
    </row>
    <row r="233" spans="1:29" x14ac:dyDescent="0.25">
      <c r="A233">
        <v>0</v>
      </c>
      <c r="B233">
        <v>4</v>
      </c>
      <c r="C233">
        <v>0</v>
      </c>
      <c r="D233">
        <v>1</v>
      </c>
      <c r="E233">
        <v>0</v>
      </c>
      <c r="F233">
        <v>2</v>
      </c>
      <c r="H233" t="str">
        <f t="shared" si="46"/>
        <v>4-0-1-0-2</v>
      </c>
      <c r="I233">
        <f t="shared" si="50"/>
        <v>0</v>
      </c>
      <c r="J233">
        <f t="shared" si="47"/>
        <v>156</v>
      </c>
      <c r="K233">
        <f t="shared" si="48"/>
        <v>111</v>
      </c>
      <c r="M233">
        <f t="shared" si="51"/>
        <v>3</v>
      </c>
      <c r="N233">
        <f t="shared" si="52"/>
        <v>5</v>
      </c>
      <c r="P233">
        <f t="shared" si="53"/>
        <v>4</v>
      </c>
      <c r="Q233">
        <f t="shared" si="54"/>
        <v>2</v>
      </c>
      <c r="R233">
        <f t="shared" si="55"/>
        <v>1</v>
      </c>
      <c r="S233">
        <f t="shared" si="56"/>
        <v>0</v>
      </c>
      <c r="T233">
        <f t="shared" si="57"/>
        <v>0</v>
      </c>
      <c r="V233" t="str">
        <f t="shared" si="49"/>
        <v>4-2-1-0-0</v>
      </c>
      <c r="X233">
        <f t="shared" si="59"/>
        <v>126</v>
      </c>
      <c r="Y233">
        <f t="shared" si="59"/>
        <v>1</v>
      </c>
      <c r="Z233">
        <f t="shared" si="59"/>
        <v>9</v>
      </c>
      <c r="AA233">
        <f t="shared" si="59"/>
        <v>1</v>
      </c>
      <c r="AB233">
        <f t="shared" si="59"/>
        <v>36</v>
      </c>
      <c r="AC233" s="4">
        <f t="shared" si="58"/>
        <v>40824</v>
      </c>
    </row>
    <row r="234" spans="1:29" x14ac:dyDescent="0.25">
      <c r="A234">
        <v>0</v>
      </c>
      <c r="B234">
        <v>4</v>
      </c>
      <c r="C234">
        <v>0</v>
      </c>
      <c r="D234">
        <v>1</v>
      </c>
      <c r="E234">
        <v>2</v>
      </c>
      <c r="F234">
        <v>0</v>
      </c>
      <c r="H234" t="str">
        <f t="shared" si="46"/>
        <v>4-0-1-2-0</v>
      </c>
      <c r="I234">
        <f t="shared" si="50"/>
        <v>0</v>
      </c>
      <c r="J234">
        <f t="shared" si="47"/>
        <v>136</v>
      </c>
      <c r="K234">
        <f t="shared" si="48"/>
        <v>91</v>
      </c>
      <c r="M234">
        <f t="shared" si="51"/>
        <v>3</v>
      </c>
      <c r="N234">
        <f t="shared" si="52"/>
        <v>5</v>
      </c>
      <c r="P234">
        <f t="shared" si="53"/>
        <v>4</v>
      </c>
      <c r="Q234">
        <f t="shared" si="54"/>
        <v>2</v>
      </c>
      <c r="R234">
        <f t="shared" si="55"/>
        <v>1</v>
      </c>
      <c r="S234">
        <f t="shared" si="56"/>
        <v>0</v>
      </c>
      <c r="T234">
        <f t="shared" si="57"/>
        <v>0</v>
      </c>
      <c r="V234" t="str">
        <f t="shared" si="49"/>
        <v>4-2-1-0-0</v>
      </c>
      <c r="X234">
        <f t="shared" si="59"/>
        <v>126</v>
      </c>
      <c r="Y234">
        <f t="shared" si="59"/>
        <v>1</v>
      </c>
      <c r="Z234">
        <f t="shared" si="59"/>
        <v>9</v>
      </c>
      <c r="AA234">
        <f t="shared" si="59"/>
        <v>36</v>
      </c>
      <c r="AB234">
        <f t="shared" si="59"/>
        <v>1</v>
      </c>
      <c r="AC234" s="4">
        <f t="shared" si="58"/>
        <v>40824</v>
      </c>
    </row>
    <row r="235" spans="1:29" x14ac:dyDescent="0.25">
      <c r="A235">
        <v>1</v>
      </c>
      <c r="B235">
        <v>4</v>
      </c>
      <c r="C235">
        <v>0</v>
      </c>
      <c r="D235">
        <v>2</v>
      </c>
      <c r="E235">
        <v>0</v>
      </c>
      <c r="F235">
        <v>1</v>
      </c>
      <c r="H235" t="str">
        <f t="shared" si="46"/>
        <v>4-0-2-0-1</v>
      </c>
      <c r="I235">
        <f t="shared" si="50"/>
        <v>1</v>
      </c>
      <c r="J235">
        <f t="shared" si="47"/>
        <v>136</v>
      </c>
      <c r="K235">
        <f t="shared" si="48"/>
        <v>91</v>
      </c>
      <c r="M235">
        <f t="shared" si="51"/>
        <v>3</v>
      </c>
      <c r="N235">
        <f t="shared" si="52"/>
        <v>6</v>
      </c>
      <c r="P235">
        <f t="shared" si="53"/>
        <v>4</v>
      </c>
      <c r="Q235">
        <f t="shared" si="54"/>
        <v>2</v>
      </c>
      <c r="R235">
        <f t="shared" si="55"/>
        <v>1</v>
      </c>
      <c r="S235">
        <f t="shared" si="56"/>
        <v>0</v>
      </c>
      <c r="T235">
        <f t="shared" si="57"/>
        <v>0</v>
      </c>
      <c r="V235" t="str">
        <f t="shared" si="49"/>
        <v>4-2-1-0-0</v>
      </c>
      <c r="X235">
        <f t="shared" si="59"/>
        <v>126</v>
      </c>
      <c r="Y235">
        <f t="shared" si="59"/>
        <v>1</v>
      </c>
      <c r="Z235">
        <f t="shared" si="59"/>
        <v>36</v>
      </c>
      <c r="AA235">
        <f t="shared" si="59"/>
        <v>1</v>
      </c>
      <c r="AB235">
        <f t="shared" si="59"/>
        <v>9</v>
      </c>
      <c r="AC235" s="4">
        <f t="shared" si="58"/>
        <v>40824</v>
      </c>
    </row>
    <row r="236" spans="1:29" x14ac:dyDescent="0.25">
      <c r="A236">
        <v>0</v>
      </c>
      <c r="B236">
        <v>4</v>
      </c>
      <c r="C236">
        <v>0</v>
      </c>
      <c r="D236">
        <v>2</v>
      </c>
      <c r="E236">
        <v>1</v>
      </c>
      <c r="F236">
        <v>0</v>
      </c>
      <c r="H236" t="str">
        <f t="shared" si="46"/>
        <v>4-0-2-1-0</v>
      </c>
      <c r="I236">
        <f t="shared" si="50"/>
        <v>0</v>
      </c>
      <c r="J236">
        <f t="shared" si="47"/>
        <v>126</v>
      </c>
      <c r="K236">
        <f t="shared" si="48"/>
        <v>81</v>
      </c>
      <c r="M236">
        <f t="shared" si="51"/>
        <v>3</v>
      </c>
      <c r="N236">
        <f t="shared" si="52"/>
        <v>6</v>
      </c>
      <c r="P236">
        <f t="shared" si="53"/>
        <v>4</v>
      </c>
      <c r="Q236">
        <f t="shared" si="54"/>
        <v>2</v>
      </c>
      <c r="R236">
        <f t="shared" si="55"/>
        <v>1</v>
      </c>
      <c r="S236">
        <f t="shared" si="56"/>
        <v>0</v>
      </c>
      <c r="T236">
        <f t="shared" si="57"/>
        <v>0</v>
      </c>
      <c r="V236" t="str">
        <f t="shared" si="49"/>
        <v>4-2-1-0-0</v>
      </c>
      <c r="X236">
        <f t="shared" si="59"/>
        <v>126</v>
      </c>
      <c r="Y236">
        <f t="shared" si="59"/>
        <v>1</v>
      </c>
      <c r="Z236">
        <f t="shared" si="59"/>
        <v>36</v>
      </c>
      <c r="AA236">
        <f t="shared" si="59"/>
        <v>9</v>
      </c>
      <c r="AB236">
        <f t="shared" si="59"/>
        <v>1</v>
      </c>
      <c r="AC236" s="4">
        <f t="shared" si="58"/>
        <v>40824</v>
      </c>
    </row>
    <row r="237" spans="1:29" x14ac:dyDescent="0.25">
      <c r="A237">
        <v>0</v>
      </c>
      <c r="B237">
        <v>4</v>
      </c>
      <c r="C237">
        <v>1</v>
      </c>
      <c r="D237">
        <v>0</v>
      </c>
      <c r="E237">
        <v>0</v>
      </c>
      <c r="F237">
        <v>2</v>
      </c>
      <c r="H237" t="str">
        <f t="shared" si="46"/>
        <v>4-1-0-0-2</v>
      </c>
      <c r="I237">
        <f t="shared" si="50"/>
        <v>0</v>
      </c>
      <c r="J237">
        <f t="shared" si="47"/>
        <v>146</v>
      </c>
      <c r="K237">
        <f t="shared" si="48"/>
        <v>101</v>
      </c>
      <c r="M237">
        <f t="shared" si="51"/>
        <v>2</v>
      </c>
      <c r="N237">
        <f t="shared" si="52"/>
        <v>5</v>
      </c>
      <c r="P237">
        <f t="shared" si="53"/>
        <v>4</v>
      </c>
      <c r="Q237">
        <f t="shared" si="54"/>
        <v>2</v>
      </c>
      <c r="R237">
        <f t="shared" si="55"/>
        <v>1</v>
      </c>
      <c r="S237">
        <f t="shared" si="56"/>
        <v>0</v>
      </c>
      <c r="T237">
        <f t="shared" si="57"/>
        <v>0</v>
      </c>
      <c r="V237" t="str">
        <f t="shared" si="49"/>
        <v>4-2-1-0-0</v>
      </c>
      <c r="X237">
        <f t="shared" si="59"/>
        <v>126</v>
      </c>
      <c r="Y237">
        <f t="shared" si="59"/>
        <v>9</v>
      </c>
      <c r="Z237">
        <f t="shared" si="59"/>
        <v>1</v>
      </c>
      <c r="AA237">
        <f t="shared" si="59"/>
        <v>1</v>
      </c>
      <c r="AB237">
        <f t="shared" si="59"/>
        <v>36</v>
      </c>
      <c r="AC237" s="4">
        <f t="shared" si="58"/>
        <v>40824</v>
      </c>
    </row>
    <row r="238" spans="1:29" x14ac:dyDescent="0.25">
      <c r="A238">
        <v>0</v>
      </c>
      <c r="B238">
        <v>4</v>
      </c>
      <c r="C238">
        <v>1</v>
      </c>
      <c r="D238">
        <v>0</v>
      </c>
      <c r="E238">
        <v>2</v>
      </c>
      <c r="F238">
        <v>0</v>
      </c>
      <c r="H238" t="str">
        <f t="shared" si="46"/>
        <v>4-1-0-2-0</v>
      </c>
      <c r="I238">
        <f t="shared" si="50"/>
        <v>0</v>
      </c>
      <c r="J238">
        <f t="shared" si="47"/>
        <v>126</v>
      </c>
      <c r="K238">
        <f t="shared" si="48"/>
        <v>81</v>
      </c>
      <c r="M238">
        <f t="shared" si="51"/>
        <v>2</v>
      </c>
      <c r="N238">
        <f t="shared" si="52"/>
        <v>5</v>
      </c>
      <c r="P238">
        <f t="shared" si="53"/>
        <v>4</v>
      </c>
      <c r="Q238">
        <f t="shared" si="54"/>
        <v>2</v>
      </c>
      <c r="R238">
        <f t="shared" si="55"/>
        <v>1</v>
      </c>
      <c r="S238">
        <f t="shared" si="56"/>
        <v>0</v>
      </c>
      <c r="T238">
        <f t="shared" si="57"/>
        <v>0</v>
      </c>
      <c r="V238" t="str">
        <f t="shared" si="49"/>
        <v>4-2-1-0-0</v>
      </c>
      <c r="X238">
        <f t="shared" si="59"/>
        <v>126</v>
      </c>
      <c r="Y238">
        <f t="shared" si="59"/>
        <v>9</v>
      </c>
      <c r="Z238">
        <f t="shared" si="59"/>
        <v>1</v>
      </c>
      <c r="AA238">
        <f t="shared" si="59"/>
        <v>36</v>
      </c>
      <c r="AB238">
        <f t="shared" si="59"/>
        <v>1</v>
      </c>
      <c r="AC238" s="4">
        <f t="shared" si="58"/>
        <v>40824</v>
      </c>
    </row>
    <row r="239" spans="1:29" x14ac:dyDescent="0.25">
      <c r="A239">
        <v>0</v>
      </c>
      <c r="B239">
        <v>4</v>
      </c>
      <c r="C239">
        <v>1</v>
      </c>
      <c r="D239">
        <v>2</v>
      </c>
      <c r="E239">
        <v>0</v>
      </c>
      <c r="F239">
        <v>0</v>
      </c>
      <c r="H239" t="str">
        <f t="shared" si="46"/>
        <v>4-1-2-0-0</v>
      </c>
      <c r="I239">
        <f t="shared" si="50"/>
        <v>0</v>
      </c>
      <c r="J239">
        <f t="shared" si="47"/>
        <v>106</v>
      </c>
      <c r="K239">
        <f t="shared" si="48"/>
        <v>61</v>
      </c>
      <c r="M239">
        <f t="shared" si="51"/>
        <v>2</v>
      </c>
      <c r="N239">
        <f t="shared" si="52"/>
        <v>7</v>
      </c>
      <c r="P239">
        <f t="shared" si="53"/>
        <v>4</v>
      </c>
      <c r="Q239">
        <f t="shared" si="54"/>
        <v>2</v>
      </c>
      <c r="R239">
        <f t="shared" si="55"/>
        <v>1</v>
      </c>
      <c r="S239">
        <f t="shared" si="56"/>
        <v>0</v>
      </c>
      <c r="T239">
        <f t="shared" si="57"/>
        <v>0</v>
      </c>
      <c r="V239" t="str">
        <f t="shared" si="49"/>
        <v>4-2-1-0-0</v>
      </c>
      <c r="X239">
        <f t="shared" si="59"/>
        <v>126</v>
      </c>
      <c r="Y239">
        <f t="shared" si="59"/>
        <v>9</v>
      </c>
      <c r="Z239">
        <f t="shared" si="59"/>
        <v>36</v>
      </c>
      <c r="AA239">
        <f t="shared" si="59"/>
        <v>1</v>
      </c>
      <c r="AB239">
        <f t="shared" si="59"/>
        <v>1</v>
      </c>
      <c r="AC239" s="4">
        <f t="shared" si="58"/>
        <v>40824</v>
      </c>
    </row>
    <row r="240" spans="1:29" x14ac:dyDescent="0.25">
      <c r="A240">
        <v>1</v>
      </c>
      <c r="B240">
        <v>4</v>
      </c>
      <c r="C240">
        <v>2</v>
      </c>
      <c r="D240">
        <v>0</v>
      </c>
      <c r="E240">
        <v>0</v>
      </c>
      <c r="F240">
        <v>1</v>
      </c>
      <c r="H240" t="str">
        <f t="shared" si="46"/>
        <v>4-2-0-0-1</v>
      </c>
      <c r="I240">
        <f t="shared" si="50"/>
        <v>1</v>
      </c>
      <c r="J240">
        <f t="shared" si="47"/>
        <v>116</v>
      </c>
      <c r="K240">
        <f t="shared" si="48"/>
        <v>71</v>
      </c>
      <c r="M240">
        <f t="shared" si="51"/>
        <v>1</v>
      </c>
      <c r="N240">
        <f t="shared" si="52"/>
        <v>6</v>
      </c>
      <c r="P240">
        <f t="shared" si="53"/>
        <v>4</v>
      </c>
      <c r="Q240">
        <f t="shared" si="54"/>
        <v>2</v>
      </c>
      <c r="R240">
        <f t="shared" si="55"/>
        <v>1</v>
      </c>
      <c r="S240">
        <f t="shared" si="56"/>
        <v>0</v>
      </c>
      <c r="T240">
        <f t="shared" si="57"/>
        <v>0</v>
      </c>
      <c r="V240" t="str">
        <f t="shared" si="49"/>
        <v>4-2-1-0-0</v>
      </c>
      <c r="X240">
        <f t="shared" si="59"/>
        <v>126</v>
      </c>
      <c r="Y240">
        <f t="shared" si="59"/>
        <v>36</v>
      </c>
      <c r="Z240">
        <f t="shared" si="59"/>
        <v>1</v>
      </c>
      <c r="AA240">
        <f t="shared" si="59"/>
        <v>1</v>
      </c>
      <c r="AB240">
        <f t="shared" si="59"/>
        <v>9</v>
      </c>
      <c r="AC240" s="4">
        <f t="shared" si="58"/>
        <v>40824</v>
      </c>
    </row>
    <row r="241" spans="1:33" x14ac:dyDescent="0.25">
      <c r="A241">
        <v>0</v>
      </c>
      <c r="B241">
        <v>4</v>
      </c>
      <c r="C241">
        <v>2</v>
      </c>
      <c r="D241">
        <v>0</v>
      </c>
      <c r="E241">
        <v>1</v>
      </c>
      <c r="F241">
        <v>0</v>
      </c>
      <c r="H241" t="str">
        <f t="shared" si="46"/>
        <v>4-2-0-1-0</v>
      </c>
      <c r="I241">
        <f t="shared" si="50"/>
        <v>0</v>
      </c>
      <c r="J241">
        <f t="shared" si="47"/>
        <v>106</v>
      </c>
      <c r="K241">
        <f t="shared" si="48"/>
        <v>61</v>
      </c>
      <c r="M241">
        <f t="shared" si="51"/>
        <v>1</v>
      </c>
      <c r="N241">
        <f t="shared" si="52"/>
        <v>6</v>
      </c>
      <c r="P241">
        <f t="shared" si="53"/>
        <v>4</v>
      </c>
      <c r="Q241">
        <f t="shared" si="54"/>
        <v>2</v>
      </c>
      <c r="R241">
        <f t="shared" si="55"/>
        <v>1</v>
      </c>
      <c r="S241">
        <f t="shared" si="56"/>
        <v>0</v>
      </c>
      <c r="T241">
        <f t="shared" si="57"/>
        <v>0</v>
      </c>
      <c r="V241" t="str">
        <f t="shared" si="49"/>
        <v>4-2-1-0-0</v>
      </c>
      <c r="X241">
        <f t="shared" si="59"/>
        <v>126</v>
      </c>
      <c r="Y241">
        <f t="shared" si="59"/>
        <v>36</v>
      </c>
      <c r="Z241">
        <f t="shared" si="59"/>
        <v>1</v>
      </c>
      <c r="AA241">
        <f t="shared" si="59"/>
        <v>9</v>
      </c>
      <c r="AB241">
        <f t="shared" si="59"/>
        <v>1</v>
      </c>
      <c r="AC241" s="4">
        <f t="shared" si="58"/>
        <v>40824</v>
      </c>
    </row>
    <row r="242" spans="1:33" x14ac:dyDescent="0.25">
      <c r="A242">
        <v>0</v>
      </c>
      <c r="B242">
        <v>4</v>
      </c>
      <c r="C242">
        <v>2</v>
      </c>
      <c r="D242">
        <v>1</v>
      </c>
      <c r="E242">
        <v>0</v>
      </c>
      <c r="F242">
        <v>0</v>
      </c>
      <c r="H242" t="str">
        <f t="shared" si="46"/>
        <v>4-2-1-0-0</v>
      </c>
      <c r="I242">
        <f t="shared" si="50"/>
        <v>0</v>
      </c>
      <c r="J242">
        <f t="shared" si="47"/>
        <v>96</v>
      </c>
      <c r="K242">
        <f t="shared" si="48"/>
        <v>51</v>
      </c>
      <c r="M242">
        <f t="shared" si="51"/>
        <v>1</v>
      </c>
      <c r="N242">
        <f t="shared" si="52"/>
        <v>7</v>
      </c>
      <c r="P242">
        <f t="shared" si="53"/>
        <v>4</v>
      </c>
      <c r="Q242">
        <f t="shared" si="54"/>
        <v>2</v>
      </c>
      <c r="R242">
        <f t="shared" si="55"/>
        <v>1</v>
      </c>
      <c r="S242">
        <f t="shared" si="56"/>
        <v>0</v>
      </c>
      <c r="T242">
        <f t="shared" si="57"/>
        <v>0</v>
      </c>
      <c r="V242" t="str">
        <f t="shared" si="49"/>
        <v>4-2-1-0-0</v>
      </c>
      <c r="X242">
        <f t="shared" si="59"/>
        <v>126</v>
      </c>
      <c r="Y242">
        <f t="shared" si="59"/>
        <v>36</v>
      </c>
      <c r="Z242">
        <f t="shared" si="59"/>
        <v>9</v>
      </c>
      <c r="AA242">
        <f t="shared" si="59"/>
        <v>1</v>
      </c>
      <c r="AB242">
        <f t="shared" si="59"/>
        <v>1</v>
      </c>
      <c r="AC242" s="4">
        <f t="shared" si="58"/>
        <v>40824</v>
      </c>
    </row>
    <row r="243" spans="1:33" x14ac:dyDescent="0.25">
      <c r="A243" s="13">
        <v>1</v>
      </c>
      <c r="B243" s="13">
        <v>0</v>
      </c>
      <c r="C243" s="13">
        <v>1</v>
      </c>
      <c r="D243" s="13">
        <v>1</v>
      </c>
      <c r="E243" s="13">
        <v>2</v>
      </c>
      <c r="F243" s="13">
        <v>3</v>
      </c>
      <c r="G243" s="13"/>
      <c r="H243" s="13" t="str">
        <f t="shared" si="46"/>
        <v>0-1-1-2-3</v>
      </c>
      <c r="I243" s="13">
        <f t="shared" si="50"/>
        <v>1</v>
      </c>
      <c r="J243" s="13">
        <f t="shared" si="47"/>
        <v>269</v>
      </c>
      <c r="K243" s="13">
        <f t="shared" si="48"/>
        <v>214</v>
      </c>
      <c r="L243" s="13"/>
      <c r="M243" s="13">
        <f t="shared" si="51"/>
        <v>6</v>
      </c>
      <c r="N243" s="13">
        <f t="shared" si="52"/>
        <v>2</v>
      </c>
      <c r="O243" s="13"/>
      <c r="P243" s="13">
        <f t="shared" si="53"/>
        <v>3</v>
      </c>
      <c r="Q243" s="13">
        <f t="shared" si="54"/>
        <v>2</v>
      </c>
      <c r="R243" s="13">
        <f t="shared" si="55"/>
        <v>1</v>
      </c>
      <c r="S243" s="13">
        <f t="shared" si="56"/>
        <v>1</v>
      </c>
      <c r="T243" s="13">
        <f t="shared" si="57"/>
        <v>0</v>
      </c>
      <c r="U243" s="13"/>
      <c r="V243" s="13" t="str">
        <f t="shared" si="49"/>
        <v>3-2-1-1-0</v>
      </c>
      <c r="W243" s="13"/>
      <c r="X243" s="13">
        <f t="shared" si="59"/>
        <v>1</v>
      </c>
      <c r="Y243" s="13">
        <f t="shared" si="59"/>
        <v>9</v>
      </c>
      <c r="Z243" s="13">
        <f t="shared" si="59"/>
        <v>9</v>
      </c>
      <c r="AA243" s="13">
        <f t="shared" si="59"/>
        <v>36</v>
      </c>
      <c r="AB243" s="13">
        <f t="shared" si="59"/>
        <v>84</v>
      </c>
      <c r="AC243" s="14">
        <f t="shared" si="58"/>
        <v>244944</v>
      </c>
      <c r="AG243">
        <f>(J243+K243)/2</f>
        <v>241.5</v>
      </c>
    </row>
    <row r="244" spans="1:33" x14ac:dyDescent="0.25">
      <c r="A244" s="13">
        <v>1</v>
      </c>
      <c r="B244" s="13">
        <v>0</v>
      </c>
      <c r="C244" s="13">
        <v>1</v>
      </c>
      <c r="D244" s="13">
        <v>1</v>
      </c>
      <c r="E244" s="13">
        <v>3</v>
      </c>
      <c r="F244" s="13">
        <v>2</v>
      </c>
      <c r="G244" s="13"/>
      <c r="H244" s="13" t="str">
        <f t="shared" si="46"/>
        <v>0-1-1-3-2</v>
      </c>
      <c r="I244" s="13">
        <f t="shared" si="50"/>
        <v>1</v>
      </c>
      <c r="J244" s="13">
        <f t="shared" si="47"/>
        <v>259</v>
      </c>
      <c r="K244" s="13">
        <f t="shared" si="48"/>
        <v>204</v>
      </c>
      <c r="L244" s="13"/>
      <c r="M244" s="13">
        <f t="shared" si="51"/>
        <v>6</v>
      </c>
      <c r="N244" s="13">
        <f t="shared" si="52"/>
        <v>2</v>
      </c>
      <c r="O244" s="13"/>
      <c r="P244" s="13">
        <f t="shared" si="53"/>
        <v>3</v>
      </c>
      <c r="Q244" s="13">
        <f t="shared" si="54"/>
        <v>2</v>
      </c>
      <c r="R244" s="13">
        <f t="shared" si="55"/>
        <v>1</v>
      </c>
      <c r="S244" s="13">
        <f t="shared" si="56"/>
        <v>1</v>
      </c>
      <c r="T244" s="13">
        <f t="shared" si="57"/>
        <v>0</v>
      </c>
      <c r="U244" s="13"/>
      <c r="V244" s="13" t="str">
        <f t="shared" si="49"/>
        <v>3-2-1-1-0</v>
      </c>
      <c r="W244" s="13"/>
      <c r="X244" s="13">
        <f t="shared" si="59"/>
        <v>1</v>
      </c>
      <c r="Y244" s="13">
        <f t="shared" si="59"/>
        <v>9</v>
      </c>
      <c r="Z244" s="13">
        <f t="shared" si="59"/>
        <v>9</v>
      </c>
      <c r="AA244" s="13">
        <f t="shared" si="59"/>
        <v>84</v>
      </c>
      <c r="AB244" s="13">
        <f t="shared" si="59"/>
        <v>36</v>
      </c>
      <c r="AC244" s="14">
        <f t="shared" si="58"/>
        <v>244944</v>
      </c>
      <c r="AG244">
        <f t="shared" ref="AG244:AG302" si="60">(J244+K244)/2</f>
        <v>231.5</v>
      </c>
    </row>
    <row r="245" spans="1:33" x14ac:dyDescent="0.25">
      <c r="A245" s="13">
        <v>1</v>
      </c>
      <c r="B245" s="13">
        <v>0</v>
      </c>
      <c r="C245" s="13">
        <v>1</v>
      </c>
      <c r="D245" s="13">
        <v>2</v>
      </c>
      <c r="E245" s="13">
        <v>1</v>
      </c>
      <c r="F245" s="13">
        <v>3</v>
      </c>
      <c r="G245" s="13"/>
      <c r="H245" s="13" t="str">
        <f t="shared" si="46"/>
        <v>0-1-2-1-3</v>
      </c>
      <c r="I245" s="13">
        <f t="shared" si="50"/>
        <v>1</v>
      </c>
      <c r="J245" s="13">
        <f t="shared" si="47"/>
        <v>259</v>
      </c>
      <c r="K245" s="13">
        <f t="shared" si="48"/>
        <v>204</v>
      </c>
      <c r="L245" s="13"/>
      <c r="M245" s="13">
        <f t="shared" si="51"/>
        <v>6</v>
      </c>
      <c r="N245" s="13">
        <f t="shared" si="52"/>
        <v>3</v>
      </c>
      <c r="O245" s="13"/>
      <c r="P245" s="13">
        <f t="shared" si="53"/>
        <v>3</v>
      </c>
      <c r="Q245" s="13">
        <f t="shared" si="54"/>
        <v>2</v>
      </c>
      <c r="R245" s="13">
        <f t="shared" si="55"/>
        <v>1</v>
      </c>
      <c r="S245" s="13">
        <f t="shared" si="56"/>
        <v>1</v>
      </c>
      <c r="T245" s="13">
        <f t="shared" si="57"/>
        <v>0</v>
      </c>
      <c r="U245" s="13"/>
      <c r="V245" s="13" t="str">
        <f t="shared" si="49"/>
        <v>3-2-1-1-0</v>
      </c>
      <c r="W245" s="13"/>
      <c r="X245" s="13">
        <f t="shared" si="59"/>
        <v>1</v>
      </c>
      <c r="Y245" s="13">
        <f t="shared" si="59"/>
        <v>9</v>
      </c>
      <c r="Z245" s="13">
        <f t="shared" si="59"/>
        <v>36</v>
      </c>
      <c r="AA245" s="13">
        <f t="shared" si="59"/>
        <v>9</v>
      </c>
      <c r="AB245" s="13">
        <f t="shared" si="59"/>
        <v>84</v>
      </c>
      <c r="AC245" s="14">
        <f t="shared" si="58"/>
        <v>244944</v>
      </c>
      <c r="AG245">
        <f t="shared" si="60"/>
        <v>231.5</v>
      </c>
    </row>
    <row r="246" spans="1:33" x14ac:dyDescent="0.25">
      <c r="A246" s="13">
        <v>2</v>
      </c>
      <c r="B246" s="13">
        <v>0</v>
      </c>
      <c r="C246" s="13">
        <v>1</v>
      </c>
      <c r="D246" s="13">
        <v>2</v>
      </c>
      <c r="E246" s="13">
        <v>3</v>
      </c>
      <c r="F246" s="13">
        <v>1</v>
      </c>
      <c r="G246" s="13"/>
      <c r="H246" s="13" t="str">
        <f t="shared" si="46"/>
        <v>0-1-2-3-1</v>
      </c>
      <c r="I246" s="13">
        <f t="shared" si="50"/>
        <v>2</v>
      </c>
      <c r="J246" s="13">
        <f t="shared" si="47"/>
        <v>239</v>
      </c>
      <c r="K246" s="13">
        <f t="shared" si="48"/>
        <v>184</v>
      </c>
      <c r="L246" s="13"/>
      <c r="M246" s="13">
        <f t="shared" si="51"/>
        <v>6</v>
      </c>
      <c r="N246" s="13">
        <f t="shared" si="52"/>
        <v>3</v>
      </c>
      <c r="O246" s="13"/>
      <c r="P246" s="13">
        <f t="shared" si="53"/>
        <v>3</v>
      </c>
      <c r="Q246" s="13">
        <f t="shared" si="54"/>
        <v>2</v>
      </c>
      <c r="R246" s="13">
        <f t="shared" si="55"/>
        <v>1</v>
      </c>
      <c r="S246" s="13">
        <f t="shared" si="56"/>
        <v>1</v>
      </c>
      <c r="T246" s="13">
        <f t="shared" si="57"/>
        <v>0</v>
      </c>
      <c r="U246" s="13"/>
      <c r="V246" s="13" t="str">
        <f t="shared" si="49"/>
        <v>3-2-1-1-0</v>
      </c>
      <c r="W246" s="13"/>
      <c r="X246" s="13">
        <f t="shared" si="59"/>
        <v>1</v>
      </c>
      <c r="Y246" s="13">
        <f t="shared" si="59"/>
        <v>9</v>
      </c>
      <c r="Z246" s="13">
        <f t="shared" si="59"/>
        <v>36</v>
      </c>
      <c r="AA246" s="13">
        <f t="shared" si="59"/>
        <v>84</v>
      </c>
      <c r="AB246" s="13">
        <f t="shared" si="59"/>
        <v>9</v>
      </c>
      <c r="AC246" s="14">
        <f t="shared" si="58"/>
        <v>244944</v>
      </c>
      <c r="AG246">
        <f t="shared" si="60"/>
        <v>211.5</v>
      </c>
    </row>
    <row r="247" spans="1:33" x14ac:dyDescent="0.25">
      <c r="A247" s="13">
        <v>1</v>
      </c>
      <c r="B247" s="13">
        <v>0</v>
      </c>
      <c r="C247" s="13">
        <v>1</v>
      </c>
      <c r="D247" s="13">
        <v>3</v>
      </c>
      <c r="E247" s="13">
        <v>1</v>
      </c>
      <c r="F247" s="13">
        <v>2</v>
      </c>
      <c r="G247" s="13"/>
      <c r="H247" s="13" t="str">
        <f t="shared" si="46"/>
        <v>0-1-3-1-2</v>
      </c>
      <c r="I247" s="13">
        <f t="shared" si="50"/>
        <v>1</v>
      </c>
      <c r="J247" s="13">
        <f t="shared" si="47"/>
        <v>239</v>
      </c>
      <c r="K247" s="13">
        <f t="shared" si="48"/>
        <v>184</v>
      </c>
      <c r="L247" s="13"/>
      <c r="M247" s="13">
        <f t="shared" si="51"/>
        <v>6</v>
      </c>
      <c r="N247" s="13">
        <f t="shared" si="52"/>
        <v>4</v>
      </c>
      <c r="O247" s="13"/>
      <c r="P247" s="13">
        <f t="shared" si="53"/>
        <v>3</v>
      </c>
      <c r="Q247" s="13">
        <f t="shared" si="54"/>
        <v>2</v>
      </c>
      <c r="R247" s="13">
        <f t="shared" si="55"/>
        <v>1</v>
      </c>
      <c r="S247" s="13">
        <f t="shared" si="56"/>
        <v>1</v>
      </c>
      <c r="T247" s="13">
        <f t="shared" si="57"/>
        <v>0</v>
      </c>
      <c r="U247" s="13"/>
      <c r="V247" s="13" t="str">
        <f t="shared" si="49"/>
        <v>3-2-1-1-0</v>
      </c>
      <c r="W247" s="13"/>
      <c r="X247" s="13">
        <f t="shared" si="59"/>
        <v>1</v>
      </c>
      <c r="Y247" s="13">
        <f t="shared" si="59"/>
        <v>9</v>
      </c>
      <c r="Z247" s="13">
        <f t="shared" si="59"/>
        <v>84</v>
      </c>
      <c r="AA247" s="13">
        <f t="shared" si="59"/>
        <v>9</v>
      </c>
      <c r="AB247" s="13">
        <f t="shared" si="59"/>
        <v>36</v>
      </c>
      <c r="AC247" s="14">
        <f t="shared" si="58"/>
        <v>244944</v>
      </c>
      <c r="AG247">
        <f t="shared" si="60"/>
        <v>211.5</v>
      </c>
    </row>
    <row r="248" spans="1:33" x14ac:dyDescent="0.25">
      <c r="A248" s="13">
        <v>1</v>
      </c>
      <c r="B248" s="13">
        <v>0</v>
      </c>
      <c r="C248" s="13">
        <v>1</v>
      </c>
      <c r="D248" s="13">
        <v>3</v>
      </c>
      <c r="E248" s="13">
        <v>2</v>
      </c>
      <c r="F248" s="13">
        <v>1</v>
      </c>
      <c r="G248" s="13"/>
      <c r="H248" s="13" t="str">
        <f t="shared" si="46"/>
        <v>0-1-3-2-1</v>
      </c>
      <c r="I248" s="13">
        <f t="shared" si="50"/>
        <v>1</v>
      </c>
      <c r="J248" s="13">
        <f t="shared" si="47"/>
        <v>229</v>
      </c>
      <c r="K248" s="13">
        <f t="shared" si="48"/>
        <v>174</v>
      </c>
      <c r="L248" s="13"/>
      <c r="M248" s="13">
        <f t="shared" si="51"/>
        <v>6</v>
      </c>
      <c r="N248" s="13">
        <f t="shared" si="52"/>
        <v>4</v>
      </c>
      <c r="O248" s="13"/>
      <c r="P248" s="13">
        <f t="shared" si="53"/>
        <v>3</v>
      </c>
      <c r="Q248" s="13">
        <f t="shared" si="54"/>
        <v>2</v>
      </c>
      <c r="R248" s="13">
        <f t="shared" si="55"/>
        <v>1</v>
      </c>
      <c r="S248" s="13">
        <f t="shared" si="56"/>
        <v>1</v>
      </c>
      <c r="T248" s="13">
        <f t="shared" si="57"/>
        <v>0</v>
      </c>
      <c r="U248" s="13"/>
      <c r="V248" s="13" t="str">
        <f t="shared" si="49"/>
        <v>3-2-1-1-0</v>
      </c>
      <c r="W248" s="13"/>
      <c r="X248" s="13">
        <f t="shared" si="59"/>
        <v>1</v>
      </c>
      <c r="Y248" s="13">
        <f t="shared" si="59"/>
        <v>9</v>
      </c>
      <c r="Z248" s="13">
        <f t="shared" si="59"/>
        <v>84</v>
      </c>
      <c r="AA248" s="13">
        <f t="shared" si="59"/>
        <v>36</v>
      </c>
      <c r="AB248" s="13">
        <f t="shared" si="59"/>
        <v>9</v>
      </c>
      <c r="AC248" s="14">
        <f t="shared" si="58"/>
        <v>244944</v>
      </c>
      <c r="AG248">
        <f t="shared" si="60"/>
        <v>201.5</v>
      </c>
    </row>
    <row r="249" spans="1:33" x14ac:dyDescent="0.25">
      <c r="A249" s="13">
        <v>0</v>
      </c>
      <c r="B249" s="13">
        <v>0</v>
      </c>
      <c r="C249" s="13">
        <v>2</v>
      </c>
      <c r="D249" s="13">
        <v>1</v>
      </c>
      <c r="E249" s="13">
        <v>1</v>
      </c>
      <c r="F249" s="13">
        <v>3</v>
      </c>
      <c r="G249" s="13"/>
      <c r="H249" s="13" t="str">
        <f t="shared" si="46"/>
        <v>0-2-1-1-3</v>
      </c>
      <c r="I249" s="13">
        <f t="shared" si="50"/>
        <v>0</v>
      </c>
      <c r="J249" s="13">
        <f t="shared" si="47"/>
        <v>249</v>
      </c>
      <c r="K249" s="13">
        <f t="shared" si="48"/>
        <v>194</v>
      </c>
      <c r="L249" s="13"/>
      <c r="M249" s="13">
        <f t="shared" si="51"/>
        <v>5</v>
      </c>
      <c r="N249" s="13">
        <f t="shared" si="52"/>
        <v>3</v>
      </c>
      <c r="O249" s="13"/>
      <c r="P249" s="13">
        <f t="shared" si="53"/>
        <v>3</v>
      </c>
      <c r="Q249" s="13">
        <f t="shared" si="54"/>
        <v>2</v>
      </c>
      <c r="R249" s="13">
        <f t="shared" si="55"/>
        <v>1</v>
      </c>
      <c r="S249" s="13">
        <f t="shared" si="56"/>
        <v>1</v>
      </c>
      <c r="T249" s="13">
        <f t="shared" si="57"/>
        <v>0</v>
      </c>
      <c r="U249" s="13"/>
      <c r="V249" s="13" t="str">
        <f t="shared" si="49"/>
        <v>3-2-1-1-0</v>
      </c>
      <c r="W249" s="13"/>
      <c r="X249" s="13">
        <f t="shared" si="59"/>
        <v>1</v>
      </c>
      <c r="Y249" s="13">
        <f t="shared" si="59"/>
        <v>36</v>
      </c>
      <c r="Z249" s="13">
        <f t="shared" si="59"/>
        <v>9</v>
      </c>
      <c r="AA249" s="13">
        <f t="shared" si="59"/>
        <v>9</v>
      </c>
      <c r="AB249" s="13">
        <f t="shared" si="59"/>
        <v>84</v>
      </c>
      <c r="AC249" s="14">
        <f t="shared" si="58"/>
        <v>244944</v>
      </c>
      <c r="AG249">
        <f t="shared" si="60"/>
        <v>221.5</v>
      </c>
    </row>
    <row r="250" spans="1:33" x14ac:dyDescent="0.25">
      <c r="A250" s="13">
        <v>1</v>
      </c>
      <c r="B250" s="13">
        <v>0</v>
      </c>
      <c r="C250" s="13">
        <v>2</v>
      </c>
      <c r="D250" s="13">
        <v>1</v>
      </c>
      <c r="E250" s="13">
        <v>3</v>
      </c>
      <c r="F250" s="13">
        <v>1</v>
      </c>
      <c r="G250" s="13"/>
      <c r="H250" s="13" t="str">
        <f t="shared" si="46"/>
        <v>0-2-1-3-1</v>
      </c>
      <c r="I250" s="13">
        <f t="shared" si="50"/>
        <v>1</v>
      </c>
      <c r="J250" s="13">
        <f t="shared" si="47"/>
        <v>229</v>
      </c>
      <c r="K250" s="13">
        <f t="shared" si="48"/>
        <v>174</v>
      </c>
      <c r="L250" s="13"/>
      <c r="M250" s="13">
        <f t="shared" si="51"/>
        <v>5</v>
      </c>
      <c r="N250" s="13">
        <f t="shared" si="52"/>
        <v>3</v>
      </c>
      <c r="O250" s="13"/>
      <c r="P250" s="13">
        <f t="shared" si="53"/>
        <v>3</v>
      </c>
      <c r="Q250" s="13">
        <f t="shared" si="54"/>
        <v>2</v>
      </c>
      <c r="R250" s="13">
        <f t="shared" si="55"/>
        <v>1</v>
      </c>
      <c r="S250" s="13">
        <f t="shared" si="56"/>
        <v>1</v>
      </c>
      <c r="T250" s="13">
        <f t="shared" si="57"/>
        <v>0</v>
      </c>
      <c r="U250" s="13"/>
      <c r="V250" s="13" t="str">
        <f t="shared" si="49"/>
        <v>3-2-1-1-0</v>
      </c>
      <c r="W250" s="13"/>
      <c r="X250" s="13">
        <f t="shared" si="59"/>
        <v>1</v>
      </c>
      <c r="Y250" s="13">
        <f t="shared" si="59"/>
        <v>36</v>
      </c>
      <c r="Z250" s="13">
        <f t="shared" si="59"/>
        <v>9</v>
      </c>
      <c r="AA250" s="13">
        <f t="shared" si="59"/>
        <v>84</v>
      </c>
      <c r="AB250" s="13">
        <f t="shared" si="59"/>
        <v>9</v>
      </c>
      <c r="AC250" s="14">
        <f t="shared" si="58"/>
        <v>244944</v>
      </c>
      <c r="AG250">
        <f t="shared" si="60"/>
        <v>201.5</v>
      </c>
    </row>
    <row r="251" spans="1:33" x14ac:dyDescent="0.25">
      <c r="A251" s="13">
        <v>3</v>
      </c>
      <c r="B251" s="13">
        <v>0</v>
      </c>
      <c r="C251" s="13">
        <v>2</v>
      </c>
      <c r="D251" s="13">
        <v>3</v>
      </c>
      <c r="E251" s="13">
        <v>1</v>
      </c>
      <c r="F251" s="13">
        <v>1</v>
      </c>
      <c r="G251" s="13"/>
      <c r="H251" s="13" t="str">
        <f t="shared" si="46"/>
        <v>0-2-3-1-1</v>
      </c>
      <c r="I251" s="13">
        <f t="shared" si="50"/>
        <v>3</v>
      </c>
      <c r="J251" s="13">
        <f t="shared" si="47"/>
        <v>209</v>
      </c>
      <c r="K251" s="13">
        <f t="shared" si="48"/>
        <v>154</v>
      </c>
      <c r="L251" s="13"/>
      <c r="M251" s="13">
        <f t="shared" si="51"/>
        <v>5</v>
      </c>
      <c r="N251" s="13">
        <f t="shared" si="52"/>
        <v>5</v>
      </c>
      <c r="O251" s="13"/>
      <c r="P251" s="13">
        <f t="shared" si="53"/>
        <v>3</v>
      </c>
      <c r="Q251" s="13">
        <f t="shared" si="54"/>
        <v>2</v>
      </c>
      <c r="R251" s="13">
        <f t="shared" si="55"/>
        <v>1</v>
      </c>
      <c r="S251" s="13">
        <f t="shared" si="56"/>
        <v>1</v>
      </c>
      <c r="T251" s="13">
        <f t="shared" si="57"/>
        <v>0</v>
      </c>
      <c r="U251" s="13"/>
      <c r="V251" s="13" t="str">
        <f t="shared" si="49"/>
        <v>3-2-1-1-0</v>
      </c>
      <c r="W251" s="13"/>
      <c r="X251" s="13">
        <f t="shared" si="59"/>
        <v>1</v>
      </c>
      <c r="Y251" s="13">
        <f t="shared" si="59"/>
        <v>36</v>
      </c>
      <c r="Z251" s="13">
        <f t="shared" si="59"/>
        <v>84</v>
      </c>
      <c r="AA251" s="13">
        <f t="shared" si="59"/>
        <v>9</v>
      </c>
      <c r="AB251" s="13">
        <f t="shared" si="59"/>
        <v>9</v>
      </c>
      <c r="AC251" s="14">
        <f t="shared" si="58"/>
        <v>244944</v>
      </c>
      <c r="AG251">
        <f t="shared" si="60"/>
        <v>181.5</v>
      </c>
    </row>
    <row r="252" spans="1:33" x14ac:dyDescent="0.25">
      <c r="A252" s="13">
        <v>0</v>
      </c>
      <c r="B252" s="13">
        <v>0</v>
      </c>
      <c r="C252" s="13">
        <v>3</v>
      </c>
      <c r="D252" s="13">
        <v>1</v>
      </c>
      <c r="E252" s="13">
        <v>1</v>
      </c>
      <c r="F252" s="13">
        <v>2</v>
      </c>
      <c r="G252" s="13"/>
      <c r="H252" s="13" t="str">
        <f t="shared" si="46"/>
        <v>0-3-1-1-2</v>
      </c>
      <c r="I252" s="13">
        <f t="shared" si="50"/>
        <v>0</v>
      </c>
      <c r="J252" s="13">
        <f t="shared" si="47"/>
        <v>219</v>
      </c>
      <c r="K252" s="13">
        <f t="shared" si="48"/>
        <v>164</v>
      </c>
      <c r="L252" s="13"/>
      <c r="M252" s="13">
        <f t="shared" si="51"/>
        <v>4</v>
      </c>
      <c r="N252" s="13">
        <f t="shared" si="52"/>
        <v>4</v>
      </c>
      <c r="O252" s="13"/>
      <c r="P252" s="13">
        <f t="shared" si="53"/>
        <v>3</v>
      </c>
      <c r="Q252" s="13">
        <f t="shared" si="54"/>
        <v>2</v>
      </c>
      <c r="R252" s="13">
        <f t="shared" si="55"/>
        <v>1</v>
      </c>
      <c r="S252" s="13">
        <f t="shared" si="56"/>
        <v>1</v>
      </c>
      <c r="T252" s="13">
        <f t="shared" si="57"/>
        <v>0</v>
      </c>
      <c r="U252" s="13"/>
      <c r="V252" s="13" t="str">
        <f t="shared" si="49"/>
        <v>3-2-1-1-0</v>
      </c>
      <c r="W252" s="13"/>
      <c r="X252" s="13">
        <f t="shared" si="59"/>
        <v>1</v>
      </c>
      <c r="Y252" s="13">
        <f t="shared" si="59"/>
        <v>84</v>
      </c>
      <c r="Z252" s="13">
        <f t="shared" si="59"/>
        <v>9</v>
      </c>
      <c r="AA252" s="13">
        <f t="shared" si="59"/>
        <v>9</v>
      </c>
      <c r="AB252" s="13">
        <f t="shared" si="59"/>
        <v>36</v>
      </c>
      <c r="AC252" s="14">
        <f t="shared" si="58"/>
        <v>244944</v>
      </c>
      <c r="AG252">
        <f t="shared" si="60"/>
        <v>191.5</v>
      </c>
    </row>
    <row r="253" spans="1:33" x14ac:dyDescent="0.25">
      <c r="A253" s="13">
        <v>0</v>
      </c>
      <c r="B253" s="13">
        <v>0</v>
      </c>
      <c r="C253" s="13">
        <v>3</v>
      </c>
      <c r="D253" s="13">
        <v>1</v>
      </c>
      <c r="E253" s="13">
        <v>2</v>
      </c>
      <c r="F253" s="13">
        <v>1</v>
      </c>
      <c r="G253" s="13"/>
      <c r="H253" s="13" t="str">
        <f t="shared" si="46"/>
        <v>0-3-1-2-1</v>
      </c>
      <c r="I253" s="13">
        <f t="shared" si="50"/>
        <v>0</v>
      </c>
      <c r="J253" s="13">
        <f t="shared" si="47"/>
        <v>209</v>
      </c>
      <c r="K253" s="13">
        <f t="shared" si="48"/>
        <v>154</v>
      </c>
      <c r="L253" s="13"/>
      <c r="M253" s="13">
        <f t="shared" si="51"/>
        <v>4</v>
      </c>
      <c r="N253" s="13">
        <f t="shared" si="52"/>
        <v>4</v>
      </c>
      <c r="O253" s="13"/>
      <c r="P253" s="13">
        <f t="shared" si="53"/>
        <v>3</v>
      </c>
      <c r="Q253" s="13">
        <f t="shared" si="54"/>
        <v>2</v>
      </c>
      <c r="R253" s="13">
        <f t="shared" si="55"/>
        <v>1</v>
      </c>
      <c r="S253" s="13">
        <f t="shared" si="56"/>
        <v>1</v>
      </c>
      <c r="T253" s="13">
        <f t="shared" si="57"/>
        <v>0</v>
      </c>
      <c r="U253" s="13"/>
      <c r="V253" s="13" t="str">
        <f t="shared" si="49"/>
        <v>3-2-1-1-0</v>
      </c>
      <c r="W253" s="13"/>
      <c r="X253" s="13">
        <f t="shared" si="59"/>
        <v>1</v>
      </c>
      <c r="Y253" s="13">
        <f t="shared" si="59"/>
        <v>84</v>
      </c>
      <c r="Z253" s="13">
        <f t="shared" si="59"/>
        <v>9</v>
      </c>
      <c r="AA253" s="13">
        <f t="shared" si="59"/>
        <v>36</v>
      </c>
      <c r="AB253" s="13">
        <f t="shared" si="59"/>
        <v>9</v>
      </c>
      <c r="AC253" s="14">
        <f t="shared" si="58"/>
        <v>244944</v>
      </c>
      <c r="AG253">
        <f t="shared" si="60"/>
        <v>181.5</v>
      </c>
    </row>
    <row r="254" spans="1:33" x14ac:dyDescent="0.25">
      <c r="A254" s="13">
        <v>2</v>
      </c>
      <c r="B254" s="13">
        <v>0</v>
      </c>
      <c r="C254" s="13">
        <v>3</v>
      </c>
      <c r="D254" s="13">
        <v>2</v>
      </c>
      <c r="E254" s="13">
        <v>1</v>
      </c>
      <c r="F254" s="13">
        <v>1</v>
      </c>
      <c r="G254" s="13"/>
      <c r="H254" s="13" t="str">
        <f t="shared" si="46"/>
        <v>0-3-2-1-1</v>
      </c>
      <c r="I254" s="13">
        <f t="shared" si="50"/>
        <v>2</v>
      </c>
      <c r="J254" s="13">
        <f t="shared" si="47"/>
        <v>199</v>
      </c>
      <c r="K254" s="13">
        <f t="shared" si="48"/>
        <v>144</v>
      </c>
      <c r="L254" s="13"/>
      <c r="M254" s="13">
        <f t="shared" si="51"/>
        <v>4</v>
      </c>
      <c r="N254" s="13">
        <f t="shared" si="52"/>
        <v>5</v>
      </c>
      <c r="O254" s="13"/>
      <c r="P254" s="13">
        <f t="shared" si="53"/>
        <v>3</v>
      </c>
      <c r="Q254" s="13">
        <f t="shared" si="54"/>
        <v>2</v>
      </c>
      <c r="R254" s="13">
        <f t="shared" si="55"/>
        <v>1</v>
      </c>
      <c r="S254" s="13">
        <f t="shared" si="56"/>
        <v>1</v>
      </c>
      <c r="T254" s="13">
        <f t="shared" si="57"/>
        <v>0</v>
      </c>
      <c r="U254" s="13"/>
      <c r="V254" s="13" t="str">
        <f t="shared" si="49"/>
        <v>3-2-1-1-0</v>
      </c>
      <c r="W254" s="13"/>
      <c r="X254" s="13">
        <f t="shared" si="59"/>
        <v>1</v>
      </c>
      <c r="Y254" s="13">
        <f t="shared" si="59"/>
        <v>84</v>
      </c>
      <c r="Z254" s="13">
        <f t="shared" si="59"/>
        <v>36</v>
      </c>
      <c r="AA254" s="13">
        <f t="shared" si="59"/>
        <v>9</v>
      </c>
      <c r="AB254" s="13">
        <f t="shared" si="59"/>
        <v>9</v>
      </c>
      <c r="AC254" s="14">
        <f t="shared" si="58"/>
        <v>244944</v>
      </c>
      <c r="AG254">
        <f t="shared" si="60"/>
        <v>171.5</v>
      </c>
    </row>
    <row r="255" spans="1:33" x14ac:dyDescent="0.25">
      <c r="A255" s="13">
        <v>3</v>
      </c>
      <c r="B255" s="13">
        <v>1</v>
      </c>
      <c r="C255" s="13">
        <v>0</v>
      </c>
      <c r="D255" s="13">
        <v>1</v>
      </c>
      <c r="E255" s="13">
        <v>2</v>
      </c>
      <c r="F255" s="13">
        <v>3</v>
      </c>
      <c r="G255" s="13"/>
      <c r="H255" s="13" t="str">
        <f t="shared" si="46"/>
        <v>1-0-1-2-3</v>
      </c>
      <c r="I255" s="13">
        <f t="shared" si="50"/>
        <v>3</v>
      </c>
      <c r="J255" s="13">
        <f t="shared" si="47"/>
        <v>259</v>
      </c>
      <c r="K255" s="13">
        <f t="shared" si="48"/>
        <v>205</v>
      </c>
      <c r="L255" s="13"/>
      <c r="M255" s="13">
        <f t="shared" si="51"/>
        <v>6</v>
      </c>
      <c r="N255" s="13">
        <f t="shared" si="52"/>
        <v>2</v>
      </c>
      <c r="O255" s="13"/>
      <c r="P255" s="13">
        <f t="shared" si="53"/>
        <v>3</v>
      </c>
      <c r="Q255" s="13">
        <f t="shared" si="54"/>
        <v>2</v>
      </c>
      <c r="R255" s="13">
        <f t="shared" si="55"/>
        <v>1</v>
      </c>
      <c r="S255" s="13">
        <f t="shared" si="56"/>
        <v>1</v>
      </c>
      <c r="T255" s="13">
        <f t="shared" si="57"/>
        <v>0</v>
      </c>
      <c r="U255" s="13"/>
      <c r="V255" s="13" t="str">
        <f t="shared" si="49"/>
        <v>3-2-1-1-0</v>
      </c>
      <c r="W255" s="13"/>
      <c r="X255" s="13">
        <f t="shared" si="59"/>
        <v>9</v>
      </c>
      <c r="Y255" s="13">
        <f t="shared" si="59"/>
        <v>1</v>
      </c>
      <c r="Z255" s="13">
        <f t="shared" si="59"/>
        <v>9</v>
      </c>
      <c r="AA255" s="13">
        <f t="shared" si="59"/>
        <v>36</v>
      </c>
      <c r="AB255" s="13">
        <f t="shared" si="59"/>
        <v>84</v>
      </c>
      <c r="AC255" s="14">
        <f t="shared" si="58"/>
        <v>244944</v>
      </c>
      <c r="AG255">
        <f t="shared" si="60"/>
        <v>232</v>
      </c>
    </row>
    <row r="256" spans="1:33" x14ac:dyDescent="0.25">
      <c r="A256" s="13">
        <v>2</v>
      </c>
      <c r="B256" s="13">
        <v>1</v>
      </c>
      <c r="C256" s="13">
        <v>0</v>
      </c>
      <c r="D256" s="13">
        <v>1</v>
      </c>
      <c r="E256" s="13">
        <v>3</v>
      </c>
      <c r="F256" s="13">
        <v>2</v>
      </c>
      <c r="G256" s="13"/>
      <c r="H256" s="13" t="str">
        <f t="shared" si="46"/>
        <v>1-0-1-3-2</v>
      </c>
      <c r="I256" s="13">
        <f t="shared" si="50"/>
        <v>2</v>
      </c>
      <c r="J256" s="13">
        <f t="shared" si="47"/>
        <v>249</v>
      </c>
      <c r="K256" s="13">
        <f t="shared" si="48"/>
        <v>195</v>
      </c>
      <c r="L256" s="13"/>
      <c r="M256" s="13">
        <f t="shared" si="51"/>
        <v>6</v>
      </c>
      <c r="N256" s="13">
        <f t="shared" si="52"/>
        <v>2</v>
      </c>
      <c r="O256" s="13"/>
      <c r="P256" s="13">
        <f t="shared" si="53"/>
        <v>3</v>
      </c>
      <c r="Q256" s="13">
        <f t="shared" si="54"/>
        <v>2</v>
      </c>
      <c r="R256" s="13">
        <f t="shared" si="55"/>
        <v>1</v>
      </c>
      <c r="S256" s="13">
        <f t="shared" si="56"/>
        <v>1</v>
      </c>
      <c r="T256" s="13">
        <f t="shared" si="57"/>
        <v>0</v>
      </c>
      <c r="U256" s="13"/>
      <c r="V256" s="13" t="str">
        <f t="shared" si="49"/>
        <v>3-2-1-1-0</v>
      </c>
      <c r="W256" s="13"/>
      <c r="X256" s="13">
        <f t="shared" si="59"/>
        <v>9</v>
      </c>
      <c r="Y256" s="13">
        <f t="shared" si="59"/>
        <v>1</v>
      </c>
      <c r="Z256" s="13">
        <f t="shared" si="59"/>
        <v>9</v>
      </c>
      <c r="AA256" s="13">
        <f t="shared" si="59"/>
        <v>84</v>
      </c>
      <c r="AB256" s="13">
        <f t="shared" si="59"/>
        <v>36</v>
      </c>
      <c r="AC256" s="14">
        <f t="shared" si="58"/>
        <v>244944</v>
      </c>
      <c r="AG256">
        <f t="shared" si="60"/>
        <v>222</v>
      </c>
    </row>
    <row r="257" spans="1:33" x14ac:dyDescent="0.25">
      <c r="A257" s="13">
        <v>2</v>
      </c>
      <c r="B257" s="13">
        <v>1</v>
      </c>
      <c r="C257" s="13">
        <v>0</v>
      </c>
      <c r="D257" s="13">
        <v>2</v>
      </c>
      <c r="E257" s="13">
        <v>1</v>
      </c>
      <c r="F257" s="13">
        <v>3</v>
      </c>
      <c r="G257" s="13"/>
      <c r="H257" s="13" t="str">
        <f t="shared" si="46"/>
        <v>1-0-2-1-3</v>
      </c>
      <c r="I257" s="13">
        <f t="shared" si="50"/>
        <v>2</v>
      </c>
      <c r="J257" s="13">
        <f t="shared" si="47"/>
        <v>249</v>
      </c>
      <c r="K257" s="13">
        <f t="shared" si="48"/>
        <v>195</v>
      </c>
      <c r="L257" s="13"/>
      <c r="M257" s="13">
        <f t="shared" si="51"/>
        <v>6</v>
      </c>
      <c r="N257" s="13">
        <f t="shared" si="52"/>
        <v>3</v>
      </c>
      <c r="O257" s="13"/>
      <c r="P257" s="13">
        <f t="shared" si="53"/>
        <v>3</v>
      </c>
      <c r="Q257" s="13">
        <f t="shared" si="54"/>
        <v>2</v>
      </c>
      <c r="R257" s="13">
        <f t="shared" si="55"/>
        <v>1</v>
      </c>
      <c r="S257" s="13">
        <f t="shared" si="56"/>
        <v>1</v>
      </c>
      <c r="T257" s="13">
        <f t="shared" si="57"/>
        <v>0</v>
      </c>
      <c r="U257" s="13"/>
      <c r="V257" s="13" t="str">
        <f t="shared" si="49"/>
        <v>3-2-1-1-0</v>
      </c>
      <c r="W257" s="13"/>
      <c r="X257" s="13">
        <f t="shared" si="59"/>
        <v>9</v>
      </c>
      <c r="Y257" s="13">
        <f t="shared" si="59"/>
        <v>1</v>
      </c>
      <c r="Z257" s="13">
        <f t="shared" si="59"/>
        <v>36</v>
      </c>
      <c r="AA257" s="13">
        <f t="shared" si="59"/>
        <v>9</v>
      </c>
      <c r="AB257" s="13">
        <f t="shared" si="59"/>
        <v>84</v>
      </c>
      <c r="AC257" s="14">
        <f t="shared" si="58"/>
        <v>244944</v>
      </c>
      <c r="AG257">
        <f t="shared" si="60"/>
        <v>222</v>
      </c>
    </row>
    <row r="258" spans="1:33" x14ac:dyDescent="0.25">
      <c r="A258" s="13">
        <v>3</v>
      </c>
      <c r="B258" s="13">
        <v>1</v>
      </c>
      <c r="C258" s="13">
        <v>0</v>
      </c>
      <c r="D258" s="13">
        <v>2</v>
      </c>
      <c r="E258" s="13">
        <v>3</v>
      </c>
      <c r="F258" s="13">
        <v>1</v>
      </c>
      <c r="G258" s="13"/>
      <c r="H258" s="13" t="str">
        <f t="shared" si="46"/>
        <v>1-0-2-3-1</v>
      </c>
      <c r="I258" s="13">
        <f t="shared" si="50"/>
        <v>3</v>
      </c>
      <c r="J258" s="13">
        <f t="shared" si="47"/>
        <v>229</v>
      </c>
      <c r="K258" s="13">
        <f t="shared" si="48"/>
        <v>175</v>
      </c>
      <c r="L258" s="13"/>
      <c r="M258" s="13">
        <f t="shared" si="51"/>
        <v>6</v>
      </c>
      <c r="N258" s="13">
        <f t="shared" si="52"/>
        <v>3</v>
      </c>
      <c r="O258" s="13"/>
      <c r="P258" s="13">
        <f t="shared" si="53"/>
        <v>3</v>
      </c>
      <c r="Q258" s="13">
        <f t="shared" si="54"/>
        <v>2</v>
      </c>
      <c r="R258" s="13">
        <f t="shared" si="55"/>
        <v>1</v>
      </c>
      <c r="S258" s="13">
        <f t="shared" si="56"/>
        <v>1</v>
      </c>
      <c r="T258" s="13">
        <f t="shared" si="57"/>
        <v>0</v>
      </c>
      <c r="U258" s="13"/>
      <c r="V258" s="13" t="str">
        <f t="shared" si="49"/>
        <v>3-2-1-1-0</v>
      </c>
      <c r="W258" s="13"/>
      <c r="X258" s="13">
        <f t="shared" si="59"/>
        <v>9</v>
      </c>
      <c r="Y258" s="13">
        <f t="shared" si="59"/>
        <v>1</v>
      </c>
      <c r="Z258" s="13">
        <f t="shared" si="59"/>
        <v>36</v>
      </c>
      <c r="AA258" s="13">
        <f t="shared" si="59"/>
        <v>84</v>
      </c>
      <c r="AB258" s="13">
        <f t="shared" si="59"/>
        <v>9</v>
      </c>
      <c r="AC258" s="14">
        <f t="shared" si="58"/>
        <v>244944</v>
      </c>
      <c r="AG258">
        <f t="shared" si="60"/>
        <v>202</v>
      </c>
    </row>
    <row r="259" spans="1:33" x14ac:dyDescent="0.25">
      <c r="A259" s="13">
        <v>0</v>
      </c>
      <c r="B259" s="13">
        <v>1</v>
      </c>
      <c r="C259" s="13">
        <v>0</v>
      </c>
      <c r="D259" s="13">
        <v>3</v>
      </c>
      <c r="E259" s="13">
        <v>1</v>
      </c>
      <c r="F259" s="13">
        <v>2</v>
      </c>
      <c r="G259" s="13"/>
      <c r="H259" s="13" t="str">
        <f t="shared" ref="H259:H322" si="61">CONCATENATE(B259,"-",C259,"-",D259,"-",E259,"-",F259)</f>
        <v>1-0-3-1-2</v>
      </c>
      <c r="I259" s="13">
        <f t="shared" si="50"/>
        <v>0</v>
      </c>
      <c r="J259" s="13">
        <f t="shared" ref="J259:J322" si="62">((9*B259)-((B259-1)*(B259))/2)+((19*C259)-((C259-1)*(C259))/2)+((29*D259)-((D259-1)*(D259))/2)+((39*E259)-((E259-1)*(E259))/2)+((49*F259)-((F259-1)*(F259))/2)</f>
        <v>229</v>
      </c>
      <c r="K259" s="13">
        <f t="shared" ref="K259:K322" si="63">((1*B259)+((B259-1)*(B259))/2)+((10*C259)+((C259-1)*(C259))/2)+((20*D259)+((D259-1)*(D259))/2)+((30*E259)+((E259-1)*(E259))/2)+((40*F259)+((F259-1)*(F259))/2)</f>
        <v>175</v>
      </c>
      <c r="L259" s="13"/>
      <c r="M259" s="13">
        <f t="shared" si="51"/>
        <v>6</v>
      </c>
      <c r="N259" s="13">
        <f t="shared" si="52"/>
        <v>4</v>
      </c>
      <c r="O259" s="13"/>
      <c r="P259" s="13">
        <f t="shared" si="53"/>
        <v>3</v>
      </c>
      <c r="Q259" s="13">
        <f t="shared" si="54"/>
        <v>2</v>
      </c>
      <c r="R259" s="13">
        <f t="shared" si="55"/>
        <v>1</v>
      </c>
      <c r="S259" s="13">
        <f t="shared" si="56"/>
        <v>1</v>
      </c>
      <c r="T259" s="13">
        <f t="shared" si="57"/>
        <v>0</v>
      </c>
      <c r="U259" s="13"/>
      <c r="V259" s="13" t="str">
        <f t="shared" ref="V259:V322" si="64">CONCATENATE(P259,"-",Q259,"-",R259,"-",S259,"-",T259)</f>
        <v>3-2-1-1-0</v>
      </c>
      <c r="W259" s="13"/>
      <c r="X259" s="13">
        <f t="shared" ref="X259:AB309" si="65">PERMUT(9,B259)/PERMUT(B259,B259)</f>
        <v>9</v>
      </c>
      <c r="Y259" s="13">
        <f t="shared" si="65"/>
        <v>1</v>
      </c>
      <c r="Z259" s="13">
        <f t="shared" si="65"/>
        <v>84</v>
      </c>
      <c r="AA259" s="13">
        <f t="shared" si="65"/>
        <v>9</v>
      </c>
      <c r="AB259" s="13">
        <f t="shared" si="65"/>
        <v>36</v>
      </c>
      <c r="AC259" s="14">
        <f t="shared" si="58"/>
        <v>244944</v>
      </c>
      <c r="AG259">
        <f t="shared" si="60"/>
        <v>202</v>
      </c>
    </row>
    <row r="260" spans="1:33" x14ac:dyDescent="0.25">
      <c r="A260" s="13">
        <v>1</v>
      </c>
      <c r="B260" s="13">
        <v>1</v>
      </c>
      <c r="C260" s="13">
        <v>0</v>
      </c>
      <c r="D260" s="13">
        <v>3</v>
      </c>
      <c r="E260" s="13">
        <v>2</v>
      </c>
      <c r="F260" s="13">
        <v>1</v>
      </c>
      <c r="G260" s="13"/>
      <c r="H260" s="13" t="str">
        <f t="shared" si="61"/>
        <v>1-0-3-2-1</v>
      </c>
      <c r="I260" s="13">
        <f t="shared" ref="I260:I323" si="66">A260</f>
        <v>1</v>
      </c>
      <c r="J260" s="13">
        <f t="shared" si="62"/>
        <v>219</v>
      </c>
      <c r="K260" s="13">
        <f t="shared" si="63"/>
        <v>165</v>
      </c>
      <c r="L260" s="13"/>
      <c r="M260" s="13">
        <f t="shared" ref="M260:M323" si="67">D260+E260+F260</f>
        <v>6</v>
      </c>
      <c r="N260" s="13">
        <f t="shared" ref="N260:N323" si="68">B260+C260+D260</f>
        <v>4</v>
      </c>
      <c r="O260" s="13"/>
      <c r="P260" s="13">
        <f t="shared" ref="P260:P323" si="69">LARGE($B260:$F260,1)</f>
        <v>3</v>
      </c>
      <c r="Q260" s="13">
        <f t="shared" ref="Q260:Q323" si="70">LARGE($B260:$F260,2)</f>
        <v>2</v>
      </c>
      <c r="R260" s="13">
        <f t="shared" ref="R260:R323" si="71">LARGE($B260:$F260,3)</f>
        <v>1</v>
      </c>
      <c r="S260" s="13">
        <f t="shared" ref="S260:S323" si="72">LARGE($B260:$F260,4)</f>
        <v>1</v>
      </c>
      <c r="T260" s="13">
        <f t="shared" ref="T260:T323" si="73">LARGE($B260:$F260,5)</f>
        <v>0</v>
      </c>
      <c r="U260" s="13"/>
      <c r="V260" s="13" t="str">
        <f t="shared" si="64"/>
        <v>3-2-1-1-0</v>
      </c>
      <c r="W260" s="13"/>
      <c r="X260" s="13">
        <f t="shared" si="65"/>
        <v>9</v>
      </c>
      <c r="Y260" s="13">
        <f t="shared" si="65"/>
        <v>1</v>
      </c>
      <c r="Z260" s="13">
        <f t="shared" si="65"/>
        <v>84</v>
      </c>
      <c r="AA260" s="13">
        <f t="shared" si="65"/>
        <v>36</v>
      </c>
      <c r="AB260" s="13">
        <f t="shared" si="65"/>
        <v>9</v>
      </c>
      <c r="AC260" s="14">
        <f t="shared" ref="AC260:AC323" si="74">X260*Y260*Z260*AA260*AB260</f>
        <v>244944</v>
      </c>
      <c r="AG260">
        <f t="shared" si="60"/>
        <v>192</v>
      </c>
    </row>
    <row r="261" spans="1:33" x14ac:dyDescent="0.25">
      <c r="A261" s="13">
        <v>1</v>
      </c>
      <c r="B261" s="13">
        <v>1</v>
      </c>
      <c r="C261" s="13">
        <v>1</v>
      </c>
      <c r="D261" s="13">
        <v>0</v>
      </c>
      <c r="E261" s="13">
        <v>2</v>
      </c>
      <c r="F261" s="13">
        <v>3</v>
      </c>
      <c r="G261" s="13"/>
      <c r="H261" s="13" t="str">
        <f t="shared" si="61"/>
        <v>1-1-0-2-3</v>
      </c>
      <c r="I261" s="13">
        <f t="shared" si="66"/>
        <v>1</v>
      </c>
      <c r="J261" s="13">
        <f t="shared" si="62"/>
        <v>249</v>
      </c>
      <c r="K261" s="13">
        <f t="shared" si="63"/>
        <v>195</v>
      </c>
      <c r="L261" s="13"/>
      <c r="M261" s="13">
        <f t="shared" si="67"/>
        <v>5</v>
      </c>
      <c r="N261" s="13">
        <f t="shared" si="68"/>
        <v>2</v>
      </c>
      <c r="O261" s="13"/>
      <c r="P261" s="13">
        <f t="shared" si="69"/>
        <v>3</v>
      </c>
      <c r="Q261" s="13">
        <f t="shared" si="70"/>
        <v>2</v>
      </c>
      <c r="R261" s="13">
        <f t="shared" si="71"/>
        <v>1</v>
      </c>
      <c r="S261" s="13">
        <f t="shared" si="72"/>
        <v>1</v>
      </c>
      <c r="T261" s="13">
        <f t="shared" si="73"/>
        <v>0</v>
      </c>
      <c r="U261" s="13"/>
      <c r="V261" s="13" t="str">
        <f t="shared" si="64"/>
        <v>3-2-1-1-0</v>
      </c>
      <c r="W261" s="13"/>
      <c r="X261" s="13">
        <f t="shared" si="65"/>
        <v>9</v>
      </c>
      <c r="Y261" s="13">
        <f t="shared" si="65"/>
        <v>9</v>
      </c>
      <c r="Z261" s="13">
        <f t="shared" si="65"/>
        <v>1</v>
      </c>
      <c r="AA261" s="13">
        <f t="shared" si="65"/>
        <v>36</v>
      </c>
      <c r="AB261" s="13">
        <f t="shared" si="65"/>
        <v>84</v>
      </c>
      <c r="AC261" s="14">
        <f t="shared" si="74"/>
        <v>244944</v>
      </c>
      <c r="AG261">
        <f t="shared" si="60"/>
        <v>222</v>
      </c>
    </row>
    <row r="262" spans="1:33" x14ac:dyDescent="0.25">
      <c r="A262" s="13">
        <v>1</v>
      </c>
      <c r="B262" s="13">
        <v>1</v>
      </c>
      <c r="C262" s="13">
        <v>1</v>
      </c>
      <c r="D262" s="13">
        <v>0</v>
      </c>
      <c r="E262" s="13">
        <v>3</v>
      </c>
      <c r="F262" s="13">
        <v>2</v>
      </c>
      <c r="G262" s="13"/>
      <c r="H262" s="13" t="str">
        <f t="shared" si="61"/>
        <v>1-1-0-3-2</v>
      </c>
      <c r="I262" s="13">
        <f t="shared" si="66"/>
        <v>1</v>
      </c>
      <c r="J262" s="13">
        <f t="shared" si="62"/>
        <v>239</v>
      </c>
      <c r="K262" s="13">
        <f t="shared" si="63"/>
        <v>185</v>
      </c>
      <c r="L262" s="13"/>
      <c r="M262" s="13">
        <f t="shared" si="67"/>
        <v>5</v>
      </c>
      <c r="N262" s="13">
        <f t="shared" si="68"/>
        <v>2</v>
      </c>
      <c r="O262" s="13"/>
      <c r="P262" s="13">
        <f t="shared" si="69"/>
        <v>3</v>
      </c>
      <c r="Q262" s="13">
        <f t="shared" si="70"/>
        <v>2</v>
      </c>
      <c r="R262" s="13">
        <f t="shared" si="71"/>
        <v>1</v>
      </c>
      <c r="S262" s="13">
        <f t="shared" si="72"/>
        <v>1</v>
      </c>
      <c r="T262" s="13">
        <f t="shared" si="73"/>
        <v>0</v>
      </c>
      <c r="U262" s="13"/>
      <c r="V262" s="13" t="str">
        <f t="shared" si="64"/>
        <v>3-2-1-1-0</v>
      </c>
      <c r="W262" s="13"/>
      <c r="X262" s="13">
        <f t="shared" si="65"/>
        <v>9</v>
      </c>
      <c r="Y262" s="13">
        <f t="shared" si="65"/>
        <v>9</v>
      </c>
      <c r="Z262" s="13">
        <f t="shared" si="65"/>
        <v>1</v>
      </c>
      <c r="AA262" s="13">
        <f t="shared" si="65"/>
        <v>84</v>
      </c>
      <c r="AB262" s="13">
        <f t="shared" si="65"/>
        <v>36</v>
      </c>
      <c r="AC262" s="14">
        <f t="shared" si="74"/>
        <v>244944</v>
      </c>
      <c r="AG262">
        <f t="shared" si="60"/>
        <v>212</v>
      </c>
    </row>
    <row r="263" spans="1:33" x14ac:dyDescent="0.25">
      <c r="A263" s="13">
        <v>2</v>
      </c>
      <c r="B263" s="13">
        <v>1</v>
      </c>
      <c r="C263" s="13">
        <v>1</v>
      </c>
      <c r="D263" s="13">
        <v>2</v>
      </c>
      <c r="E263" s="13">
        <v>0</v>
      </c>
      <c r="F263" s="13">
        <v>3</v>
      </c>
      <c r="G263" s="13"/>
      <c r="H263" s="13" t="str">
        <f t="shared" si="61"/>
        <v>1-1-2-0-3</v>
      </c>
      <c r="I263" s="13">
        <f t="shared" si="66"/>
        <v>2</v>
      </c>
      <c r="J263" s="13">
        <f t="shared" si="62"/>
        <v>229</v>
      </c>
      <c r="K263" s="13">
        <f t="shared" si="63"/>
        <v>175</v>
      </c>
      <c r="L263" s="13"/>
      <c r="M263" s="13">
        <f t="shared" si="67"/>
        <v>5</v>
      </c>
      <c r="N263" s="13">
        <f t="shared" si="68"/>
        <v>4</v>
      </c>
      <c r="O263" s="13"/>
      <c r="P263" s="13">
        <f t="shared" si="69"/>
        <v>3</v>
      </c>
      <c r="Q263" s="13">
        <f t="shared" si="70"/>
        <v>2</v>
      </c>
      <c r="R263" s="13">
        <f t="shared" si="71"/>
        <v>1</v>
      </c>
      <c r="S263" s="13">
        <f t="shared" si="72"/>
        <v>1</v>
      </c>
      <c r="T263" s="13">
        <f t="shared" si="73"/>
        <v>0</v>
      </c>
      <c r="U263" s="13"/>
      <c r="V263" s="13" t="str">
        <f t="shared" si="64"/>
        <v>3-2-1-1-0</v>
      </c>
      <c r="W263" s="13"/>
      <c r="X263" s="13">
        <f t="shared" si="65"/>
        <v>9</v>
      </c>
      <c r="Y263" s="13">
        <f t="shared" si="65"/>
        <v>9</v>
      </c>
      <c r="Z263" s="13">
        <f t="shared" si="65"/>
        <v>36</v>
      </c>
      <c r="AA263" s="13">
        <f t="shared" si="65"/>
        <v>1</v>
      </c>
      <c r="AB263" s="13">
        <f t="shared" si="65"/>
        <v>84</v>
      </c>
      <c r="AC263" s="14">
        <f t="shared" si="74"/>
        <v>244944</v>
      </c>
      <c r="AG263">
        <f t="shared" si="60"/>
        <v>202</v>
      </c>
    </row>
    <row r="264" spans="1:33" x14ac:dyDescent="0.25">
      <c r="A264" s="13">
        <v>3</v>
      </c>
      <c r="B264" s="13">
        <v>1</v>
      </c>
      <c r="C264" s="13">
        <v>1</v>
      </c>
      <c r="D264" s="13">
        <v>2</v>
      </c>
      <c r="E264" s="13">
        <v>3</v>
      </c>
      <c r="F264" s="13">
        <v>0</v>
      </c>
      <c r="G264" s="13"/>
      <c r="H264" s="13" t="str">
        <f t="shared" si="61"/>
        <v>1-1-2-3-0</v>
      </c>
      <c r="I264" s="13">
        <f t="shared" si="66"/>
        <v>3</v>
      </c>
      <c r="J264" s="13">
        <f t="shared" si="62"/>
        <v>199</v>
      </c>
      <c r="K264" s="13">
        <f t="shared" si="63"/>
        <v>145</v>
      </c>
      <c r="L264" s="13"/>
      <c r="M264" s="13">
        <f t="shared" si="67"/>
        <v>5</v>
      </c>
      <c r="N264" s="13">
        <f t="shared" si="68"/>
        <v>4</v>
      </c>
      <c r="O264" s="13"/>
      <c r="P264" s="13">
        <f t="shared" si="69"/>
        <v>3</v>
      </c>
      <c r="Q264" s="13">
        <f t="shared" si="70"/>
        <v>2</v>
      </c>
      <c r="R264" s="13">
        <f t="shared" si="71"/>
        <v>1</v>
      </c>
      <c r="S264" s="13">
        <f t="shared" si="72"/>
        <v>1</v>
      </c>
      <c r="T264" s="13">
        <f t="shared" si="73"/>
        <v>0</v>
      </c>
      <c r="U264" s="13"/>
      <c r="V264" s="13" t="str">
        <f t="shared" si="64"/>
        <v>3-2-1-1-0</v>
      </c>
      <c r="W264" s="13"/>
      <c r="X264" s="13">
        <f t="shared" si="65"/>
        <v>9</v>
      </c>
      <c r="Y264" s="13">
        <f t="shared" si="65"/>
        <v>9</v>
      </c>
      <c r="Z264" s="13">
        <f t="shared" si="65"/>
        <v>36</v>
      </c>
      <c r="AA264" s="13">
        <f t="shared" si="65"/>
        <v>84</v>
      </c>
      <c r="AB264" s="13">
        <f t="shared" si="65"/>
        <v>1</v>
      </c>
      <c r="AC264" s="14">
        <f t="shared" si="74"/>
        <v>244944</v>
      </c>
      <c r="AG264">
        <f t="shared" si="60"/>
        <v>172</v>
      </c>
    </row>
    <row r="265" spans="1:33" x14ac:dyDescent="0.25">
      <c r="A265" s="13">
        <v>1</v>
      </c>
      <c r="B265" s="13">
        <v>1</v>
      </c>
      <c r="C265" s="13">
        <v>1</v>
      </c>
      <c r="D265" s="13">
        <v>3</v>
      </c>
      <c r="E265" s="13">
        <v>0</v>
      </c>
      <c r="F265" s="13">
        <v>2</v>
      </c>
      <c r="G265" s="13"/>
      <c r="H265" s="13" t="str">
        <f t="shared" si="61"/>
        <v>1-1-3-0-2</v>
      </c>
      <c r="I265" s="13">
        <f t="shared" si="66"/>
        <v>1</v>
      </c>
      <c r="J265" s="13">
        <f t="shared" si="62"/>
        <v>209</v>
      </c>
      <c r="K265" s="13">
        <f t="shared" si="63"/>
        <v>155</v>
      </c>
      <c r="L265" s="13"/>
      <c r="M265" s="13">
        <f t="shared" si="67"/>
        <v>5</v>
      </c>
      <c r="N265" s="13">
        <f t="shared" si="68"/>
        <v>5</v>
      </c>
      <c r="O265" s="13"/>
      <c r="P265" s="13">
        <f t="shared" si="69"/>
        <v>3</v>
      </c>
      <c r="Q265" s="13">
        <f t="shared" si="70"/>
        <v>2</v>
      </c>
      <c r="R265" s="13">
        <f t="shared" si="71"/>
        <v>1</v>
      </c>
      <c r="S265" s="13">
        <f t="shared" si="72"/>
        <v>1</v>
      </c>
      <c r="T265" s="13">
        <f t="shared" si="73"/>
        <v>0</v>
      </c>
      <c r="U265" s="13"/>
      <c r="V265" s="13" t="str">
        <f t="shared" si="64"/>
        <v>3-2-1-1-0</v>
      </c>
      <c r="W265" s="13"/>
      <c r="X265" s="13">
        <f t="shared" si="65"/>
        <v>9</v>
      </c>
      <c r="Y265" s="13">
        <f t="shared" si="65"/>
        <v>9</v>
      </c>
      <c r="Z265" s="13">
        <f t="shared" si="65"/>
        <v>84</v>
      </c>
      <c r="AA265" s="13">
        <f t="shared" si="65"/>
        <v>1</v>
      </c>
      <c r="AB265" s="13">
        <f t="shared" si="65"/>
        <v>36</v>
      </c>
      <c r="AC265" s="14">
        <f t="shared" si="74"/>
        <v>244944</v>
      </c>
      <c r="AG265">
        <f t="shared" si="60"/>
        <v>182</v>
      </c>
    </row>
    <row r="266" spans="1:33" x14ac:dyDescent="0.25">
      <c r="A266" s="13">
        <v>3</v>
      </c>
      <c r="B266" s="13">
        <v>1</v>
      </c>
      <c r="C266" s="13">
        <v>1</v>
      </c>
      <c r="D266" s="13">
        <v>3</v>
      </c>
      <c r="E266" s="13">
        <v>2</v>
      </c>
      <c r="F266" s="13">
        <v>0</v>
      </c>
      <c r="G266" s="13"/>
      <c r="H266" s="13" t="str">
        <f t="shared" si="61"/>
        <v>1-1-3-2-0</v>
      </c>
      <c r="I266" s="13">
        <f t="shared" si="66"/>
        <v>3</v>
      </c>
      <c r="J266" s="13">
        <f t="shared" si="62"/>
        <v>189</v>
      </c>
      <c r="K266" s="13">
        <f t="shared" si="63"/>
        <v>135</v>
      </c>
      <c r="L266" s="13"/>
      <c r="M266" s="13">
        <f t="shared" si="67"/>
        <v>5</v>
      </c>
      <c r="N266" s="13">
        <f t="shared" si="68"/>
        <v>5</v>
      </c>
      <c r="O266" s="13"/>
      <c r="P266" s="13">
        <f t="shared" si="69"/>
        <v>3</v>
      </c>
      <c r="Q266" s="13">
        <f t="shared" si="70"/>
        <v>2</v>
      </c>
      <c r="R266" s="13">
        <f t="shared" si="71"/>
        <v>1</v>
      </c>
      <c r="S266" s="13">
        <f t="shared" si="72"/>
        <v>1</v>
      </c>
      <c r="T266" s="13">
        <f t="shared" si="73"/>
        <v>0</v>
      </c>
      <c r="U266" s="13"/>
      <c r="V266" s="13" t="str">
        <f t="shared" si="64"/>
        <v>3-2-1-1-0</v>
      </c>
      <c r="W266" s="13"/>
      <c r="X266" s="13">
        <f t="shared" si="65"/>
        <v>9</v>
      </c>
      <c r="Y266" s="13">
        <f t="shared" si="65"/>
        <v>9</v>
      </c>
      <c r="Z266" s="13">
        <f t="shared" si="65"/>
        <v>84</v>
      </c>
      <c r="AA266" s="13">
        <f t="shared" si="65"/>
        <v>36</v>
      </c>
      <c r="AB266" s="13">
        <f t="shared" si="65"/>
        <v>1</v>
      </c>
      <c r="AC266" s="14">
        <f t="shared" si="74"/>
        <v>244944</v>
      </c>
      <c r="AG266">
        <f t="shared" si="60"/>
        <v>162</v>
      </c>
    </row>
    <row r="267" spans="1:33" x14ac:dyDescent="0.25">
      <c r="A267" s="13">
        <v>3</v>
      </c>
      <c r="B267" s="13">
        <v>1</v>
      </c>
      <c r="C267" s="13">
        <v>2</v>
      </c>
      <c r="D267" s="13">
        <v>0</v>
      </c>
      <c r="E267" s="13">
        <v>1</v>
      </c>
      <c r="F267" s="13">
        <v>3</v>
      </c>
      <c r="G267" s="13"/>
      <c r="H267" s="13" t="str">
        <f t="shared" si="61"/>
        <v>1-2-0-1-3</v>
      </c>
      <c r="I267" s="13">
        <f t="shared" si="66"/>
        <v>3</v>
      </c>
      <c r="J267" s="13">
        <f t="shared" si="62"/>
        <v>229</v>
      </c>
      <c r="K267" s="13">
        <f t="shared" si="63"/>
        <v>175</v>
      </c>
      <c r="L267" s="13"/>
      <c r="M267" s="13">
        <f t="shared" si="67"/>
        <v>4</v>
      </c>
      <c r="N267" s="13">
        <f t="shared" si="68"/>
        <v>3</v>
      </c>
      <c r="O267" s="13"/>
      <c r="P267" s="13">
        <f t="shared" si="69"/>
        <v>3</v>
      </c>
      <c r="Q267" s="13">
        <f t="shared" si="70"/>
        <v>2</v>
      </c>
      <c r="R267" s="13">
        <f t="shared" si="71"/>
        <v>1</v>
      </c>
      <c r="S267" s="13">
        <f t="shared" si="72"/>
        <v>1</v>
      </c>
      <c r="T267" s="13">
        <f t="shared" si="73"/>
        <v>0</v>
      </c>
      <c r="U267" s="13"/>
      <c r="V267" s="13" t="str">
        <f t="shared" si="64"/>
        <v>3-2-1-1-0</v>
      </c>
      <c r="W267" s="13"/>
      <c r="X267" s="13">
        <f t="shared" si="65"/>
        <v>9</v>
      </c>
      <c r="Y267" s="13">
        <f t="shared" si="65"/>
        <v>36</v>
      </c>
      <c r="Z267" s="13">
        <f t="shared" si="65"/>
        <v>1</v>
      </c>
      <c r="AA267" s="13">
        <f t="shared" si="65"/>
        <v>9</v>
      </c>
      <c r="AB267" s="13">
        <f t="shared" si="65"/>
        <v>84</v>
      </c>
      <c r="AC267" s="14">
        <f t="shared" si="74"/>
        <v>244944</v>
      </c>
      <c r="AG267">
        <f t="shared" si="60"/>
        <v>202</v>
      </c>
    </row>
    <row r="268" spans="1:33" x14ac:dyDescent="0.25">
      <c r="A268" s="13">
        <v>0</v>
      </c>
      <c r="B268" s="13">
        <v>1</v>
      </c>
      <c r="C268" s="13">
        <v>2</v>
      </c>
      <c r="D268" s="13">
        <v>0</v>
      </c>
      <c r="E268" s="13">
        <v>3</v>
      </c>
      <c r="F268" s="13">
        <v>1</v>
      </c>
      <c r="G268" s="13"/>
      <c r="H268" s="13" t="str">
        <f t="shared" si="61"/>
        <v>1-2-0-3-1</v>
      </c>
      <c r="I268" s="13">
        <f t="shared" si="66"/>
        <v>0</v>
      </c>
      <c r="J268" s="13">
        <f t="shared" si="62"/>
        <v>209</v>
      </c>
      <c r="K268" s="13">
        <f t="shared" si="63"/>
        <v>155</v>
      </c>
      <c r="L268" s="13"/>
      <c r="M268" s="13">
        <f t="shared" si="67"/>
        <v>4</v>
      </c>
      <c r="N268" s="13">
        <f t="shared" si="68"/>
        <v>3</v>
      </c>
      <c r="O268" s="13"/>
      <c r="P268" s="13">
        <f t="shared" si="69"/>
        <v>3</v>
      </c>
      <c r="Q268" s="13">
        <f t="shared" si="70"/>
        <v>2</v>
      </c>
      <c r="R268" s="13">
        <f t="shared" si="71"/>
        <v>1</v>
      </c>
      <c r="S268" s="13">
        <f t="shared" si="72"/>
        <v>1</v>
      </c>
      <c r="T268" s="13">
        <f t="shared" si="73"/>
        <v>0</v>
      </c>
      <c r="U268" s="13"/>
      <c r="V268" s="13" t="str">
        <f t="shared" si="64"/>
        <v>3-2-1-1-0</v>
      </c>
      <c r="W268" s="13"/>
      <c r="X268" s="13">
        <f t="shared" si="65"/>
        <v>9</v>
      </c>
      <c r="Y268" s="13">
        <f t="shared" si="65"/>
        <v>36</v>
      </c>
      <c r="Z268" s="13">
        <f t="shared" si="65"/>
        <v>1</v>
      </c>
      <c r="AA268" s="13">
        <f t="shared" si="65"/>
        <v>84</v>
      </c>
      <c r="AB268" s="13">
        <f t="shared" si="65"/>
        <v>9</v>
      </c>
      <c r="AC268" s="14">
        <f t="shared" si="74"/>
        <v>244944</v>
      </c>
      <c r="AG268">
        <f t="shared" si="60"/>
        <v>182</v>
      </c>
    </row>
    <row r="269" spans="1:33" x14ac:dyDescent="0.25">
      <c r="A269" s="13">
        <v>1</v>
      </c>
      <c r="B269" s="13">
        <v>1</v>
      </c>
      <c r="C269" s="13">
        <v>2</v>
      </c>
      <c r="D269" s="13">
        <v>1</v>
      </c>
      <c r="E269" s="13">
        <v>0</v>
      </c>
      <c r="F269" s="13">
        <v>3</v>
      </c>
      <c r="G269" s="13"/>
      <c r="H269" s="13" t="str">
        <f t="shared" si="61"/>
        <v>1-2-1-0-3</v>
      </c>
      <c r="I269" s="13">
        <f t="shared" si="66"/>
        <v>1</v>
      </c>
      <c r="J269" s="13">
        <f t="shared" si="62"/>
        <v>219</v>
      </c>
      <c r="K269" s="13">
        <f t="shared" si="63"/>
        <v>165</v>
      </c>
      <c r="L269" s="13"/>
      <c r="M269" s="13">
        <f t="shared" si="67"/>
        <v>4</v>
      </c>
      <c r="N269" s="13">
        <f t="shared" si="68"/>
        <v>4</v>
      </c>
      <c r="O269" s="13"/>
      <c r="P269" s="13">
        <f t="shared" si="69"/>
        <v>3</v>
      </c>
      <c r="Q269" s="13">
        <f t="shared" si="70"/>
        <v>2</v>
      </c>
      <c r="R269" s="13">
        <f t="shared" si="71"/>
        <v>1</v>
      </c>
      <c r="S269" s="13">
        <f t="shared" si="72"/>
        <v>1</v>
      </c>
      <c r="T269" s="13">
        <f t="shared" si="73"/>
        <v>0</v>
      </c>
      <c r="U269" s="13"/>
      <c r="V269" s="13" t="str">
        <f t="shared" si="64"/>
        <v>3-2-1-1-0</v>
      </c>
      <c r="W269" s="13"/>
      <c r="X269" s="13">
        <f t="shared" si="65"/>
        <v>9</v>
      </c>
      <c r="Y269" s="13">
        <f t="shared" si="65"/>
        <v>36</v>
      </c>
      <c r="Z269" s="13">
        <f t="shared" si="65"/>
        <v>9</v>
      </c>
      <c r="AA269" s="13">
        <f t="shared" si="65"/>
        <v>1</v>
      </c>
      <c r="AB269" s="13">
        <f t="shared" si="65"/>
        <v>84</v>
      </c>
      <c r="AC269" s="14">
        <f t="shared" si="74"/>
        <v>244944</v>
      </c>
      <c r="AG269">
        <f t="shared" si="60"/>
        <v>192</v>
      </c>
    </row>
    <row r="270" spans="1:33" x14ac:dyDescent="0.25">
      <c r="A270" s="13">
        <v>1</v>
      </c>
      <c r="B270" s="13">
        <v>1</v>
      </c>
      <c r="C270" s="13">
        <v>2</v>
      </c>
      <c r="D270" s="13">
        <v>1</v>
      </c>
      <c r="E270" s="13">
        <v>3</v>
      </c>
      <c r="F270" s="13">
        <v>0</v>
      </c>
      <c r="G270" s="13"/>
      <c r="H270" s="13" t="str">
        <f t="shared" si="61"/>
        <v>1-2-1-3-0</v>
      </c>
      <c r="I270" s="13">
        <f t="shared" si="66"/>
        <v>1</v>
      </c>
      <c r="J270" s="13">
        <f t="shared" si="62"/>
        <v>189</v>
      </c>
      <c r="K270" s="13">
        <f t="shared" si="63"/>
        <v>135</v>
      </c>
      <c r="L270" s="13"/>
      <c r="M270" s="13">
        <f t="shared" si="67"/>
        <v>4</v>
      </c>
      <c r="N270" s="13">
        <f t="shared" si="68"/>
        <v>4</v>
      </c>
      <c r="O270" s="13"/>
      <c r="P270" s="13">
        <f t="shared" si="69"/>
        <v>3</v>
      </c>
      <c r="Q270" s="13">
        <f t="shared" si="70"/>
        <v>2</v>
      </c>
      <c r="R270" s="13">
        <f t="shared" si="71"/>
        <v>1</v>
      </c>
      <c r="S270" s="13">
        <f t="shared" si="72"/>
        <v>1</v>
      </c>
      <c r="T270" s="13">
        <f t="shared" si="73"/>
        <v>0</v>
      </c>
      <c r="U270" s="13"/>
      <c r="V270" s="13" t="str">
        <f t="shared" si="64"/>
        <v>3-2-1-1-0</v>
      </c>
      <c r="W270" s="13"/>
      <c r="X270" s="13">
        <f t="shared" si="65"/>
        <v>9</v>
      </c>
      <c r="Y270" s="13">
        <f t="shared" si="65"/>
        <v>36</v>
      </c>
      <c r="Z270" s="13">
        <f t="shared" si="65"/>
        <v>9</v>
      </c>
      <c r="AA270" s="13">
        <f t="shared" si="65"/>
        <v>84</v>
      </c>
      <c r="AB270" s="13">
        <f t="shared" si="65"/>
        <v>1</v>
      </c>
      <c r="AC270" s="14">
        <f t="shared" si="74"/>
        <v>244944</v>
      </c>
      <c r="AG270">
        <f t="shared" si="60"/>
        <v>162</v>
      </c>
    </row>
    <row r="271" spans="1:33" x14ac:dyDescent="0.25">
      <c r="A271" s="13">
        <v>1</v>
      </c>
      <c r="B271" s="13">
        <v>1</v>
      </c>
      <c r="C271" s="13">
        <v>2</v>
      </c>
      <c r="D271" s="13">
        <v>3</v>
      </c>
      <c r="E271" s="13">
        <v>0</v>
      </c>
      <c r="F271" s="13">
        <v>1</v>
      </c>
      <c r="G271" s="13"/>
      <c r="H271" s="13" t="str">
        <f t="shared" si="61"/>
        <v>1-2-3-0-1</v>
      </c>
      <c r="I271" s="13">
        <f t="shared" si="66"/>
        <v>1</v>
      </c>
      <c r="J271" s="13">
        <f t="shared" si="62"/>
        <v>179</v>
      </c>
      <c r="K271" s="13">
        <f t="shared" si="63"/>
        <v>125</v>
      </c>
      <c r="L271" s="13"/>
      <c r="M271" s="13">
        <f t="shared" si="67"/>
        <v>4</v>
      </c>
      <c r="N271" s="13">
        <f t="shared" si="68"/>
        <v>6</v>
      </c>
      <c r="O271" s="13"/>
      <c r="P271" s="13">
        <f t="shared" si="69"/>
        <v>3</v>
      </c>
      <c r="Q271" s="13">
        <f t="shared" si="70"/>
        <v>2</v>
      </c>
      <c r="R271" s="13">
        <f t="shared" si="71"/>
        <v>1</v>
      </c>
      <c r="S271" s="13">
        <f t="shared" si="72"/>
        <v>1</v>
      </c>
      <c r="T271" s="13">
        <f t="shared" si="73"/>
        <v>0</v>
      </c>
      <c r="U271" s="13"/>
      <c r="V271" s="13" t="str">
        <f t="shared" si="64"/>
        <v>3-2-1-1-0</v>
      </c>
      <c r="W271" s="13"/>
      <c r="X271" s="13">
        <f t="shared" si="65"/>
        <v>9</v>
      </c>
      <c r="Y271" s="13">
        <f t="shared" si="65"/>
        <v>36</v>
      </c>
      <c r="Z271" s="13">
        <f t="shared" si="65"/>
        <v>84</v>
      </c>
      <c r="AA271" s="13">
        <f t="shared" si="65"/>
        <v>1</v>
      </c>
      <c r="AB271" s="13">
        <f t="shared" si="65"/>
        <v>9</v>
      </c>
      <c r="AC271" s="14">
        <f t="shared" si="74"/>
        <v>244944</v>
      </c>
      <c r="AG271">
        <f t="shared" si="60"/>
        <v>152</v>
      </c>
    </row>
    <row r="272" spans="1:33" x14ac:dyDescent="0.25">
      <c r="A272" s="13">
        <v>0</v>
      </c>
      <c r="B272" s="13">
        <v>1</v>
      </c>
      <c r="C272" s="13">
        <v>2</v>
      </c>
      <c r="D272" s="13">
        <v>3</v>
      </c>
      <c r="E272" s="13">
        <v>1</v>
      </c>
      <c r="F272" s="13">
        <v>0</v>
      </c>
      <c r="G272" s="13"/>
      <c r="H272" s="13" t="str">
        <f t="shared" si="61"/>
        <v>1-2-3-1-0</v>
      </c>
      <c r="I272" s="13">
        <f t="shared" si="66"/>
        <v>0</v>
      </c>
      <c r="J272" s="13">
        <f t="shared" si="62"/>
        <v>169</v>
      </c>
      <c r="K272" s="13">
        <f t="shared" si="63"/>
        <v>115</v>
      </c>
      <c r="L272" s="13"/>
      <c r="M272" s="13">
        <f t="shared" si="67"/>
        <v>4</v>
      </c>
      <c r="N272" s="13">
        <f t="shared" si="68"/>
        <v>6</v>
      </c>
      <c r="O272" s="13"/>
      <c r="P272" s="13">
        <f t="shared" si="69"/>
        <v>3</v>
      </c>
      <c r="Q272" s="13">
        <f t="shared" si="70"/>
        <v>2</v>
      </c>
      <c r="R272" s="13">
        <f t="shared" si="71"/>
        <v>1</v>
      </c>
      <c r="S272" s="13">
        <f t="shared" si="72"/>
        <v>1</v>
      </c>
      <c r="T272" s="13">
        <f t="shared" si="73"/>
        <v>0</v>
      </c>
      <c r="U272" s="13"/>
      <c r="V272" s="13" t="str">
        <f t="shared" si="64"/>
        <v>3-2-1-1-0</v>
      </c>
      <c r="W272" s="13"/>
      <c r="X272" s="13">
        <f t="shared" si="65"/>
        <v>9</v>
      </c>
      <c r="Y272" s="13">
        <f t="shared" si="65"/>
        <v>36</v>
      </c>
      <c r="Z272" s="13">
        <f t="shared" si="65"/>
        <v>84</v>
      </c>
      <c r="AA272" s="13">
        <f t="shared" si="65"/>
        <v>9</v>
      </c>
      <c r="AB272" s="13">
        <f t="shared" si="65"/>
        <v>1</v>
      </c>
      <c r="AC272" s="14">
        <f t="shared" si="74"/>
        <v>244944</v>
      </c>
      <c r="AG272">
        <f t="shared" si="60"/>
        <v>142</v>
      </c>
    </row>
    <row r="273" spans="1:33" x14ac:dyDescent="0.25">
      <c r="A273" s="13">
        <v>2</v>
      </c>
      <c r="B273" s="13">
        <v>1</v>
      </c>
      <c r="C273" s="13">
        <v>3</v>
      </c>
      <c r="D273" s="13">
        <v>0</v>
      </c>
      <c r="E273" s="13">
        <v>1</v>
      </c>
      <c r="F273" s="13">
        <v>2</v>
      </c>
      <c r="G273" s="13"/>
      <c r="H273" s="13" t="str">
        <f t="shared" si="61"/>
        <v>1-3-0-1-2</v>
      </c>
      <c r="I273" s="13">
        <f t="shared" si="66"/>
        <v>2</v>
      </c>
      <c r="J273" s="13">
        <f t="shared" si="62"/>
        <v>199</v>
      </c>
      <c r="K273" s="13">
        <f t="shared" si="63"/>
        <v>145</v>
      </c>
      <c r="L273" s="13"/>
      <c r="M273" s="13">
        <f t="shared" si="67"/>
        <v>3</v>
      </c>
      <c r="N273" s="13">
        <f t="shared" si="68"/>
        <v>4</v>
      </c>
      <c r="O273" s="13"/>
      <c r="P273" s="13">
        <f t="shared" si="69"/>
        <v>3</v>
      </c>
      <c r="Q273" s="13">
        <f t="shared" si="70"/>
        <v>2</v>
      </c>
      <c r="R273" s="13">
        <f t="shared" si="71"/>
        <v>1</v>
      </c>
      <c r="S273" s="13">
        <f t="shared" si="72"/>
        <v>1</v>
      </c>
      <c r="T273" s="13">
        <f t="shared" si="73"/>
        <v>0</v>
      </c>
      <c r="U273" s="13"/>
      <c r="V273" s="13" t="str">
        <f t="shared" si="64"/>
        <v>3-2-1-1-0</v>
      </c>
      <c r="W273" s="13"/>
      <c r="X273" s="13">
        <f t="shared" si="65"/>
        <v>9</v>
      </c>
      <c r="Y273" s="13">
        <f t="shared" si="65"/>
        <v>84</v>
      </c>
      <c r="Z273" s="13">
        <f t="shared" si="65"/>
        <v>1</v>
      </c>
      <c r="AA273" s="13">
        <f t="shared" si="65"/>
        <v>9</v>
      </c>
      <c r="AB273" s="13">
        <f t="shared" si="65"/>
        <v>36</v>
      </c>
      <c r="AC273" s="14">
        <f t="shared" si="74"/>
        <v>244944</v>
      </c>
      <c r="AG273">
        <f t="shared" si="60"/>
        <v>172</v>
      </c>
    </row>
    <row r="274" spans="1:33" x14ac:dyDescent="0.25">
      <c r="A274" s="13">
        <v>2</v>
      </c>
      <c r="B274" s="13">
        <v>1</v>
      </c>
      <c r="C274" s="13">
        <v>3</v>
      </c>
      <c r="D274" s="13">
        <v>0</v>
      </c>
      <c r="E274" s="13">
        <v>2</v>
      </c>
      <c r="F274" s="13">
        <v>1</v>
      </c>
      <c r="G274" s="13"/>
      <c r="H274" s="13" t="str">
        <f t="shared" si="61"/>
        <v>1-3-0-2-1</v>
      </c>
      <c r="I274" s="13">
        <f t="shared" si="66"/>
        <v>2</v>
      </c>
      <c r="J274" s="13">
        <f t="shared" si="62"/>
        <v>189</v>
      </c>
      <c r="K274" s="13">
        <f t="shared" si="63"/>
        <v>135</v>
      </c>
      <c r="L274" s="13"/>
      <c r="M274" s="13">
        <f t="shared" si="67"/>
        <v>3</v>
      </c>
      <c r="N274" s="13">
        <f t="shared" si="68"/>
        <v>4</v>
      </c>
      <c r="O274" s="13"/>
      <c r="P274" s="13">
        <f t="shared" si="69"/>
        <v>3</v>
      </c>
      <c r="Q274" s="13">
        <f t="shared" si="70"/>
        <v>2</v>
      </c>
      <c r="R274" s="13">
        <f t="shared" si="71"/>
        <v>1</v>
      </c>
      <c r="S274" s="13">
        <f t="shared" si="72"/>
        <v>1</v>
      </c>
      <c r="T274" s="13">
        <f t="shared" si="73"/>
        <v>0</v>
      </c>
      <c r="U274" s="13"/>
      <c r="V274" s="13" t="str">
        <f t="shared" si="64"/>
        <v>3-2-1-1-0</v>
      </c>
      <c r="W274" s="13"/>
      <c r="X274" s="13">
        <f t="shared" si="65"/>
        <v>9</v>
      </c>
      <c r="Y274" s="13">
        <f t="shared" si="65"/>
        <v>84</v>
      </c>
      <c r="Z274" s="13">
        <f t="shared" si="65"/>
        <v>1</v>
      </c>
      <c r="AA274" s="13">
        <f t="shared" si="65"/>
        <v>36</v>
      </c>
      <c r="AB274" s="13">
        <f t="shared" si="65"/>
        <v>9</v>
      </c>
      <c r="AC274" s="14">
        <f t="shared" si="74"/>
        <v>244944</v>
      </c>
      <c r="AG274">
        <f t="shared" si="60"/>
        <v>162</v>
      </c>
    </row>
    <row r="275" spans="1:33" x14ac:dyDescent="0.25">
      <c r="A275" s="13">
        <v>2</v>
      </c>
      <c r="B275" s="13">
        <v>1</v>
      </c>
      <c r="C275" s="13">
        <v>3</v>
      </c>
      <c r="D275" s="13">
        <v>1</v>
      </c>
      <c r="E275" s="13">
        <v>0</v>
      </c>
      <c r="F275" s="13">
        <v>2</v>
      </c>
      <c r="G275" s="13"/>
      <c r="H275" s="13" t="str">
        <f t="shared" si="61"/>
        <v>1-3-1-0-2</v>
      </c>
      <c r="I275" s="13">
        <f t="shared" si="66"/>
        <v>2</v>
      </c>
      <c r="J275" s="13">
        <f t="shared" si="62"/>
        <v>189</v>
      </c>
      <c r="K275" s="13">
        <f t="shared" si="63"/>
        <v>135</v>
      </c>
      <c r="L275" s="13"/>
      <c r="M275" s="13">
        <f t="shared" si="67"/>
        <v>3</v>
      </c>
      <c r="N275" s="13">
        <f t="shared" si="68"/>
        <v>5</v>
      </c>
      <c r="O275" s="13"/>
      <c r="P275" s="13">
        <f t="shared" si="69"/>
        <v>3</v>
      </c>
      <c r="Q275" s="13">
        <f t="shared" si="70"/>
        <v>2</v>
      </c>
      <c r="R275" s="13">
        <f t="shared" si="71"/>
        <v>1</v>
      </c>
      <c r="S275" s="13">
        <f t="shared" si="72"/>
        <v>1</v>
      </c>
      <c r="T275" s="13">
        <f t="shared" si="73"/>
        <v>0</v>
      </c>
      <c r="U275" s="13"/>
      <c r="V275" s="13" t="str">
        <f t="shared" si="64"/>
        <v>3-2-1-1-0</v>
      </c>
      <c r="W275" s="13"/>
      <c r="X275" s="13">
        <f t="shared" si="65"/>
        <v>9</v>
      </c>
      <c r="Y275" s="13">
        <f t="shared" si="65"/>
        <v>84</v>
      </c>
      <c r="Z275" s="13">
        <f t="shared" si="65"/>
        <v>9</v>
      </c>
      <c r="AA275" s="13">
        <f t="shared" si="65"/>
        <v>1</v>
      </c>
      <c r="AB275" s="13">
        <f t="shared" si="65"/>
        <v>36</v>
      </c>
      <c r="AC275" s="14">
        <f t="shared" si="74"/>
        <v>244944</v>
      </c>
      <c r="AG275">
        <f t="shared" si="60"/>
        <v>162</v>
      </c>
    </row>
    <row r="276" spans="1:33" x14ac:dyDescent="0.25">
      <c r="A276" s="13">
        <v>1</v>
      </c>
      <c r="B276" s="13">
        <v>1</v>
      </c>
      <c r="C276" s="13">
        <v>3</v>
      </c>
      <c r="D276" s="13">
        <v>1</v>
      </c>
      <c r="E276" s="13">
        <v>2</v>
      </c>
      <c r="F276" s="13">
        <v>0</v>
      </c>
      <c r="G276" s="13"/>
      <c r="H276" s="13" t="str">
        <f t="shared" si="61"/>
        <v>1-3-1-2-0</v>
      </c>
      <c r="I276" s="13">
        <f t="shared" si="66"/>
        <v>1</v>
      </c>
      <c r="J276" s="13">
        <f t="shared" si="62"/>
        <v>169</v>
      </c>
      <c r="K276" s="13">
        <f t="shared" si="63"/>
        <v>115</v>
      </c>
      <c r="L276" s="13"/>
      <c r="M276" s="13">
        <f t="shared" si="67"/>
        <v>3</v>
      </c>
      <c r="N276" s="13">
        <f t="shared" si="68"/>
        <v>5</v>
      </c>
      <c r="O276" s="13"/>
      <c r="P276" s="13">
        <f t="shared" si="69"/>
        <v>3</v>
      </c>
      <c r="Q276" s="13">
        <f t="shared" si="70"/>
        <v>2</v>
      </c>
      <c r="R276" s="13">
        <f t="shared" si="71"/>
        <v>1</v>
      </c>
      <c r="S276" s="13">
        <f t="shared" si="72"/>
        <v>1</v>
      </c>
      <c r="T276" s="13">
        <f t="shared" si="73"/>
        <v>0</v>
      </c>
      <c r="U276" s="13"/>
      <c r="V276" s="13" t="str">
        <f t="shared" si="64"/>
        <v>3-2-1-1-0</v>
      </c>
      <c r="W276" s="13"/>
      <c r="X276" s="13">
        <f t="shared" si="65"/>
        <v>9</v>
      </c>
      <c r="Y276" s="13">
        <f t="shared" si="65"/>
        <v>84</v>
      </c>
      <c r="Z276" s="13">
        <f t="shared" si="65"/>
        <v>9</v>
      </c>
      <c r="AA276" s="13">
        <f t="shared" si="65"/>
        <v>36</v>
      </c>
      <c r="AB276" s="13">
        <f t="shared" si="65"/>
        <v>1</v>
      </c>
      <c r="AC276" s="14">
        <f t="shared" si="74"/>
        <v>244944</v>
      </c>
      <c r="AG276">
        <f t="shared" si="60"/>
        <v>142</v>
      </c>
    </row>
    <row r="277" spans="1:33" x14ac:dyDescent="0.25">
      <c r="A277" s="13">
        <v>3</v>
      </c>
      <c r="B277" s="13">
        <v>1</v>
      </c>
      <c r="C277" s="13">
        <v>3</v>
      </c>
      <c r="D277" s="13">
        <v>2</v>
      </c>
      <c r="E277" s="13">
        <v>0</v>
      </c>
      <c r="F277" s="13">
        <v>1</v>
      </c>
      <c r="G277" s="13"/>
      <c r="H277" s="13" t="str">
        <f t="shared" si="61"/>
        <v>1-3-2-0-1</v>
      </c>
      <c r="I277" s="13">
        <f t="shared" si="66"/>
        <v>3</v>
      </c>
      <c r="J277" s="13">
        <f t="shared" si="62"/>
        <v>169</v>
      </c>
      <c r="K277" s="13">
        <f t="shared" si="63"/>
        <v>115</v>
      </c>
      <c r="L277" s="13"/>
      <c r="M277" s="13">
        <f t="shared" si="67"/>
        <v>3</v>
      </c>
      <c r="N277" s="13">
        <f t="shared" si="68"/>
        <v>6</v>
      </c>
      <c r="O277" s="13"/>
      <c r="P277" s="13">
        <f t="shared" si="69"/>
        <v>3</v>
      </c>
      <c r="Q277" s="13">
        <f t="shared" si="70"/>
        <v>2</v>
      </c>
      <c r="R277" s="13">
        <f t="shared" si="71"/>
        <v>1</v>
      </c>
      <c r="S277" s="13">
        <f t="shared" si="72"/>
        <v>1</v>
      </c>
      <c r="T277" s="13">
        <f t="shared" si="73"/>
        <v>0</v>
      </c>
      <c r="U277" s="13"/>
      <c r="V277" s="13" t="str">
        <f t="shared" si="64"/>
        <v>3-2-1-1-0</v>
      </c>
      <c r="W277" s="13"/>
      <c r="X277" s="13">
        <f t="shared" si="65"/>
        <v>9</v>
      </c>
      <c r="Y277" s="13">
        <f t="shared" si="65"/>
        <v>84</v>
      </c>
      <c r="Z277" s="13">
        <f t="shared" si="65"/>
        <v>36</v>
      </c>
      <c r="AA277" s="13">
        <f t="shared" si="65"/>
        <v>1</v>
      </c>
      <c r="AB277" s="13">
        <f t="shared" si="65"/>
        <v>9</v>
      </c>
      <c r="AC277" s="14">
        <f t="shared" si="74"/>
        <v>244944</v>
      </c>
      <c r="AG277">
        <f t="shared" si="60"/>
        <v>142</v>
      </c>
    </row>
    <row r="278" spans="1:33" x14ac:dyDescent="0.25">
      <c r="A278" s="13">
        <v>2</v>
      </c>
      <c r="B278" s="13">
        <v>1</v>
      </c>
      <c r="C278" s="13">
        <v>3</v>
      </c>
      <c r="D278" s="13">
        <v>2</v>
      </c>
      <c r="E278" s="13">
        <v>1</v>
      </c>
      <c r="F278" s="13">
        <v>0</v>
      </c>
      <c r="G278" s="13"/>
      <c r="H278" s="13" t="str">
        <f t="shared" si="61"/>
        <v>1-3-2-1-0</v>
      </c>
      <c r="I278" s="13">
        <f t="shared" si="66"/>
        <v>2</v>
      </c>
      <c r="J278" s="13">
        <f t="shared" si="62"/>
        <v>159</v>
      </c>
      <c r="K278" s="13">
        <f t="shared" si="63"/>
        <v>105</v>
      </c>
      <c r="L278" s="13"/>
      <c r="M278" s="13">
        <f t="shared" si="67"/>
        <v>3</v>
      </c>
      <c r="N278" s="13">
        <f t="shared" si="68"/>
        <v>6</v>
      </c>
      <c r="O278" s="13"/>
      <c r="P278" s="13">
        <f t="shared" si="69"/>
        <v>3</v>
      </c>
      <c r="Q278" s="13">
        <f t="shared" si="70"/>
        <v>2</v>
      </c>
      <c r="R278" s="13">
        <f t="shared" si="71"/>
        <v>1</v>
      </c>
      <c r="S278" s="13">
        <f t="shared" si="72"/>
        <v>1</v>
      </c>
      <c r="T278" s="13">
        <f t="shared" si="73"/>
        <v>0</v>
      </c>
      <c r="U278" s="13"/>
      <c r="V278" s="13" t="str">
        <f t="shared" si="64"/>
        <v>3-2-1-1-0</v>
      </c>
      <c r="W278" s="13"/>
      <c r="X278" s="13">
        <f t="shared" si="65"/>
        <v>9</v>
      </c>
      <c r="Y278" s="13">
        <f t="shared" si="65"/>
        <v>84</v>
      </c>
      <c r="Z278" s="13">
        <f t="shared" si="65"/>
        <v>36</v>
      </c>
      <c r="AA278" s="13">
        <f t="shared" si="65"/>
        <v>9</v>
      </c>
      <c r="AB278" s="13">
        <f t="shared" si="65"/>
        <v>1</v>
      </c>
      <c r="AC278" s="14">
        <f t="shared" si="74"/>
        <v>244944</v>
      </c>
      <c r="AG278">
        <f t="shared" si="60"/>
        <v>132</v>
      </c>
    </row>
    <row r="279" spans="1:33" x14ac:dyDescent="0.25">
      <c r="A279" s="13">
        <v>1</v>
      </c>
      <c r="B279" s="13">
        <v>2</v>
      </c>
      <c r="C279" s="13">
        <v>0</v>
      </c>
      <c r="D279" s="13">
        <v>1</v>
      </c>
      <c r="E279" s="13">
        <v>1</v>
      </c>
      <c r="F279" s="13">
        <v>3</v>
      </c>
      <c r="G279" s="13"/>
      <c r="H279" s="13" t="str">
        <f t="shared" si="61"/>
        <v>2-0-1-1-3</v>
      </c>
      <c r="I279" s="13">
        <f t="shared" si="66"/>
        <v>1</v>
      </c>
      <c r="J279" s="13">
        <f t="shared" si="62"/>
        <v>229</v>
      </c>
      <c r="K279" s="13">
        <f t="shared" si="63"/>
        <v>176</v>
      </c>
      <c r="L279" s="13"/>
      <c r="M279" s="13">
        <f t="shared" si="67"/>
        <v>5</v>
      </c>
      <c r="N279" s="13">
        <f t="shared" si="68"/>
        <v>3</v>
      </c>
      <c r="O279" s="13"/>
      <c r="P279" s="13">
        <f t="shared" si="69"/>
        <v>3</v>
      </c>
      <c r="Q279" s="13">
        <f t="shared" si="70"/>
        <v>2</v>
      </c>
      <c r="R279" s="13">
        <f t="shared" si="71"/>
        <v>1</v>
      </c>
      <c r="S279" s="13">
        <f t="shared" si="72"/>
        <v>1</v>
      </c>
      <c r="T279" s="13">
        <f t="shared" si="73"/>
        <v>0</v>
      </c>
      <c r="U279" s="13"/>
      <c r="V279" s="13" t="str">
        <f t="shared" si="64"/>
        <v>3-2-1-1-0</v>
      </c>
      <c r="W279" s="13"/>
      <c r="X279" s="13">
        <f t="shared" si="65"/>
        <v>36</v>
      </c>
      <c r="Y279" s="13">
        <f t="shared" si="65"/>
        <v>1</v>
      </c>
      <c r="Z279" s="13">
        <f t="shared" si="65"/>
        <v>9</v>
      </c>
      <c r="AA279" s="13">
        <f t="shared" si="65"/>
        <v>9</v>
      </c>
      <c r="AB279" s="13">
        <f t="shared" si="65"/>
        <v>84</v>
      </c>
      <c r="AC279" s="14">
        <f t="shared" si="74"/>
        <v>244944</v>
      </c>
      <c r="AG279">
        <f t="shared" si="60"/>
        <v>202.5</v>
      </c>
    </row>
    <row r="280" spans="1:33" x14ac:dyDescent="0.25">
      <c r="A280" s="13">
        <v>2</v>
      </c>
      <c r="B280" s="13">
        <v>2</v>
      </c>
      <c r="C280" s="13">
        <v>0</v>
      </c>
      <c r="D280" s="13">
        <v>1</v>
      </c>
      <c r="E280" s="13">
        <v>3</v>
      </c>
      <c r="F280" s="13">
        <v>1</v>
      </c>
      <c r="G280" s="13"/>
      <c r="H280" s="13" t="str">
        <f t="shared" si="61"/>
        <v>2-0-1-3-1</v>
      </c>
      <c r="I280" s="13">
        <f t="shared" si="66"/>
        <v>2</v>
      </c>
      <c r="J280" s="13">
        <f t="shared" si="62"/>
        <v>209</v>
      </c>
      <c r="K280" s="13">
        <f t="shared" si="63"/>
        <v>156</v>
      </c>
      <c r="L280" s="13"/>
      <c r="M280" s="13">
        <f t="shared" si="67"/>
        <v>5</v>
      </c>
      <c r="N280" s="13">
        <f t="shared" si="68"/>
        <v>3</v>
      </c>
      <c r="O280" s="13"/>
      <c r="P280" s="13">
        <f t="shared" si="69"/>
        <v>3</v>
      </c>
      <c r="Q280" s="13">
        <f t="shared" si="70"/>
        <v>2</v>
      </c>
      <c r="R280" s="13">
        <f t="shared" si="71"/>
        <v>1</v>
      </c>
      <c r="S280" s="13">
        <f t="shared" si="72"/>
        <v>1</v>
      </c>
      <c r="T280" s="13">
        <f t="shared" si="73"/>
        <v>0</v>
      </c>
      <c r="U280" s="13"/>
      <c r="V280" s="13" t="str">
        <f t="shared" si="64"/>
        <v>3-2-1-1-0</v>
      </c>
      <c r="W280" s="13"/>
      <c r="X280" s="13">
        <f t="shared" si="65"/>
        <v>36</v>
      </c>
      <c r="Y280" s="13">
        <f t="shared" si="65"/>
        <v>1</v>
      </c>
      <c r="Z280" s="13">
        <f t="shared" si="65"/>
        <v>9</v>
      </c>
      <c r="AA280" s="13">
        <f t="shared" si="65"/>
        <v>84</v>
      </c>
      <c r="AB280" s="13">
        <f t="shared" si="65"/>
        <v>9</v>
      </c>
      <c r="AC280" s="14">
        <f t="shared" si="74"/>
        <v>244944</v>
      </c>
      <c r="AG280">
        <f t="shared" si="60"/>
        <v>182.5</v>
      </c>
    </row>
    <row r="281" spans="1:33" x14ac:dyDescent="0.25">
      <c r="A281" s="13">
        <v>1</v>
      </c>
      <c r="B281" s="13">
        <v>2</v>
      </c>
      <c r="C281" s="13">
        <v>0</v>
      </c>
      <c r="D281" s="13">
        <v>3</v>
      </c>
      <c r="E281" s="13">
        <v>1</v>
      </c>
      <c r="F281" s="13">
        <v>1</v>
      </c>
      <c r="G281" s="13"/>
      <c r="H281" s="13" t="str">
        <f t="shared" si="61"/>
        <v>2-0-3-1-1</v>
      </c>
      <c r="I281" s="13">
        <f t="shared" si="66"/>
        <v>1</v>
      </c>
      <c r="J281" s="13">
        <f t="shared" si="62"/>
        <v>189</v>
      </c>
      <c r="K281" s="13">
        <f t="shared" si="63"/>
        <v>136</v>
      </c>
      <c r="L281" s="13"/>
      <c r="M281" s="13">
        <f t="shared" si="67"/>
        <v>5</v>
      </c>
      <c r="N281" s="13">
        <f t="shared" si="68"/>
        <v>5</v>
      </c>
      <c r="O281" s="13"/>
      <c r="P281" s="13">
        <f t="shared" si="69"/>
        <v>3</v>
      </c>
      <c r="Q281" s="13">
        <f t="shared" si="70"/>
        <v>2</v>
      </c>
      <c r="R281" s="13">
        <f t="shared" si="71"/>
        <v>1</v>
      </c>
      <c r="S281" s="13">
        <f t="shared" si="72"/>
        <v>1</v>
      </c>
      <c r="T281" s="13">
        <f t="shared" si="73"/>
        <v>0</v>
      </c>
      <c r="U281" s="13"/>
      <c r="V281" s="13" t="str">
        <f t="shared" si="64"/>
        <v>3-2-1-1-0</v>
      </c>
      <c r="W281" s="13"/>
      <c r="X281" s="13">
        <f t="shared" si="65"/>
        <v>36</v>
      </c>
      <c r="Y281" s="13">
        <f t="shared" si="65"/>
        <v>1</v>
      </c>
      <c r="Z281" s="13">
        <f t="shared" si="65"/>
        <v>84</v>
      </c>
      <c r="AA281" s="13">
        <f t="shared" si="65"/>
        <v>9</v>
      </c>
      <c r="AB281" s="13">
        <f t="shared" si="65"/>
        <v>9</v>
      </c>
      <c r="AC281" s="14">
        <f t="shared" si="74"/>
        <v>244944</v>
      </c>
      <c r="AG281">
        <f t="shared" si="60"/>
        <v>162.5</v>
      </c>
    </row>
    <row r="282" spans="1:33" x14ac:dyDescent="0.25">
      <c r="A282" s="13">
        <v>1</v>
      </c>
      <c r="B282" s="13">
        <v>2</v>
      </c>
      <c r="C282" s="13">
        <v>1</v>
      </c>
      <c r="D282" s="13">
        <v>0</v>
      </c>
      <c r="E282" s="13">
        <v>1</v>
      </c>
      <c r="F282" s="13">
        <v>3</v>
      </c>
      <c r="G282" s="13"/>
      <c r="H282" s="13" t="str">
        <f t="shared" si="61"/>
        <v>2-1-0-1-3</v>
      </c>
      <c r="I282" s="13">
        <f t="shared" si="66"/>
        <v>1</v>
      </c>
      <c r="J282" s="13">
        <f t="shared" si="62"/>
        <v>219</v>
      </c>
      <c r="K282" s="13">
        <f t="shared" si="63"/>
        <v>166</v>
      </c>
      <c r="L282" s="13"/>
      <c r="M282" s="13">
        <f t="shared" si="67"/>
        <v>4</v>
      </c>
      <c r="N282" s="13">
        <f t="shared" si="68"/>
        <v>3</v>
      </c>
      <c r="O282" s="13"/>
      <c r="P282" s="13">
        <f t="shared" si="69"/>
        <v>3</v>
      </c>
      <c r="Q282" s="13">
        <f t="shared" si="70"/>
        <v>2</v>
      </c>
      <c r="R282" s="13">
        <f t="shared" si="71"/>
        <v>1</v>
      </c>
      <c r="S282" s="13">
        <f t="shared" si="72"/>
        <v>1</v>
      </c>
      <c r="T282" s="13">
        <f t="shared" si="73"/>
        <v>0</v>
      </c>
      <c r="U282" s="13"/>
      <c r="V282" s="13" t="str">
        <f t="shared" si="64"/>
        <v>3-2-1-1-0</v>
      </c>
      <c r="W282" s="13"/>
      <c r="X282" s="13">
        <f t="shared" si="65"/>
        <v>36</v>
      </c>
      <c r="Y282" s="13">
        <f t="shared" si="65"/>
        <v>9</v>
      </c>
      <c r="Z282" s="13">
        <f t="shared" si="65"/>
        <v>1</v>
      </c>
      <c r="AA282" s="13">
        <f t="shared" si="65"/>
        <v>9</v>
      </c>
      <c r="AB282" s="13">
        <f t="shared" si="65"/>
        <v>84</v>
      </c>
      <c r="AC282" s="14">
        <f t="shared" si="74"/>
        <v>244944</v>
      </c>
      <c r="AG282">
        <f t="shared" si="60"/>
        <v>192.5</v>
      </c>
    </row>
    <row r="283" spans="1:33" x14ac:dyDescent="0.25">
      <c r="A283" s="13">
        <v>1</v>
      </c>
      <c r="B283" s="13">
        <v>2</v>
      </c>
      <c r="C283" s="13">
        <v>1</v>
      </c>
      <c r="D283" s="13">
        <v>0</v>
      </c>
      <c r="E283" s="13">
        <v>3</v>
      </c>
      <c r="F283" s="13">
        <v>1</v>
      </c>
      <c r="G283" s="13"/>
      <c r="H283" s="13" t="str">
        <f t="shared" si="61"/>
        <v>2-1-0-3-1</v>
      </c>
      <c r="I283" s="13">
        <f t="shared" si="66"/>
        <v>1</v>
      </c>
      <c r="J283" s="13">
        <f t="shared" si="62"/>
        <v>199</v>
      </c>
      <c r="K283" s="13">
        <f t="shared" si="63"/>
        <v>146</v>
      </c>
      <c r="L283" s="13"/>
      <c r="M283" s="13">
        <f t="shared" si="67"/>
        <v>4</v>
      </c>
      <c r="N283" s="13">
        <f t="shared" si="68"/>
        <v>3</v>
      </c>
      <c r="O283" s="13"/>
      <c r="P283" s="13">
        <f t="shared" si="69"/>
        <v>3</v>
      </c>
      <c r="Q283" s="13">
        <f t="shared" si="70"/>
        <v>2</v>
      </c>
      <c r="R283" s="13">
        <f t="shared" si="71"/>
        <v>1</v>
      </c>
      <c r="S283" s="13">
        <f t="shared" si="72"/>
        <v>1</v>
      </c>
      <c r="T283" s="13">
        <f t="shared" si="73"/>
        <v>0</v>
      </c>
      <c r="U283" s="13"/>
      <c r="V283" s="13" t="str">
        <f t="shared" si="64"/>
        <v>3-2-1-1-0</v>
      </c>
      <c r="W283" s="13"/>
      <c r="X283" s="13">
        <f t="shared" si="65"/>
        <v>36</v>
      </c>
      <c r="Y283" s="13">
        <f t="shared" si="65"/>
        <v>9</v>
      </c>
      <c r="Z283" s="13">
        <f t="shared" si="65"/>
        <v>1</v>
      </c>
      <c r="AA283" s="13">
        <f t="shared" si="65"/>
        <v>84</v>
      </c>
      <c r="AB283" s="13">
        <f t="shared" si="65"/>
        <v>9</v>
      </c>
      <c r="AC283" s="14">
        <f t="shared" si="74"/>
        <v>244944</v>
      </c>
      <c r="AG283">
        <f t="shared" si="60"/>
        <v>172.5</v>
      </c>
    </row>
    <row r="284" spans="1:33" x14ac:dyDescent="0.25">
      <c r="A284" s="13">
        <v>2</v>
      </c>
      <c r="B284" s="13">
        <v>2</v>
      </c>
      <c r="C284" s="13">
        <v>1</v>
      </c>
      <c r="D284" s="13">
        <v>1</v>
      </c>
      <c r="E284" s="13">
        <v>0</v>
      </c>
      <c r="F284" s="13">
        <v>3</v>
      </c>
      <c r="G284" s="13"/>
      <c r="H284" s="13" t="str">
        <f t="shared" si="61"/>
        <v>2-1-1-0-3</v>
      </c>
      <c r="I284" s="13">
        <f t="shared" si="66"/>
        <v>2</v>
      </c>
      <c r="J284" s="13">
        <f t="shared" si="62"/>
        <v>209</v>
      </c>
      <c r="K284" s="13">
        <f t="shared" si="63"/>
        <v>156</v>
      </c>
      <c r="L284" s="13"/>
      <c r="M284" s="13">
        <f t="shared" si="67"/>
        <v>4</v>
      </c>
      <c r="N284" s="13">
        <f t="shared" si="68"/>
        <v>4</v>
      </c>
      <c r="O284" s="13"/>
      <c r="P284" s="13">
        <f t="shared" si="69"/>
        <v>3</v>
      </c>
      <c r="Q284" s="13">
        <f t="shared" si="70"/>
        <v>2</v>
      </c>
      <c r="R284" s="13">
        <f t="shared" si="71"/>
        <v>1</v>
      </c>
      <c r="S284" s="13">
        <f t="shared" si="72"/>
        <v>1</v>
      </c>
      <c r="T284" s="13">
        <f t="shared" si="73"/>
        <v>0</v>
      </c>
      <c r="U284" s="13"/>
      <c r="V284" s="13" t="str">
        <f t="shared" si="64"/>
        <v>3-2-1-1-0</v>
      </c>
      <c r="W284" s="13"/>
      <c r="X284" s="13">
        <f t="shared" si="65"/>
        <v>36</v>
      </c>
      <c r="Y284" s="13">
        <f t="shared" si="65"/>
        <v>9</v>
      </c>
      <c r="Z284" s="13">
        <f t="shared" si="65"/>
        <v>9</v>
      </c>
      <c r="AA284" s="13">
        <f t="shared" si="65"/>
        <v>1</v>
      </c>
      <c r="AB284" s="13">
        <f t="shared" si="65"/>
        <v>84</v>
      </c>
      <c r="AC284" s="14">
        <f t="shared" si="74"/>
        <v>244944</v>
      </c>
      <c r="AG284">
        <f t="shared" si="60"/>
        <v>182.5</v>
      </c>
    </row>
    <row r="285" spans="1:33" x14ac:dyDescent="0.25">
      <c r="A285" s="13">
        <v>2</v>
      </c>
      <c r="B285" s="13">
        <v>2</v>
      </c>
      <c r="C285" s="13">
        <v>1</v>
      </c>
      <c r="D285" s="13">
        <v>1</v>
      </c>
      <c r="E285" s="13">
        <v>3</v>
      </c>
      <c r="F285" s="13">
        <v>0</v>
      </c>
      <c r="G285" s="13"/>
      <c r="H285" s="13" t="str">
        <f t="shared" si="61"/>
        <v>2-1-1-3-0</v>
      </c>
      <c r="I285" s="13">
        <f t="shared" si="66"/>
        <v>2</v>
      </c>
      <c r="J285" s="13">
        <f t="shared" si="62"/>
        <v>179</v>
      </c>
      <c r="K285" s="13">
        <f t="shared" si="63"/>
        <v>126</v>
      </c>
      <c r="L285" s="13"/>
      <c r="M285" s="13">
        <f t="shared" si="67"/>
        <v>4</v>
      </c>
      <c r="N285" s="13">
        <f t="shared" si="68"/>
        <v>4</v>
      </c>
      <c r="O285" s="13"/>
      <c r="P285" s="13">
        <f t="shared" si="69"/>
        <v>3</v>
      </c>
      <c r="Q285" s="13">
        <f t="shared" si="70"/>
        <v>2</v>
      </c>
      <c r="R285" s="13">
        <f t="shared" si="71"/>
        <v>1</v>
      </c>
      <c r="S285" s="13">
        <f t="shared" si="72"/>
        <v>1</v>
      </c>
      <c r="T285" s="13">
        <f t="shared" si="73"/>
        <v>0</v>
      </c>
      <c r="U285" s="13"/>
      <c r="V285" s="13" t="str">
        <f t="shared" si="64"/>
        <v>3-2-1-1-0</v>
      </c>
      <c r="W285" s="13"/>
      <c r="X285" s="13">
        <f t="shared" si="65"/>
        <v>36</v>
      </c>
      <c r="Y285" s="13">
        <f t="shared" si="65"/>
        <v>9</v>
      </c>
      <c r="Z285" s="13">
        <f t="shared" si="65"/>
        <v>9</v>
      </c>
      <c r="AA285" s="13">
        <f t="shared" si="65"/>
        <v>84</v>
      </c>
      <c r="AB285" s="13">
        <f t="shared" si="65"/>
        <v>1</v>
      </c>
      <c r="AC285" s="14">
        <f t="shared" si="74"/>
        <v>244944</v>
      </c>
      <c r="AG285">
        <f t="shared" si="60"/>
        <v>152.5</v>
      </c>
    </row>
    <row r="286" spans="1:33" x14ac:dyDescent="0.25">
      <c r="A286" s="13">
        <v>1</v>
      </c>
      <c r="B286" s="13">
        <v>2</v>
      </c>
      <c r="C286" s="13">
        <v>1</v>
      </c>
      <c r="D286" s="13">
        <v>3</v>
      </c>
      <c r="E286" s="13">
        <v>0</v>
      </c>
      <c r="F286" s="13">
        <v>1</v>
      </c>
      <c r="G286" s="13"/>
      <c r="H286" s="13" t="str">
        <f t="shared" si="61"/>
        <v>2-1-3-0-1</v>
      </c>
      <c r="I286" s="13">
        <f t="shared" si="66"/>
        <v>1</v>
      </c>
      <c r="J286" s="13">
        <f t="shared" si="62"/>
        <v>169</v>
      </c>
      <c r="K286" s="13">
        <f t="shared" si="63"/>
        <v>116</v>
      </c>
      <c r="L286" s="13"/>
      <c r="M286" s="13">
        <f t="shared" si="67"/>
        <v>4</v>
      </c>
      <c r="N286" s="13">
        <f t="shared" si="68"/>
        <v>6</v>
      </c>
      <c r="O286" s="13"/>
      <c r="P286" s="13">
        <f t="shared" si="69"/>
        <v>3</v>
      </c>
      <c r="Q286" s="13">
        <f t="shared" si="70"/>
        <v>2</v>
      </c>
      <c r="R286" s="13">
        <f t="shared" si="71"/>
        <v>1</v>
      </c>
      <c r="S286" s="13">
        <f t="shared" si="72"/>
        <v>1</v>
      </c>
      <c r="T286" s="13">
        <f t="shared" si="73"/>
        <v>0</v>
      </c>
      <c r="U286" s="13"/>
      <c r="V286" s="13" t="str">
        <f t="shared" si="64"/>
        <v>3-2-1-1-0</v>
      </c>
      <c r="W286" s="13"/>
      <c r="X286" s="13">
        <f t="shared" si="65"/>
        <v>36</v>
      </c>
      <c r="Y286" s="13">
        <f t="shared" si="65"/>
        <v>9</v>
      </c>
      <c r="Z286" s="13">
        <f t="shared" si="65"/>
        <v>84</v>
      </c>
      <c r="AA286" s="13">
        <f t="shared" si="65"/>
        <v>1</v>
      </c>
      <c r="AB286" s="13">
        <f t="shared" si="65"/>
        <v>9</v>
      </c>
      <c r="AC286" s="14">
        <f t="shared" si="74"/>
        <v>244944</v>
      </c>
      <c r="AG286">
        <f t="shared" si="60"/>
        <v>142.5</v>
      </c>
    </row>
    <row r="287" spans="1:33" x14ac:dyDescent="0.25">
      <c r="A287" s="13">
        <v>0</v>
      </c>
      <c r="B287" s="13">
        <v>2</v>
      </c>
      <c r="C287" s="13">
        <v>1</v>
      </c>
      <c r="D287" s="13">
        <v>3</v>
      </c>
      <c r="E287" s="13">
        <v>1</v>
      </c>
      <c r="F287" s="13">
        <v>0</v>
      </c>
      <c r="G287" s="13"/>
      <c r="H287" s="13" t="str">
        <f t="shared" si="61"/>
        <v>2-1-3-1-0</v>
      </c>
      <c r="I287" s="13">
        <f t="shared" si="66"/>
        <v>0</v>
      </c>
      <c r="J287" s="13">
        <f t="shared" si="62"/>
        <v>159</v>
      </c>
      <c r="K287" s="13">
        <f t="shared" si="63"/>
        <v>106</v>
      </c>
      <c r="L287" s="13"/>
      <c r="M287" s="13">
        <f t="shared" si="67"/>
        <v>4</v>
      </c>
      <c r="N287" s="13">
        <f t="shared" si="68"/>
        <v>6</v>
      </c>
      <c r="O287" s="13"/>
      <c r="P287" s="13">
        <f t="shared" si="69"/>
        <v>3</v>
      </c>
      <c r="Q287" s="13">
        <f t="shared" si="70"/>
        <v>2</v>
      </c>
      <c r="R287" s="13">
        <f t="shared" si="71"/>
        <v>1</v>
      </c>
      <c r="S287" s="13">
        <f t="shared" si="72"/>
        <v>1</v>
      </c>
      <c r="T287" s="13">
        <f t="shared" si="73"/>
        <v>0</v>
      </c>
      <c r="U287" s="13"/>
      <c r="V287" s="13" t="str">
        <f t="shared" si="64"/>
        <v>3-2-1-1-0</v>
      </c>
      <c r="W287" s="13"/>
      <c r="X287" s="13">
        <f t="shared" si="65"/>
        <v>36</v>
      </c>
      <c r="Y287" s="13">
        <f t="shared" si="65"/>
        <v>9</v>
      </c>
      <c r="Z287" s="13">
        <f t="shared" si="65"/>
        <v>84</v>
      </c>
      <c r="AA287" s="13">
        <f t="shared" si="65"/>
        <v>9</v>
      </c>
      <c r="AB287" s="13">
        <f t="shared" si="65"/>
        <v>1</v>
      </c>
      <c r="AC287" s="14">
        <f t="shared" si="74"/>
        <v>244944</v>
      </c>
      <c r="AG287">
        <f t="shared" si="60"/>
        <v>132.5</v>
      </c>
    </row>
    <row r="288" spans="1:33" x14ac:dyDescent="0.25">
      <c r="A288" s="13">
        <v>2</v>
      </c>
      <c r="B288" s="13">
        <v>2</v>
      </c>
      <c r="C288" s="13">
        <v>3</v>
      </c>
      <c r="D288" s="13">
        <v>0</v>
      </c>
      <c r="E288" s="13">
        <v>1</v>
      </c>
      <c r="F288" s="13">
        <v>1</v>
      </c>
      <c r="G288" s="13"/>
      <c r="H288" s="13" t="str">
        <f t="shared" si="61"/>
        <v>2-3-0-1-1</v>
      </c>
      <c r="I288" s="13">
        <f t="shared" si="66"/>
        <v>2</v>
      </c>
      <c r="J288" s="13">
        <f t="shared" si="62"/>
        <v>159</v>
      </c>
      <c r="K288" s="13">
        <f t="shared" si="63"/>
        <v>106</v>
      </c>
      <c r="L288" s="13"/>
      <c r="M288" s="13">
        <f t="shared" si="67"/>
        <v>2</v>
      </c>
      <c r="N288" s="13">
        <f t="shared" si="68"/>
        <v>5</v>
      </c>
      <c r="O288" s="13"/>
      <c r="P288" s="13">
        <f t="shared" si="69"/>
        <v>3</v>
      </c>
      <c r="Q288" s="13">
        <f t="shared" si="70"/>
        <v>2</v>
      </c>
      <c r="R288" s="13">
        <f t="shared" si="71"/>
        <v>1</v>
      </c>
      <c r="S288" s="13">
        <f t="shared" si="72"/>
        <v>1</v>
      </c>
      <c r="T288" s="13">
        <f t="shared" si="73"/>
        <v>0</v>
      </c>
      <c r="U288" s="13"/>
      <c r="V288" s="13" t="str">
        <f t="shared" si="64"/>
        <v>3-2-1-1-0</v>
      </c>
      <c r="W288" s="13"/>
      <c r="X288" s="13">
        <f t="shared" si="65"/>
        <v>36</v>
      </c>
      <c r="Y288" s="13">
        <f t="shared" si="65"/>
        <v>84</v>
      </c>
      <c r="Z288" s="13">
        <f t="shared" si="65"/>
        <v>1</v>
      </c>
      <c r="AA288" s="13">
        <f t="shared" si="65"/>
        <v>9</v>
      </c>
      <c r="AB288" s="13">
        <f t="shared" si="65"/>
        <v>9</v>
      </c>
      <c r="AC288" s="14">
        <f t="shared" si="74"/>
        <v>244944</v>
      </c>
      <c r="AG288">
        <f t="shared" si="60"/>
        <v>132.5</v>
      </c>
    </row>
    <row r="289" spans="1:33" x14ac:dyDescent="0.25">
      <c r="A289" s="13">
        <v>2</v>
      </c>
      <c r="B289" s="13">
        <v>2</v>
      </c>
      <c r="C289" s="13">
        <v>3</v>
      </c>
      <c r="D289" s="13">
        <v>1</v>
      </c>
      <c r="E289" s="13">
        <v>0</v>
      </c>
      <c r="F289" s="13">
        <v>1</v>
      </c>
      <c r="G289" s="13"/>
      <c r="H289" s="13" t="str">
        <f t="shared" si="61"/>
        <v>2-3-1-0-1</v>
      </c>
      <c r="I289" s="13">
        <f t="shared" si="66"/>
        <v>2</v>
      </c>
      <c r="J289" s="13">
        <f t="shared" si="62"/>
        <v>149</v>
      </c>
      <c r="K289" s="13">
        <f t="shared" si="63"/>
        <v>96</v>
      </c>
      <c r="L289" s="13"/>
      <c r="M289" s="13">
        <f t="shared" si="67"/>
        <v>2</v>
      </c>
      <c r="N289" s="13">
        <f t="shared" si="68"/>
        <v>6</v>
      </c>
      <c r="O289" s="13"/>
      <c r="P289" s="13">
        <f t="shared" si="69"/>
        <v>3</v>
      </c>
      <c r="Q289" s="13">
        <f t="shared" si="70"/>
        <v>2</v>
      </c>
      <c r="R289" s="13">
        <f t="shared" si="71"/>
        <v>1</v>
      </c>
      <c r="S289" s="13">
        <f t="shared" si="72"/>
        <v>1</v>
      </c>
      <c r="T289" s="13">
        <f t="shared" si="73"/>
        <v>0</v>
      </c>
      <c r="U289" s="13"/>
      <c r="V289" s="13" t="str">
        <f t="shared" si="64"/>
        <v>3-2-1-1-0</v>
      </c>
      <c r="W289" s="13"/>
      <c r="X289" s="13">
        <f t="shared" si="65"/>
        <v>36</v>
      </c>
      <c r="Y289" s="13">
        <f t="shared" si="65"/>
        <v>84</v>
      </c>
      <c r="Z289" s="13">
        <f t="shared" si="65"/>
        <v>9</v>
      </c>
      <c r="AA289" s="13">
        <f t="shared" si="65"/>
        <v>1</v>
      </c>
      <c r="AB289" s="13">
        <f t="shared" si="65"/>
        <v>9</v>
      </c>
      <c r="AC289" s="14">
        <f t="shared" si="74"/>
        <v>244944</v>
      </c>
      <c r="AG289">
        <f t="shared" si="60"/>
        <v>122.5</v>
      </c>
    </row>
    <row r="290" spans="1:33" x14ac:dyDescent="0.25">
      <c r="A290" s="13">
        <v>2</v>
      </c>
      <c r="B290" s="13">
        <v>2</v>
      </c>
      <c r="C290" s="13">
        <v>3</v>
      </c>
      <c r="D290" s="13">
        <v>1</v>
      </c>
      <c r="E290" s="13">
        <v>1</v>
      </c>
      <c r="F290" s="13">
        <v>0</v>
      </c>
      <c r="G290" s="13"/>
      <c r="H290" s="13" t="str">
        <f t="shared" si="61"/>
        <v>2-3-1-1-0</v>
      </c>
      <c r="I290" s="13">
        <f t="shared" si="66"/>
        <v>2</v>
      </c>
      <c r="J290" s="13">
        <f t="shared" si="62"/>
        <v>139</v>
      </c>
      <c r="K290" s="13">
        <f t="shared" si="63"/>
        <v>86</v>
      </c>
      <c r="L290" s="13"/>
      <c r="M290" s="13">
        <f t="shared" si="67"/>
        <v>2</v>
      </c>
      <c r="N290" s="13">
        <f t="shared" si="68"/>
        <v>6</v>
      </c>
      <c r="O290" s="13"/>
      <c r="P290" s="13">
        <f t="shared" si="69"/>
        <v>3</v>
      </c>
      <c r="Q290" s="13">
        <f t="shared" si="70"/>
        <v>2</v>
      </c>
      <c r="R290" s="13">
        <f t="shared" si="71"/>
        <v>1</v>
      </c>
      <c r="S290" s="13">
        <f t="shared" si="72"/>
        <v>1</v>
      </c>
      <c r="T290" s="13">
        <f t="shared" si="73"/>
        <v>0</v>
      </c>
      <c r="U290" s="13"/>
      <c r="V290" s="13" t="str">
        <f t="shared" si="64"/>
        <v>3-2-1-1-0</v>
      </c>
      <c r="W290" s="13"/>
      <c r="X290" s="13">
        <f t="shared" si="65"/>
        <v>36</v>
      </c>
      <c r="Y290" s="13">
        <f t="shared" si="65"/>
        <v>84</v>
      </c>
      <c r="Z290" s="13">
        <f t="shared" si="65"/>
        <v>9</v>
      </c>
      <c r="AA290" s="13">
        <f t="shared" si="65"/>
        <v>9</v>
      </c>
      <c r="AB290" s="13">
        <f t="shared" si="65"/>
        <v>1</v>
      </c>
      <c r="AC290" s="14">
        <f t="shared" si="74"/>
        <v>244944</v>
      </c>
      <c r="AG290">
        <f t="shared" si="60"/>
        <v>112.5</v>
      </c>
    </row>
    <row r="291" spans="1:33" x14ac:dyDescent="0.25">
      <c r="A291" s="13">
        <v>2</v>
      </c>
      <c r="B291" s="13">
        <v>3</v>
      </c>
      <c r="C291" s="13">
        <v>0</v>
      </c>
      <c r="D291" s="13">
        <v>1</v>
      </c>
      <c r="E291" s="13">
        <v>1</v>
      </c>
      <c r="F291" s="13">
        <v>2</v>
      </c>
      <c r="G291" s="13"/>
      <c r="H291" s="13" t="str">
        <f t="shared" si="61"/>
        <v>3-0-1-1-2</v>
      </c>
      <c r="I291" s="13">
        <f t="shared" si="66"/>
        <v>2</v>
      </c>
      <c r="J291" s="13">
        <f t="shared" si="62"/>
        <v>189</v>
      </c>
      <c r="K291" s="13">
        <f t="shared" si="63"/>
        <v>137</v>
      </c>
      <c r="L291" s="13"/>
      <c r="M291" s="13">
        <f t="shared" si="67"/>
        <v>4</v>
      </c>
      <c r="N291" s="13">
        <f t="shared" si="68"/>
        <v>4</v>
      </c>
      <c r="O291" s="13"/>
      <c r="P291" s="13">
        <f t="shared" si="69"/>
        <v>3</v>
      </c>
      <c r="Q291" s="13">
        <f t="shared" si="70"/>
        <v>2</v>
      </c>
      <c r="R291" s="13">
        <f t="shared" si="71"/>
        <v>1</v>
      </c>
      <c r="S291" s="13">
        <f t="shared" si="72"/>
        <v>1</v>
      </c>
      <c r="T291" s="13">
        <f t="shared" si="73"/>
        <v>0</v>
      </c>
      <c r="U291" s="13"/>
      <c r="V291" s="13" t="str">
        <f t="shared" si="64"/>
        <v>3-2-1-1-0</v>
      </c>
      <c r="W291" s="13"/>
      <c r="X291" s="13">
        <f t="shared" si="65"/>
        <v>84</v>
      </c>
      <c r="Y291" s="13">
        <f t="shared" si="65"/>
        <v>1</v>
      </c>
      <c r="Z291" s="13">
        <f t="shared" si="65"/>
        <v>9</v>
      </c>
      <c r="AA291" s="13">
        <f t="shared" si="65"/>
        <v>9</v>
      </c>
      <c r="AB291" s="13">
        <f t="shared" si="65"/>
        <v>36</v>
      </c>
      <c r="AC291" s="14">
        <f t="shared" si="74"/>
        <v>244944</v>
      </c>
      <c r="AG291">
        <f t="shared" si="60"/>
        <v>163</v>
      </c>
    </row>
    <row r="292" spans="1:33" x14ac:dyDescent="0.25">
      <c r="A292" s="13">
        <v>1</v>
      </c>
      <c r="B292" s="13">
        <v>3</v>
      </c>
      <c r="C292" s="13">
        <v>0</v>
      </c>
      <c r="D292" s="13">
        <v>1</v>
      </c>
      <c r="E292" s="13">
        <v>2</v>
      </c>
      <c r="F292" s="13">
        <v>1</v>
      </c>
      <c r="G292" s="13"/>
      <c r="H292" s="13" t="str">
        <f t="shared" si="61"/>
        <v>3-0-1-2-1</v>
      </c>
      <c r="I292" s="13">
        <f t="shared" si="66"/>
        <v>1</v>
      </c>
      <c r="J292" s="13">
        <f t="shared" si="62"/>
        <v>179</v>
      </c>
      <c r="K292" s="13">
        <f t="shared" si="63"/>
        <v>127</v>
      </c>
      <c r="L292" s="13"/>
      <c r="M292" s="13">
        <f t="shared" si="67"/>
        <v>4</v>
      </c>
      <c r="N292" s="13">
        <f t="shared" si="68"/>
        <v>4</v>
      </c>
      <c r="O292" s="13"/>
      <c r="P292" s="13">
        <f t="shared" si="69"/>
        <v>3</v>
      </c>
      <c r="Q292" s="13">
        <f t="shared" si="70"/>
        <v>2</v>
      </c>
      <c r="R292" s="13">
        <f t="shared" si="71"/>
        <v>1</v>
      </c>
      <c r="S292" s="13">
        <f t="shared" si="72"/>
        <v>1</v>
      </c>
      <c r="T292" s="13">
        <f t="shared" si="73"/>
        <v>0</v>
      </c>
      <c r="U292" s="13"/>
      <c r="V292" s="13" t="str">
        <f t="shared" si="64"/>
        <v>3-2-1-1-0</v>
      </c>
      <c r="W292" s="13"/>
      <c r="X292" s="13">
        <f t="shared" si="65"/>
        <v>84</v>
      </c>
      <c r="Y292" s="13">
        <f t="shared" si="65"/>
        <v>1</v>
      </c>
      <c r="Z292" s="13">
        <f t="shared" si="65"/>
        <v>9</v>
      </c>
      <c r="AA292" s="13">
        <f t="shared" si="65"/>
        <v>36</v>
      </c>
      <c r="AB292" s="13">
        <f t="shared" si="65"/>
        <v>9</v>
      </c>
      <c r="AC292" s="14">
        <f t="shared" si="74"/>
        <v>244944</v>
      </c>
      <c r="AG292">
        <f t="shared" si="60"/>
        <v>153</v>
      </c>
    </row>
    <row r="293" spans="1:33" x14ac:dyDescent="0.25">
      <c r="A293" s="13">
        <v>4</v>
      </c>
      <c r="B293" s="13">
        <v>3</v>
      </c>
      <c r="C293" s="13">
        <v>0</v>
      </c>
      <c r="D293" s="13">
        <v>2</v>
      </c>
      <c r="E293" s="13">
        <v>1</v>
      </c>
      <c r="F293" s="13">
        <v>1</v>
      </c>
      <c r="G293" s="13"/>
      <c r="H293" s="13" t="str">
        <f t="shared" si="61"/>
        <v>3-0-2-1-1</v>
      </c>
      <c r="I293" s="13">
        <f t="shared" si="66"/>
        <v>4</v>
      </c>
      <c r="J293" s="13">
        <f t="shared" si="62"/>
        <v>169</v>
      </c>
      <c r="K293" s="13">
        <f t="shared" si="63"/>
        <v>117</v>
      </c>
      <c r="L293" s="13"/>
      <c r="M293" s="13">
        <f t="shared" si="67"/>
        <v>4</v>
      </c>
      <c r="N293" s="13">
        <f t="shared" si="68"/>
        <v>5</v>
      </c>
      <c r="O293" s="13"/>
      <c r="P293" s="13">
        <f t="shared" si="69"/>
        <v>3</v>
      </c>
      <c r="Q293" s="13">
        <f t="shared" si="70"/>
        <v>2</v>
      </c>
      <c r="R293" s="13">
        <f t="shared" si="71"/>
        <v>1</v>
      </c>
      <c r="S293" s="13">
        <f t="shared" si="72"/>
        <v>1</v>
      </c>
      <c r="T293" s="13">
        <f t="shared" si="73"/>
        <v>0</v>
      </c>
      <c r="U293" s="13"/>
      <c r="V293" s="13" t="str">
        <f t="shared" si="64"/>
        <v>3-2-1-1-0</v>
      </c>
      <c r="W293" s="13"/>
      <c r="X293" s="13">
        <f t="shared" si="65"/>
        <v>84</v>
      </c>
      <c r="Y293" s="13">
        <f t="shared" si="65"/>
        <v>1</v>
      </c>
      <c r="Z293" s="13">
        <f t="shared" si="65"/>
        <v>36</v>
      </c>
      <c r="AA293" s="13">
        <f t="shared" si="65"/>
        <v>9</v>
      </c>
      <c r="AB293" s="13">
        <f t="shared" si="65"/>
        <v>9</v>
      </c>
      <c r="AC293" s="14">
        <f t="shared" si="74"/>
        <v>244944</v>
      </c>
      <c r="AG293">
        <f t="shared" si="60"/>
        <v>143</v>
      </c>
    </row>
    <row r="294" spans="1:33" x14ac:dyDescent="0.25">
      <c r="A294" s="13">
        <v>0</v>
      </c>
      <c r="B294" s="13">
        <v>3</v>
      </c>
      <c r="C294" s="13">
        <v>1</v>
      </c>
      <c r="D294" s="13">
        <v>0</v>
      </c>
      <c r="E294" s="13">
        <v>1</v>
      </c>
      <c r="F294" s="13">
        <v>2</v>
      </c>
      <c r="G294" s="13"/>
      <c r="H294" s="13" t="str">
        <f t="shared" si="61"/>
        <v>3-1-0-1-2</v>
      </c>
      <c r="I294" s="13">
        <f t="shared" si="66"/>
        <v>0</v>
      </c>
      <c r="J294" s="13">
        <f t="shared" si="62"/>
        <v>179</v>
      </c>
      <c r="K294" s="13">
        <f t="shared" si="63"/>
        <v>127</v>
      </c>
      <c r="L294" s="13"/>
      <c r="M294" s="13">
        <f t="shared" si="67"/>
        <v>3</v>
      </c>
      <c r="N294" s="13">
        <f t="shared" si="68"/>
        <v>4</v>
      </c>
      <c r="O294" s="13"/>
      <c r="P294" s="13">
        <f t="shared" si="69"/>
        <v>3</v>
      </c>
      <c r="Q294" s="13">
        <f t="shared" si="70"/>
        <v>2</v>
      </c>
      <c r="R294" s="13">
        <f t="shared" si="71"/>
        <v>1</v>
      </c>
      <c r="S294" s="13">
        <f t="shared" si="72"/>
        <v>1</v>
      </c>
      <c r="T294" s="13">
        <f t="shared" si="73"/>
        <v>0</v>
      </c>
      <c r="U294" s="13"/>
      <c r="V294" s="13" t="str">
        <f t="shared" si="64"/>
        <v>3-2-1-1-0</v>
      </c>
      <c r="W294" s="13"/>
      <c r="X294" s="13">
        <f t="shared" si="65"/>
        <v>84</v>
      </c>
      <c r="Y294" s="13">
        <f t="shared" si="65"/>
        <v>9</v>
      </c>
      <c r="Z294" s="13">
        <f t="shared" si="65"/>
        <v>1</v>
      </c>
      <c r="AA294" s="13">
        <f t="shared" si="65"/>
        <v>9</v>
      </c>
      <c r="AB294" s="13">
        <f t="shared" si="65"/>
        <v>36</v>
      </c>
      <c r="AC294" s="14">
        <f t="shared" si="74"/>
        <v>244944</v>
      </c>
      <c r="AG294">
        <f t="shared" si="60"/>
        <v>153</v>
      </c>
    </row>
    <row r="295" spans="1:33" x14ac:dyDescent="0.25">
      <c r="A295" s="13">
        <v>2</v>
      </c>
      <c r="B295" s="13">
        <v>3</v>
      </c>
      <c r="C295" s="13">
        <v>1</v>
      </c>
      <c r="D295" s="13">
        <v>0</v>
      </c>
      <c r="E295" s="13">
        <v>2</v>
      </c>
      <c r="F295" s="13">
        <v>1</v>
      </c>
      <c r="G295" s="13"/>
      <c r="H295" s="13" t="str">
        <f t="shared" si="61"/>
        <v>3-1-0-2-1</v>
      </c>
      <c r="I295" s="13">
        <f t="shared" si="66"/>
        <v>2</v>
      </c>
      <c r="J295" s="13">
        <f t="shared" si="62"/>
        <v>169</v>
      </c>
      <c r="K295" s="13">
        <f t="shared" si="63"/>
        <v>117</v>
      </c>
      <c r="L295" s="13"/>
      <c r="M295" s="13">
        <f t="shared" si="67"/>
        <v>3</v>
      </c>
      <c r="N295" s="13">
        <f t="shared" si="68"/>
        <v>4</v>
      </c>
      <c r="O295" s="13"/>
      <c r="P295" s="13">
        <f t="shared" si="69"/>
        <v>3</v>
      </c>
      <c r="Q295" s="13">
        <f t="shared" si="70"/>
        <v>2</v>
      </c>
      <c r="R295" s="13">
        <f t="shared" si="71"/>
        <v>1</v>
      </c>
      <c r="S295" s="13">
        <f t="shared" si="72"/>
        <v>1</v>
      </c>
      <c r="T295" s="13">
        <f t="shared" si="73"/>
        <v>0</v>
      </c>
      <c r="U295" s="13"/>
      <c r="V295" s="13" t="str">
        <f t="shared" si="64"/>
        <v>3-2-1-1-0</v>
      </c>
      <c r="W295" s="13"/>
      <c r="X295" s="13">
        <f t="shared" si="65"/>
        <v>84</v>
      </c>
      <c r="Y295" s="13">
        <f t="shared" si="65"/>
        <v>9</v>
      </c>
      <c r="Z295" s="13">
        <f t="shared" si="65"/>
        <v>1</v>
      </c>
      <c r="AA295" s="13">
        <f t="shared" si="65"/>
        <v>36</v>
      </c>
      <c r="AB295" s="13">
        <f t="shared" si="65"/>
        <v>9</v>
      </c>
      <c r="AC295" s="14">
        <f t="shared" si="74"/>
        <v>244944</v>
      </c>
      <c r="AG295">
        <f t="shared" si="60"/>
        <v>143</v>
      </c>
    </row>
    <row r="296" spans="1:33" x14ac:dyDescent="0.25">
      <c r="A296" s="13">
        <v>0</v>
      </c>
      <c r="B296" s="13">
        <v>3</v>
      </c>
      <c r="C296" s="13">
        <v>1</v>
      </c>
      <c r="D296" s="13">
        <v>1</v>
      </c>
      <c r="E296" s="13">
        <v>0</v>
      </c>
      <c r="F296" s="13">
        <v>2</v>
      </c>
      <c r="G296" s="13"/>
      <c r="H296" s="13" t="str">
        <f t="shared" si="61"/>
        <v>3-1-1-0-2</v>
      </c>
      <c r="I296" s="13">
        <f t="shared" si="66"/>
        <v>0</v>
      </c>
      <c r="J296" s="13">
        <f t="shared" si="62"/>
        <v>169</v>
      </c>
      <c r="K296" s="13">
        <f t="shared" si="63"/>
        <v>117</v>
      </c>
      <c r="L296" s="13"/>
      <c r="M296" s="13">
        <f t="shared" si="67"/>
        <v>3</v>
      </c>
      <c r="N296" s="13">
        <f t="shared" si="68"/>
        <v>5</v>
      </c>
      <c r="O296" s="13"/>
      <c r="P296" s="13">
        <f t="shared" si="69"/>
        <v>3</v>
      </c>
      <c r="Q296" s="13">
        <f t="shared" si="70"/>
        <v>2</v>
      </c>
      <c r="R296" s="13">
        <f t="shared" si="71"/>
        <v>1</v>
      </c>
      <c r="S296" s="13">
        <f t="shared" si="72"/>
        <v>1</v>
      </c>
      <c r="T296" s="13">
        <f t="shared" si="73"/>
        <v>0</v>
      </c>
      <c r="U296" s="13"/>
      <c r="V296" s="13" t="str">
        <f t="shared" si="64"/>
        <v>3-2-1-1-0</v>
      </c>
      <c r="W296" s="13"/>
      <c r="X296" s="13">
        <f t="shared" si="65"/>
        <v>84</v>
      </c>
      <c r="Y296" s="13">
        <f t="shared" si="65"/>
        <v>9</v>
      </c>
      <c r="Z296" s="13">
        <f t="shared" si="65"/>
        <v>9</v>
      </c>
      <c r="AA296" s="13">
        <f t="shared" si="65"/>
        <v>1</v>
      </c>
      <c r="AB296" s="13">
        <f t="shared" si="65"/>
        <v>36</v>
      </c>
      <c r="AC296" s="14">
        <f t="shared" si="74"/>
        <v>244944</v>
      </c>
      <c r="AG296">
        <f t="shared" si="60"/>
        <v>143</v>
      </c>
    </row>
    <row r="297" spans="1:33" x14ac:dyDescent="0.25">
      <c r="A297" s="13">
        <v>1</v>
      </c>
      <c r="B297" s="13">
        <v>3</v>
      </c>
      <c r="C297" s="13">
        <v>1</v>
      </c>
      <c r="D297" s="13">
        <v>1</v>
      </c>
      <c r="E297" s="13">
        <v>2</v>
      </c>
      <c r="F297" s="13">
        <v>0</v>
      </c>
      <c r="G297" s="13"/>
      <c r="H297" s="13" t="str">
        <f t="shared" si="61"/>
        <v>3-1-1-2-0</v>
      </c>
      <c r="I297" s="13">
        <f t="shared" si="66"/>
        <v>1</v>
      </c>
      <c r="J297" s="13">
        <f t="shared" si="62"/>
        <v>149</v>
      </c>
      <c r="K297" s="13">
        <f t="shared" si="63"/>
        <v>97</v>
      </c>
      <c r="L297" s="13"/>
      <c r="M297" s="13">
        <f t="shared" si="67"/>
        <v>3</v>
      </c>
      <c r="N297" s="13">
        <f t="shared" si="68"/>
        <v>5</v>
      </c>
      <c r="O297" s="13"/>
      <c r="P297" s="13">
        <f t="shared" si="69"/>
        <v>3</v>
      </c>
      <c r="Q297" s="13">
        <f t="shared" si="70"/>
        <v>2</v>
      </c>
      <c r="R297" s="13">
        <f t="shared" si="71"/>
        <v>1</v>
      </c>
      <c r="S297" s="13">
        <f t="shared" si="72"/>
        <v>1</v>
      </c>
      <c r="T297" s="13">
        <f t="shared" si="73"/>
        <v>0</v>
      </c>
      <c r="U297" s="13"/>
      <c r="V297" s="13" t="str">
        <f t="shared" si="64"/>
        <v>3-2-1-1-0</v>
      </c>
      <c r="W297" s="13"/>
      <c r="X297" s="13">
        <f t="shared" si="65"/>
        <v>84</v>
      </c>
      <c r="Y297" s="13">
        <f t="shared" si="65"/>
        <v>9</v>
      </c>
      <c r="Z297" s="13">
        <f t="shared" si="65"/>
        <v>9</v>
      </c>
      <c r="AA297" s="13">
        <f t="shared" si="65"/>
        <v>36</v>
      </c>
      <c r="AB297" s="13">
        <f t="shared" si="65"/>
        <v>1</v>
      </c>
      <c r="AC297" s="14">
        <f t="shared" si="74"/>
        <v>244944</v>
      </c>
      <c r="AG297">
        <f t="shared" si="60"/>
        <v>123</v>
      </c>
    </row>
    <row r="298" spans="1:33" x14ac:dyDescent="0.25">
      <c r="A298" s="13">
        <v>1</v>
      </c>
      <c r="B298" s="13">
        <v>3</v>
      </c>
      <c r="C298" s="13">
        <v>1</v>
      </c>
      <c r="D298" s="13">
        <v>2</v>
      </c>
      <c r="E298" s="13">
        <v>0</v>
      </c>
      <c r="F298" s="13">
        <v>1</v>
      </c>
      <c r="G298" s="13"/>
      <c r="H298" s="13" t="str">
        <f t="shared" si="61"/>
        <v>3-1-2-0-1</v>
      </c>
      <c r="I298" s="13">
        <f t="shared" si="66"/>
        <v>1</v>
      </c>
      <c r="J298" s="13">
        <f t="shared" si="62"/>
        <v>149</v>
      </c>
      <c r="K298" s="13">
        <f t="shared" si="63"/>
        <v>97</v>
      </c>
      <c r="L298" s="13"/>
      <c r="M298" s="13">
        <f t="shared" si="67"/>
        <v>3</v>
      </c>
      <c r="N298" s="13">
        <f t="shared" si="68"/>
        <v>6</v>
      </c>
      <c r="O298" s="13"/>
      <c r="P298" s="13">
        <f t="shared" si="69"/>
        <v>3</v>
      </c>
      <c r="Q298" s="13">
        <f t="shared" si="70"/>
        <v>2</v>
      </c>
      <c r="R298" s="13">
        <f t="shared" si="71"/>
        <v>1</v>
      </c>
      <c r="S298" s="13">
        <f t="shared" si="72"/>
        <v>1</v>
      </c>
      <c r="T298" s="13">
        <f t="shared" si="73"/>
        <v>0</v>
      </c>
      <c r="U298" s="13"/>
      <c r="V298" s="13" t="str">
        <f t="shared" si="64"/>
        <v>3-2-1-1-0</v>
      </c>
      <c r="W298" s="13"/>
      <c r="X298" s="13">
        <f t="shared" si="65"/>
        <v>84</v>
      </c>
      <c r="Y298" s="13">
        <f t="shared" si="65"/>
        <v>9</v>
      </c>
      <c r="Z298" s="13">
        <f t="shared" si="65"/>
        <v>36</v>
      </c>
      <c r="AA298" s="13">
        <f t="shared" si="65"/>
        <v>1</v>
      </c>
      <c r="AB298" s="13">
        <f t="shared" si="65"/>
        <v>9</v>
      </c>
      <c r="AC298" s="14">
        <f t="shared" si="74"/>
        <v>244944</v>
      </c>
      <c r="AG298">
        <f t="shared" si="60"/>
        <v>123</v>
      </c>
    </row>
    <row r="299" spans="1:33" x14ac:dyDescent="0.25">
      <c r="A299" s="13">
        <v>2</v>
      </c>
      <c r="B299" s="13">
        <v>3</v>
      </c>
      <c r="C299" s="13">
        <v>1</v>
      </c>
      <c r="D299" s="13">
        <v>2</v>
      </c>
      <c r="E299" s="13">
        <v>1</v>
      </c>
      <c r="F299" s="13">
        <v>0</v>
      </c>
      <c r="G299" s="13"/>
      <c r="H299" s="13" t="str">
        <f t="shared" si="61"/>
        <v>3-1-2-1-0</v>
      </c>
      <c r="I299" s="13">
        <f t="shared" si="66"/>
        <v>2</v>
      </c>
      <c r="J299" s="13">
        <f t="shared" si="62"/>
        <v>139</v>
      </c>
      <c r="K299" s="13">
        <f t="shared" si="63"/>
        <v>87</v>
      </c>
      <c r="L299" s="13"/>
      <c r="M299" s="13">
        <f t="shared" si="67"/>
        <v>3</v>
      </c>
      <c r="N299" s="13">
        <f t="shared" si="68"/>
        <v>6</v>
      </c>
      <c r="O299" s="13"/>
      <c r="P299" s="13">
        <f t="shared" si="69"/>
        <v>3</v>
      </c>
      <c r="Q299" s="13">
        <f t="shared" si="70"/>
        <v>2</v>
      </c>
      <c r="R299" s="13">
        <f t="shared" si="71"/>
        <v>1</v>
      </c>
      <c r="S299" s="13">
        <f t="shared" si="72"/>
        <v>1</v>
      </c>
      <c r="T299" s="13">
        <f t="shared" si="73"/>
        <v>0</v>
      </c>
      <c r="U299" s="13"/>
      <c r="V299" s="13" t="str">
        <f t="shared" si="64"/>
        <v>3-2-1-1-0</v>
      </c>
      <c r="W299" s="13"/>
      <c r="X299" s="13">
        <f t="shared" si="65"/>
        <v>84</v>
      </c>
      <c r="Y299" s="13">
        <f t="shared" si="65"/>
        <v>9</v>
      </c>
      <c r="Z299" s="13">
        <f t="shared" si="65"/>
        <v>36</v>
      </c>
      <c r="AA299" s="13">
        <f t="shared" si="65"/>
        <v>9</v>
      </c>
      <c r="AB299" s="13">
        <f t="shared" si="65"/>
        <v>1</v>
      </c>
      <c r="AC299" s="14">
        <f t="shared" si="74"/>
        <v>244944</v>
      </c>
      <c r="AG299">
        <f t="shared" si="60"/>
        <v>113</v>
      </c>
    </row>
    <row r="300" spans="1:33" x14ac:dyDescent="0.25">
      <c r="A300" s="13">
        <v>1</v>
      </c>
      <c r="B300" s="13">
        <v>3</v>
      </c>
      <c r="C300" s="13">
        <v>2</v>
      </c>
      <c r="D300" s="13">
        <v>0</v>
      </c>
      <c r="E300" s="13">
        <v>1</v>
      </c>
      <c r="F300" s="13">
        <v>1</v>
      </c>
      <c r="G300" s="13"/>
      <c r="H300" s="13" t="str">
        <f t="shared" si="61"/>
        <v>3-2-0-1-1</v>
      </c>
      <c r="I300" s="13">
        <f t="shared" si="66"/>
        <v>1</v>
      </c>
      <c r="J300" s="13">
        <f t="shared" si="62"/>
        <v>149</v>
      </c>
      <c r="K300" s="13">
        <f t="shared" si="63"/>
        <v>97</v>
      </c>
      <c r="L300" s="13"/>
      <c r="M300" s="13">
        <f t="shared" si="67"/>
        <v>2</v>
      </c>
      <c r="N300" s="13">
        <f t="shared" si="68"/>
        <v>5</v>
      </c>
      <c r="O300" s="13"/>
      <c r="P300" s="13">
        <f t="shared" si="69"/>
        <v>3</v>
      </c>
      <c r="Q300" s="13">
        <f t="shared" si="70"/>
        <v>2</v>
      </c>
      <c r="R300" s="13">
        <f t="shared" si="71"/>
        <v>1</v>
      </c>
      <c r="S300" s="13">
        <f t="shared" si="72"/>
        <v>1</v>
      </c>
      <c r="T300" s="13">
        <f t="shared" si="73"/>
        <v>0</v>
      </c>
      <c r="U300" s="13"/>
      <c r="V300" s="13" t="str">
        <f t="shared" si="64"/>
        <v>3-2-1-1-0</v>
      </c>
      <c r="W300" s="13"/>
      <c r="X300" s="13">
        <f t="shared" si="65"/>
        <v>84</v>
      </c>
      <c r="Y300" s="13">
        <f t="shared" si="65"/>
        <v>36</v>
      </c>
      <c r="Z300" s="13">
        <f t="shared" si="65"/>
        <v>1</v>
      </c>
      <c r="AA300" s="13">
        <f t="shared" si="65"/>
        <v>9</v>
      </c>
      <c r="AB300" s="13">
        <f t="shared" si="65"/>
        <v>9</v>
      </c>
      <c r="AC300" s="14">
        <f t="shared" si="74"/>
        <v>244944</v>
      </c>
      <c r="AG300">
        <f t="shared" si="60"/>
        <v>123</v>
      </c>
    </row>
    <row r="301" spans="1:33" x14ac:dyDescent="0.25">
      <c r="A301" s="13">
        <v>5</v>
      </c>
      <c r="B301" s="13">
        <v>3</v>
      </c>
      <c r="C301" s="13">
        <v>2</v>
      </c>
      <c r="D301" s="13">
        <v>1</v>
      </c>
      <c r="E301" s="13">
        <v>0</v>
      </c>
      <c r="F301" s="13">
        <v>1</v>
      </c>
      <c r="G301" s="13"/>
      <c r="H301" s="13" t="str">
        <f t="shared" si="61"/>
        <v>3-2-1-0-1</v>
      </c>
      <c r="I301" s="13">
        <f t="shared" si="66"/>
        <v>5</v>
      </c>
      <c r="J301" s="13">
        <f t="shared" si="62"/>
        <v>139</v>
      </c>
      <c r="K301" s="13">
        <f t="shared" si="63"/>
        <v>87</v>
      </c>
      <c r="L301" s="13"/>
      <c r="M301" s="13">
        <f t="shared" si="67"/>
        <v>2</v>
      </c>
      <c r="N301" s="13">
        <f t="shared" si="68"/>
        <v>6</v>
      </c>
      <c r="O301" s="13"/>
      <c r="P301" s="13">
        <f t="shared" si="69"/>
        <v>3</v>
      </c>
      <c r="Q301" s="13">
        <f t="shared" si="70"/>
        <v>2</v>
      </c>
      <c r="R301" s="13">
        <f t="shared" si="71"/>
        <v>1</v>
      </c>
      <c r="S301" s="13">
        <f t="shared" si="72"/>
        <v>1</v>
      </c>
      <c r="T301" s="13">
        <f t="shared" si="73"/>
        <v>0</v>
      </c>
      <c r="U301" s="13"/>
      <c r="V301" s="13" t="str">
        <f t="shared" si="64"/>
        <v>3-2-1-1-0</v>
      </c>
      <c r="W301" s="13"/>
      <c r="X301" s="13">
        <f t="shared" si="65"/>
        <v>84</v>
      </c>
      <c r="Y301" s="13">
        <f t="shared" si="65"/>
        <v>36</v>
      </c>
      <c r="Z301" s="13">
        <f t="shared" si="65"/>
        <v>9</v>
      </c>
      <c r="AA301" s="13">
        <f t="shared" si="65"/>
        <v>1</v>
      </c>
      <c r="AB301" s="13">
        <f t="shared" si="65"/>
        <v>9</v>
      </c>
      <c r="AC301" s="14">
        <f t="shared" si="74"/>
        <v>244944</v>
      </c>
      <c r="AG301">
        <f t="shared" si="60"/>
        <v>113</v>
      </c>
    </row>
    <row r="302" spans="1:33" x14ac:dyDescent="0.25">
      <c r="A302" s="13">
        <v>0</v>
      </c>
      <c r="B302" s="13">
        <v>3</v>
      </c>
      <c r="C302" s="13">
        <v>2</v>
      </c>
      <c r="D302" s="13">
        <v>1</v>
      </c>
      <c r="E302" s="13">
        <v>1</v>
      </c>
      <c r="F302" s="13">
        <v>0</v>
      </c>
      <c r="G302" s="13"/>
      <c r="H302" s="13" t="str">
        <f t="shared" si="61"/>
        <v>3-2-1-1-0</v>
      </c>
      <c r="I302" s="13">
        <f t="shared" si="66"/>
        <v>0</v>
      </c>
      <c r="J302" s="13">
        <f t="shared" si="62"/>
        <v>129</v>
      </c>
      <c r="K302" s="13">
        <f t="shared" si="63"/>
        <v>77</v>
      </c>
      <c r="L302" s="13"/>
      <c r="M302" s="13">
        <f t="shared" si="67"/>
        <v>2</v>
      </c>
      <c r="N302" s="13">
        <f t="shared" si="68"/>
        <v>6</v>
      </c>
      <c r="O302" s="13"/>
      <c r="P302" s="13">
        <f t="shared" si="69"/>
        <v>3</v>
      </c>
      <c r="Q302" s="13">
        <f t="shared" si="70"/>
        <v>2</v>
      </c>
      <c r="R302" s="13">
        <f t="shared" si="71"/>
        <v>1</v>
      </c>
      <c r="S302" s="13">
        <f t="shared" si="72"/>
        <v>1</v>
      </c>
      <c r="T302" s="13">
        <f t="shared" si="73"/>
        <v>0</v>
      </c>
      <c r="U302" s="13"/>
      <c r="V302" s="13" t="str">
        <f t="shared" si="64"/>
        <v>3-2-1-1-0</v>
      </c>
      <c r="W302" s="13"/>
      <c r="X302" s="13">
        <f t="shared" si="65"/>
        <v>84</v>
      </c>
      <c r="Y302" s="13">
        <f t="shared" si="65"/>
        <v>36</v>
      </c>
      <c r="Z302" s="13">
        <f t="shared" si="65"/>
        <v>9</v>
      </c>
      <c r="AA302" s="13">
        <f t="shared" si="65"/>
        <v>9</v>
      </c>
      <c r="AB302" s="13">
        <f t="shared" si="65"/>
        <v>1</v>
      </c>
      <c r="AC302" s="14">
        <f t="shared" si="74"/>
        <v>244944</v>
      </c>
      <c r="AG302">
        <f t="shared" si="60"/>
        <v>103</v>
      </c>
    </row>
    <row r="303" spans="1:33" x14ac:dyDescent="0.25">
      <c r="A303">
        <v>0</v>
      </c>
      <c r="B303">
        <v>0</v>
      </c>
      <c r="C303">
        <v>0</v>
      </c>
      <c r="D303">
        <v>2</v>
      </c>
      <c r="E303">
        <v>2</v>
      </c>
      <c r="F303">
        <v>3</v>
      </c>
      <c r="H303" t="str">
        <f t="shared" si="61"/>
        <v>0-0-2-2-3</v>
      </c>
      <c r="I303">
        <f t="shared" si="66"/>
        <v>0</v>
      </c>
      <c r="J303">
        <f t="shared" si="62"/>
        <v>278</v>
      </c>
      <c r="K303">
        <f t="shared" si="63"/>
        <v>225</v>
      </c>
      <c r="M303">
        <f t="shared" si="67"/>
        <v>7</v>
      </c>
      <c r="N303">
        <f t="shared" si="68"/>
        <v>2</v>
      </c>
      <c r="P303">
        <f t="shared" si="69"/>
        <v>3</v>
      </c>
      <c r="Q303">
        <f t="shared" si="70"/>
        <v>2</v>
      </c>
      <c r="R303">
        <f t="shared" si="71"/>
        <v>2</v>
      </c>
      <c r="S303">
        <f t="shared" si="72"/>
        <v>0</v>
      </c>
      <c r="T303">
        <f t="shared" si="73"/>
        <v>0</v>
      </c>
      <c r="V303" t="str">
        <f t="shared" si="64"/>
        <v>3-2-2-0-0</v>
      </c>
      <c r="X303">
        <f t="shared" si="65"/>
        <v>1</v>
      </c>
      <c r="Y303">
        <f t="shared" si="65"/>
        <v>1</v>
      </c>
      <c r="Z303">
        <f t="shared" si="65"/>
        <v>36</v>
      </c>
      <c r="AA303">
        <f t="shared" si="65"/>
        <v>36</v>
      </c>
      <c r="AB303">
        <f t="shared" si="65"/>
        <v>84</v>
      </c>
      <c r="AC303" s="4">
        <f t="shared" si="74"/>
        <v>108864</v>
      </c>
    </row>
    <row r="304" spans="1:33" x14ac:dyDescent="0.25">
      <c r="A304">
        <v>2</v>
      </c>
      <c r="B304">
        <v>0</v>
      </c>
      <c r="C304">
        <v>0</v>
      </c>
      <c r="D304">
        <v>2</v>
      </c>
      <c r="E304">
        <v>3</v>
      </c>
      <c r="F304">
        <v>2</v>
      </c>
      <c r="H304" t="str">
        <f t="shared" si="61"/>
        <v>0-0-2-3-2</v>
      </c>
      <c r="I304">
        <f t="shared" si="66"/>
        <v>2</v>
      </c>
      <c r="J304">
        <f t="shared" si="62"/>
        <v>268</v>
      </c>
      <c r="K304">
        <f t="shared" si="63"/>
        <v>215</v>
      </c>
      <c r="M304">
        <f t="shared" si="67"/>
        <v>7</v>
      </c>
      <c r="N304">
        <f t="shared" si="68"/>
        <v>2</v>
      </c>
      <c r="P304">
        <f t="shared" si="69"/>
        <v>3</v>
      </c>
      <c r="Q304">
        <f t="shared" si="70"/>
        <v>2</v>
      </c>
      <c r="R304">
        <f t="shared" si="71"/>
        <v>2</v>
      </c>
      <c r="S304">
        <f t="shared" si="72"/>
        <v>0</v>
      </c>
      <c r="T304">
        <f t="shared" si="73"/>
        <v>0</v>
      </c>
      <c r="V304" t="str">
        <f t="shared" si="64"/>
        <v>3-2-2-0-0</v>
      </c>
      <c r="X304">
        <f t="shared" si="65"/>
        <v>1</v>
      </c>
      <c r="Y304">
        <f t="shared" si="65"/>
        <v>1</v>
      </c>
      <c r="Z304">
        <f t="shared" si="65"/>
        <v>36</v>
      </c>
      <c r="AA304">
        <f t="shared" si="65"/>
        <v>84</v>
      </c>
      <c r="AB304">
        <f t="shared" si="65"/>
        <v>36</v>
      </c>
      <c r="AC304" s="4">
        <f t="shared" si="74"/>
        <v>108864</v>
      </c>
    </row>
    <row r="305" spans="1:29" x14ac:dyDescent="0.25">
      <c r="A305">
        <v>0</v>
      </c>
      <c r="B305">
        <v>0</v>
      </c>
      <c r="C305">
        <v>0</v>
      </c>
      <c r="D305">
        <v>3</v>
      </c>
      <c r="E305">
        <v>2</v>
      </c>
      <c r="F305">
        <v>2</v>
      </c>
      <c r="H305" t="str">
        <f t="shared" si="61"/>
        <v>0-0-3-2-2</v>
      </c>
      <c r="I305">
        <f t="shared" si="66"/>
        <v>0</v>
      </c>
      <c r="J305">
        <f t="shared" si="62"/>
        <v>258</v>
      </c>
      <c r="K305">
        <f t="shared" si="63"/>
        <v>205</v>
      </c>
      <c r="M305">
        <f t="shared" si="67"/>
        <v>7</v>
      </c>
      <c r="N305">
        <f t="shared" si="68"/>
        <v>3</v>
      </c>
      <c r="P305">
        <f t="shared" si="69"/>
        <v>3</v>
      </c>
      <c r="Q305">
        <f t="shared" si="70"/>
        <v>2</v>
      </c>
      <c r="R305">
        <f t="shared" si="71"/>
        <v>2</v>
      </c>
      <c r="S305">
        <f t="shared" si="72"/>
        <v>0</v>
      </c>
      <c r="T305">
        <f t="shared" si="73"/>
        <v>0</v>
      </c>
      <c r="V305" t="str">
        <f t="shared" si="64"/>
        <v>3-2-2-0-0</v>
      </c>
      <c r="X305">
        <f t="shared" si="65"/>
        <v>1</v>
      </c>
      <c r="Y305">
        <f t="shared" si="65"/>
        <v>1</v>
      </c>
      <c r="Z305">
        <f t="shared" si="65"/>
        <v>84</v>
      </c>
      <c r="AA305">
        <f t="shared" si="65"/>
        <v>36</v>
      </c>
      <c r="AB305">
        <f t="shared" si="65"/>
        <v>36</v>
      </c>
      <c r="AC305" s="4">
        <f t="shared" si="74"/>
        <v>108864</v>
      </c>
    </row>
    <row r="306" spans="1:29" x14ac:dyDescent="0.25">
      <c r="A306">
        <v>0</v>
      </c>
      <c r="B306">
        <v>0</v>
      </c>
      <c r="C306">
        <v>2</v>
      </c>
      <c r="D306">
        <v>0</v>
      </c>
      <c r="E306">
        <v>2</v>
      </c>
      <c r="F306">
        <v>3</v>
      </c>
      <c r="H306" t="str">
        <f t="shared" si="61"/>
        <v>0-2-0-2-3</v>
      </c>
      <c r="I306">
        <f t="shared" si="66"/>
        <v>0</v>
      </c>
      <c r="J306">
        <f t="shared" si="62"/>
        <v>258</v>
      </c>
      <c r="K306">
        <f t="shared" si="63"/>
        <v>205</v>
      </c>
      <c r="M306">
        <f t="shared" si="67"/>
        <v>5</v>
      </c>
      <c r="N306">
        <f t="shared" si="68"/>
        <v>2</v>
      </c>
      <c r="P306">
        <f t="shared" si="69"/>
        <v>3</v>
      </c>
      <c r="Q306">
        <f t="shared" si="70"/>
        <v>2</v>
      </c>
      <c r="R306">
        <f t="shared" si="71"/>
        <v>2</v>
      </c>
      <c r="S306">
        <f t="shared" si="72"/>
        <v>0</v>
      </c>
      <c r="T306">
        <f t="shared" si="73"/>
        <v>0</v>
      </c>
      <c r="V306" t="str">
        <f t="shared" si="64"/>
        <v>3-2-2-0-0</v>
      </c>
      <c r="X306">
        <f t="shared" si="65"/>
        <v>1</v>
      </c>
      <c r="Y306">
        <f t="shared" si="65"/>
        <v>36</v>
      </c>
      <c r="Z306">
        <f t="shared" si="65"/>
        <v>1</v>
      </c>
      <c r="AA306">
        <f t="shared" si="65"/>
        <v>36</v>
      </c>
      <c r="AB306">
        <f t="shared" si="65"/>
        <v>84</v>
      </c>
      <c r="AC306" s="4">
        <f t="shared" si="74"/>
        <v>108864</v>
      </c>
    </row>
    <row r="307" spans="1:29" x14ac:dyDescent="0.25">
      <c r="A307">
        <v>0</v>
      </c>
      <c r="B307">
        <v>0</v>
      </c>
      <c r="C307">
        <v>2</v>
      </c>
      <c r="D307">
        <v>0</v>
      </c>
      <c r="E307">
        <v>3</v>
      </c>
      <c r="F307">
        <v>2</v>
      </c>
      <c r="H307" t="str">
        <f t="shared" si="61"/>
        <v>0-2-0-3-2</v>
      </c>
      <c r="I307">
        <f t="shared" si="66"/>
        <v>0</v>
      </c>
      <c r="J307">
        <f t="shared" si="62"/>
        <v>248</v>
      </c>
      <c r="K307">
        <f t="shared" si="63"/>
        <v>195</v>
      </c>
      <c r="M307">
        <f t="shared" si="67"/>
        <v>5</v>
      </c>
      <c r="N307">
        <f t="shared" si="68"/>
        <v>2</v>
      </c>
      <c r="P307">
        <f t="shared" si="69"/>
        <v>3</v>
      </c>
      <c r="Q307">
        <f t="shared" si="70"/>
        <v>2</v>
      </c>
      <c r="R307">
        <f t="shared" si="71"/>
        <v>2</v>
      </c>
      <c r="S307">
        <f t="shared" si="72"/>
        <v>0</v>
      </c>
      <c r="T307">
        <f t="shared" si="73"/>
        <v>0</v>
      </c>
      <c r="V307" t="str">
        <f t="shared" si="64"/>
        <v>3-2-2-0-0</v>
      </c>
      <c r="X307">
        <f t="shared" si="65"/>
        <v>1</v>
      </c>
      <c r="Y307">
        <f t="shared" si="65"/>
        <v>36</v>
      </c>
      <c r="Z307">
        <f t="shared" si="65"/>
        <v>1</v>
      </c>
      <c r="AA307">
        <f t="shared" si="65"/>
        <v>84</v>
      </c>
      <c r="AB307">
        <f t="shared" si="65"/>
        <v>36</v>
      </c>
      <c r="AC307" s="4">
        <f t="shared" si="74"/>
        <v>108864</v>
      </c>
    </row>
    <row r="308" spans="1:29" x14ac:dyDescent="0.25">
      <c r="A308">
        <v>0</v>
      </c>
      <c r="B308">
        <v>0</v>
      </c>
      <c r="C308">
        <v>2</v>
      </c>
      <c r="D308">
        <v>2</v>
      </c>
      <c r="E308">
        <v>0</v>
      </c>
      <c r="F308">
        <v>3</v>
      </c>
      <c r="H308" t="str">
        <f t="shared" si="61"/>
        <v>0-2-2-0-3</v>
      </c>
      <c r="I308">
        <f t="shared" si="66"/>
        <v>0</v>
      </c>
      <c r="J308">
        <f t="shared" si="62"/>
        <v>238</v>
      </c>
      <c r="K308">
        <f t="shared" si="63"/>
        <v>185</v>
      </c>
      <c r="M308">
        <f t="shared" si="67"/>
        <v>5</v>
      </c>
      <c r="N308">
        <f t="shared" si="68"/>
        <v>4</v>
      </c>
      <c r="P308">
        <f t="shared" si="69"/>
        <v>3</v>
      </c>
      <c r="Q308">
        <f t="shared" si="70"/>
        <v>2</v>
      </c>
      <c r="R308">
        <f t="shared" si="71"/>
        <v>2</v>
      </c>
      <c r="S308">
        <f t="shared" si="72"/>
        <v>0</v>
      </c>
      <c r="T308">
        <f t="shared" si="73"/>
        <v>0</v>
      </c>
      <c r="V308" t="str">
        <f t="shared" si="64"/>
        <v>3-2-2-0-0</v>
      </c>
      <c r="X308">
        <f t="shared" si="65"/>
        <v>1</v>
      </c>
      <c r="Y308">
        <f t="shared" si="65"/>
        <v>36</v>
      </c>
      <c r="Z308">
        <f t="shared" si="65"/>
        <v>36</v>
      </c>
      <c r="AA308">
        <f t="shared" si="65"/>
        <v>1</v>
      </c>
      <c r="AB308">
        <f t="shared" si="65"/>
        <v>84</v>
      </c>
      <c r="AC308" s="4">
        <f t="shared" si="74"/>
        <v>108864</v>
      </c>
    </row>
    <row r="309" spans="1:29" x14ac:dyDescent="0.25">
      <c r="A309">
        <v>0</v>
      </c>
      <c r="B309">
        <v>0</v>
      </c>
      <c r="C309">
        <v>2</v>
      </c>
      <c r="D309">
        <v>2</v>
      </c>
      <c r="E309">
        <v>3</v>
      </c>
      <c r="F309">
        <v>0</v>
      </c>
      <c r="H309" t="str">
        <f t="shared" si="61"/>
        <v>0-2-2-3-0</v>
      </c>
      <c r="I309">
        <f t="shared" si="66"/>
        <v>0</v>
      </c>
      <c r="J309">
        <f t="shared" si="62"/>
        <v>208</v>
      </c>
      <c r="K309">
        <f t="shared" si="63"/>
        <v>155</v>
      </c>
      <c r="M309">
        <f t="shared" si="67"/>
        <v>5</v>
      </c>
      <c r="N309">
        <f t="shared" si="68"/>
        <v>4</v>
      </c>
      <c r="P309">
        <f t="shared" si="69"/>
        <v>3</v>
      </c>
      <c r="Q309">
        <f t="shared" si="70"/>
        <v>2</v>
      </c>
      <c r="R309">
        <f t="shared" si="71"/>
        <v>2</v>
      </c>
      <c r="S309">
        <f t="shared" si="72"/>
        <v>0</v>
      </c>
      <c r="T309">
        <f t="shared" si="73"/>
        <v>0</v>
      </c>
      <c r="V309" t="str">
        <f t="shared" si="64"/>
        <v>3-2-2-0-0</v>
      </c>
      <c r="X309">
        <f t="shared" si="65"/>
        <v>1</v>
      </c>
      <c r="Y309">
        <f t="shared" si="65"/>
        <v>36</v>
      </c>
      <c r="Z309">
        <f t="shared" si="65"/>
        <v>36</v>
      </c>
      <c r="AA309">
        <f t="shared" si="65"/>
        <v>84</v>
      </c>
      <c r="AB309">
        <f t="shared" si="65"/>
        <v>1</v>
      </c>
      <c r="AC309" s="4">
        <f t="shared" si="74"/>
        <v>108864</v>
      </c>
    </row>
    <row r="310" spans="1:29" x14ac:dyDescent="0.25">
      <c r="A310">
        <v>1</v>
      </c>
      <c r="B310">
        <v>0</v>
      </c>
      <c r="C310">
        <v>2</v>
      </c>
      <c r="D310">
        <v>3</v>
      </c>
      <c r="E310">
        <v>0</v>
      </c>
      <c r="F310">
        <v>2</v>
      </c>
      <c r="H310" t="str">
        <f t="shared" si="61"/>
        <v>0-2-3-0-2</v>
      </c>
      <c r="I310">
        <f t="shared" si="66"/>
        <v>1</v>
      </c>
      <c r="J310">
        <f t="shared" si="62"/>
        <v>218</v>
      </c>
      <c r="K310">
        <f t="shared" si="63"/>
        <v>165</v>
      </c>
      <c r="M310">
        <f t="shared" si="67"/>
        <v>5</v>
      </c>
      <c r="N310">
        <f t="shared" si="68"/>
        <v>5</v>
      </c>
      <c r="P310">
        <f t="shared" si="69"/>
        <v>3</v>
      </c>
      <c r="Q310">
        <f t="shared" si="70"/>
        <v>2</v>
      </c>
      <c r="R310">
        <f t="shared" si="71"/>
        <v>2</v>
      </c>
      <c r="S310">
        <f t="shared" si="72"/>
        <v>0</v>
      </c>
      <c r="T310">
        <f t="shared" si="73"/>
        <v>0</v>
      </c>
      <c r="V310" t="str">
        <f t="shared" si="64"/>
        <v>3-2-2-0-0</v>
      </c>
      <c r="X310">
        <f t="shared" ref="X310:AB332" si="75">PERMUT(9,B310)/PERMUT(B310,B310)</f>
        <v>1</v>
      </c>
      <c r="Y310">
        <f t="shared" si="75"/>
        <v>36</v>
      </c>
      <c r="Z310">
        <f t="shared" si="75"/>
        <v>84</v>
      </c>
      <c r="AA310">
        <f t="shared" si="75"/>
        <v>1</v>
      </c>
      <c r="AB310">
        <f t="shared" si="75"/>
        <v>36</v>
      </c>
      <c r="AC310" s="4">
        <f t="shared" si="74"/>
        <v>108864</v>
      </c>
    </row>
    <row r="311" spans="1:29" x14ac:dyDescent="0.25">
      <c r="A311">
        <v>0</v>
      </c>
      <c r="B311">
        <v>0</v>
      </c>
      <c r="C311">
        <v>2</v>
      </c>
      <c r="D311">
        <v>3</v>
      </c>
      <c r="E311">
        <v>2</v>
      </c>
      <c r="F311">
        <v>0</v>
      </c>
      <c r="H311" t="str">
        <f t="shared" si="61"/>
        <v>0-2-3-2-0</v>
      </c>
      <c r="I311">
        <f t="shared" si="66"/>
        <v>0</v>
      </c>
      <c r="J311">
        <f t="shared" si="62"/>
        <v>198</v>
      </c>
      <c r="K311">
        <f t="shared" si="63"/>
        <v>145</v>
      </c>
      <c r="M311">
        <f t="shared" si="67"/>
        <v>5</v>
      </c>
      <c r="N311">
        <f t="shared" si="68"/>
        <v>5</v>
      </c>
      <c r="P311">
        <f t="shared" si="69"/>
        <v>3</v>
      </c>
      <c r="Q311">
        <f t="shared" si="70"/>
        <v>2</v>
      </c>
      <c r="R311">
        <f t="shared" si="71"/>
        <v>2</v>
      </c>
      <c r="S311">
        <f t="shared" si="72"/>
        <v>0</v>
      </c>
      <c r="T311">
        <f t="shared" si="73"/>
        <v>0</v>
      </c>
      <c r="V311" t="str">
        <f t="shared" si="64"/>
        <v>3-2-2-0-0</v>
      </c>
      <c r="X311">
        <f t="shared" si="75"/>
        <v>1</v>
      </c>
      <c r="Y311">
        <f t="shared" si="75"/>
        <v>36</v>
      </c>
      <c r="Z311">
        <f t="shared" si="75"/>
        <v>84</v>
      </c>
      <c r="AA311">
        <f t="shared" si="75"/>
        <v>36</v>
      </c>
      <c r="AB311">
        <f t="shared" si="75"/>
        <v>1</v>
      </c>
      <c r="AC311" s="4">
        <f t="shared" si="74"/>
        <v>108864</v>
      </c>
    </row>
    <row r="312" spans="1:29" x14ac:dyDescent="0.25">
      <c r="A312">
        <v>2</v>
      </c>
      <c r="B312">
        <v>0</v>
      </c>
      <c r="C312">
        <v>3</v>
      </c>
      <c r="D312">
        <v>0</v>
      </c>
      <c r="E312">
        <v>2</v>
      </c>
      <c r="F312">
        <v>2</v>
      </c>
      <c r="H312" t="str">
        <f t="shared" si="61"/>
        <v>0-3-0-2-2</v>
      </c>
      <c r="I312">
        <f t="shared" si="66"/>
        <v>2</v>
      </c>
      <c r="J312">
        <f t="shared" si="62"/>
        <v>228</v>
      </c>
      <c r="K312">
        <f t="shared" si="63"/>
        <v>175</v>
      </c>
      <c r="M312">
        <f t="shared" si="67"/>
        <v>4</v>
      </c>
      <c r="N312">
        <f t="shared" si="68"/>
        <v>3</v>
      </c>
      <c r="P312">
        <f t="shared" si="69"/>
        <v>3</v>
      </c>
      <c r="Q312">
        <f t="shared" si="70"/>
        <v>2</v>
      </c>
      <c r="R312">
        <f t="shared" si="71"/>
        <v>2</v>
      </c>
      <c r="S312">
        <f t="shared" si="72"/>
        <v>0</v>
      </c>
      <c r="T312">
        <f t="shared" si="73"/>
        <v>0</v>
      </c>
      <c r="V312" t="str">
        <f t="shared" si="64"/>
        <v>3-2-2-0-0</v>
      </c>
      <c r="X312">
        <f t="shared" si="75"/>
        <v>1</v>
      </c>
      <c r="Y312">
        <f t="shared" si="75"/>
        <v>84</v>
      </c>
      <c r="Z312">
        <f t="shared" si="75"/>
        <v>1</v>
      </c>
      <c r="AA312">
        <f t="shared" si="75"/>
        <v>36</v>
      </c>
      <c r="AB312">
        <f t="shared" si="75"/>
        <v>36</v>
      </c>
      <c r="AC312" s="4">
        <f t="shared" si="74"/>
        <v>108864</v>
      </c>
    </row>
    <row r="313" spans="1:29" x14ac:dyDescent="0.25">
      <c r="A313">
        <v>0</v>
      </c>
      <c r="B313">
        <v>0</v>
      </c>
      <c r="C313">
        <v>3</v>
      </c>
      <c r="D313">
        <v>2</v>
      </c>
      <c r="E313">
        <v>0</v>
      </c>
      <c r="F313">
        <v>2</v>
      </c>
      <c r="H313" t="str">
        <f t="shared" si="61"/>
        <v>0-3-2-0-2</v>
      </c>
      <c r="I313">
        <f t="shared" si="66"/>
        <v>0</v>
      </c>
      <c r="J313">
        <f t="shared" si="62"/>
        <v>208</v>
      </c>
      <c r="K313">
        <f t="shared" si="63"/>
        <v>155</v>
      </c>
      <c r="M313">
        <f t="shared" si="67"/>
        <v>4</v>
      </c>
      <c r="N313">
        <f t="shared" si="68"/>
        <v>5</v>
      </c>
      <c r="P313">
        <f t="shared" si="69"/>
        <v>3</v>
      </c>
      <c r="Q313">
        <f t="shared" si="70"/>
        <v>2</v>
      </c>
      <c r="R313">
        <f t="shared" si="71"/>
        <v>2</v>
      </c>
      <c r="S313">
        <f t="shared" si="72"/>
        <v>0</v>
      </c>
      <c r="T313">
        <f t="shared" si="73"/>
        <v>0</v>
      </c>
      <c r="V313" t="str">
        <f t="shared" si="64"/>
        <v>3-2-2-0-0</v>
      </c>
      <c r="X313">
        <f t="shared" si="75"/>
        <v>1</v>
      </c>
      <c r="Y313">
        <f t="shared" si="75"/>
        <v>84</v>
      </c>
      <c r="Z313">
        <f t="shared" si="75"/>
        <v>36</v>
      </c>
      <c r="AA313">
        <f t="shared" si="75"/>
        <v>1</v>
      </c>
      <c r="AB313">
        <f t="shared" si="75"/>
        <v>36</v>
      </c>
      <c r="AC313" s="4">
        <f t="shared" si="74"/>
        <v>108864</v>
      </c>
    </row>
    <row r="314" spans="1:29" x14ac:dyDescent="0.25">
      <c r="A314">
        <v>1</v>
      </c>
      <c r="B314">
        <v>0</v>
      </c>
      <c r="C314">
        <v>3</v>
      </c>
      <c r="D314">
        <v>2</v>
      </c>
      <c r="E314">
        <v>2</v>
      </c>
      <c r="F314">
        <v>0</v>
      </c>
      <c r="H314" t="str">
        <f t="shared" si="61"/>
        <v>0-3-2-2-0</v>
      </c>
      <c r="I314">
        <f t="shared" si="66"/>
        <v>1</v>
      </c>
      <c r="J314">
        <f t="shared" si="62"/>
        <v>188</v>
      </c>
      <c r="K314">
        <f t="shared" si="63"/>
        <v>135</v>
      </c>
      <c r="M314">
        <f t="shared" si="67"/>
        <v>4</v>
      </c>
      <c r="N314">
        <f t="shared" si="68"/>
        <v>5</v>
      </c>
      <c r="P314">
        <f t="shared" si="69"/>
        <v>3</v>
      </c>
      <c r="Q314">
        <f t="shared" si="70"/>
        <v>2</v>
      </c>
      <c r="R314">
        <f t="shared" si="71"/>
        <v>2</v>
      </c>
      <c r="S314">
        <f t="shared" si="72"/>
        <v>0</v>
      </c>
      <c r="T314">
        <f t="shared" si="73"/>
        <v>0</v>
      </c>
      <c r="V314" t="str">
        <f t="shared" si="64"/>
        <v>3-2-2-0-0</v>
      </c>
      <c r="X314">
        <f t="shared" si="75"/>
        <v>1</v>
      </c>
      <c r="Y314">
        <f t="shared" si="75"/>
        <v>84</v>
      </c>
      <c r="Z314">
        <f t="shared" si="75"/>
        <v>36</v>
      </c>
      <c r="AA314">
        <f t="shared" si="75"/>
        <v>36</v>
      </c>
      <c r="AB314">
        <f t="shared" si="75"/>
        <v>1</v>
      </c>
      <c r="AC314" s="4">
        <f t="shared" si="74"/>
        <v>108864</v>
      </c>
    </row>
    <row r="315" spans="1:29" x14ac:dyDescent="0.25">
      <c r="A315">
        <v>0</v>
      </c>
      <c r="B315">
        <v>2</v>
      </c>
      <c r="C315">
        <v>0</v>
      </c>
      <c r="D315">
        <v>0</v>
      </c>
      <c r="E315">
        <v>2</v>
      </c>
      <c r="F315">
        <v>3</v>
      </c>
      <c r="H315" t="str">
        <f t="shared" si="61"/>
        <v>2-0-0-2-3</v>
      </c>
      <c r="I315">
        <f t="shared" si="66"/>
        <v>0</v>
      </c>
      <c r="J315">
        <f t="shared" si="62"/>
        <v>238</v>
      </c>
      <c r="K315">
        <f t="shared" si="63"/>
        <v>187</v>
      </c>
      <c r="M315">
        <f t="shared" si="67"/>
        <v>5</v>
      </c>
      <c r="N315">
        <f t="shared" si="68"/>
        <v>2</v>
      </c>
      <c r="P315">
        <f t="shared" si="69"/>
        <v>3</v>
      </c>
      <c r="Q315">
        <f t="shared" si="70"/>
        <v>2</v>
      </c>
      <c r="R315">
        <f t="shared" si="71"/>
        <v>2</v>
      </c>
      <c r="S315">
        <f t="shared" si="72"/>
        <v>0</v>
      </c>
      <c r="T315">
        <f t="shared" si="73"/>
        <v>0</v>
      </c>
      <c r="V315" t="str">
        <f t="shared" si="64"/>
        <v>3-2-2-0-0</v>
      </c>
      <c r="X315">
        <f t="shared" si="75"/>
        <v>36</v>
      </c>
      <c r="Y315">
        <f t="shared" si="75"/>
        <v>1</v>
      </c>
      <c r="Z315">
        <f t="shared" si="75"/>
        <v>1</v>
      </c>
      <c r="AA315">
        <f t="shared" si="75"/>
        <v>36</v>
      </c>
      <c r="AB315">
        <f t="shared" si="75"/>
        <v>84</v>
      </c>
      <c r="AC315" s="4">
        <f t="shared" si="74"/>
        <v>108864</v>
      </c>
    </row>
    <row r="316" spans="1:29" x14ac:dyDescent="0.25">
      <c r="A316">
        <v>0</v>
      </c>
      <c r="B316">
        <v>2</v>
      </c>
      <c r="C316">
        <v>0</v>
      </c>
      <c r="D316">
        <v>0</v>
      </c>
      <c r="E316">
        <v>3</v>
      </c>
      <c r="F316">
        <v>2</v>
      </c>
      <c r="H316" t="str">
        <f t="shared" si="61"/>
        <v>2-0-0-3-2</v>
      </c>
      <c r="I316">
        <f t="shared" si="66"/>
        <v>0</v>
      </c>
      <c r="J316">
        <f t="shared" si="62"/>
        <v>228</v>
      </c>
      <c r="K316">
        <f t="shared" si="63"/>
        <v>177</v>
      </c>
      <c r="M316">
        <f t="shared" si="67"/>
        <v>5</v>
      </c>
      <c r="N316">
        <f t="shared" si="68"/>
        <v>2</v>
      </c>
      <c r="P316">
        <f t="shared" si="69"/>
        <v>3</v>
      </c>
      <c r="Q316">
        <f t="shared" si="70"/>
        <v>2</v>
      </c>
      <c r="R316">
        <f t="shared" si="71"/>
        <v>2</v>
      </c>
      <c r="S316">
        <f t="shared" si="72"/>
        <v>0</v>
      </c>
      <c r="T316">
        <f t="shared" si="73"/>
        <v>0</v>
      </c>
      <c r="V316" t="str">
        <f t="shared" si="64"/>
        <v>3-2-2-0-0</v>
      </c>
      <c r="X316">
        <f t="shared" si="75"/>
        <v>36</v>
      </c>
      <c r="Y316">
        <f t="shared" si="75"/>
        <v>1</v>
      </c>
      <c r="Z316">
        <f t="shared" si="75"/>
        <v>1</v>
      </c>
      <c r="AA316">
        <f t="shared" si="75"/>
        <v>84</v>
      </c>
      <c r="AB316">
        <f t="shared" si="75"/>
        <v>36</v>
      </c>
      <c r="AC316" s="4">
        <f t="shared" si="74"/>
        <v>108864</v>
      </c>
    </row>
    <row r="317" spans="1:29" x14ac:dyDescent="0.25">
      <c r="A317">
        <v>1</v>
      </c>
      <c r="B317">
        <v>2</v>
      </c>
      <c r="C317">
        <v>0</v>
      </c>
      <c r="D317">
        <v>2</v>
      </c>
      <c r="E317">
        <v>0</v>
      </c>
      <c r="F317">
        <v>3</v>
      </c>
      <c r="H317" t="str">
        <f t="shared" si="61"/>
        <v>2-0-2-0-3</v>
      </c>
      <c r="I317">
        <f t="shared" si="66"/>
        <v>1</v>
      </c>
      <c r="J317">
        <f t="shared" si="62"/>
        <v>218</v>
      </c>
      <c r="K317">
        <f t="shared" si="63"/>
        <v>167</v>
      </c>
      <c r="M317">
        <f t="shared" si="67"/>
        <v>5</v>
      </c>
      <c r="N317">
        <f t="shared" si="68"/>
        <v>4</v>
      </c>
      <c r="P317">
        <f t="shared" si="69"/>
        <v>3</v>
      </c>
      <c r="Q317">
        <f t="shared" si="70"/>
        <v>2</v>
      </c>
      <c r="R317">
        <f t="shared" si="71"/>
        <v>2</v>
      </c>
      <c r="S317">
        <f t="shared" si="72"/>
        <v>0</v>
      </c>
      <c r="T317">
        <f t="shared" si="73"/>
        <v>0</v>
      </c>
      <c r="V317" t="str">
        <f t="shared" si="64"/>
        <v>3-2-2-0-0</v>
      </c>
      <c r="X317">
        <f t="shared" si="75"/>
        <v>36</v>
      </c>
      <c r="Y317">
        <f t="shared" si="75"/>
        <v>1</v>
      </c>
      <c r="Z317">
        <f t="shared" si="75"/>
        <v>36</v>
      </c>
      <c r="AA317">
        <f t="shared" si="75"/>
        <v>1</v>
      </c>
      <c r="AB317">
        <f t="shared" si="75"/>
        <v>84</v>
      </c>
      <c r="AC317" s="4">
        <f t="shared" si="74"/>
        <v>108864</v>
      </c>
    </row>
    <row r="318" spans="1:29" x14ac:dyDescent="0.25">
      <c r="A318">
        <v>0</v>
      </c>
      <c r="B318">
        <v>2</v>
      </c>
      <c r="C318">
        <v>0</v>
      </c>
      <c r="D318">
        <v>2</v>
      </c>
      <c r="E318">
        <v>3</v>
      </c>
      <c r="F318">
        <v>0</v>
      </c>
      <c r="H318" t="str">
        <f t="shared" si="61"/>
        <v>2-0-2-3-0</v>
      </c>
      <c r="I318">
        <f t="shared" si="66"/>
        <v>0</v>
      </c>
      <c r="J318">
        <f t="shared" si="62"/>
        <v>188</v>
      </c>
      <c r="K318">
        <f t="shared" si="63"/>
        <v>137</v>
      </c>
      <c r="M318">
        <f t="shared" si="67"/>
        <v>5</v>
      </c>
      <c r="N318">
        <f t="shared" si="68"/>
        <v>4</v>
      </c>
      <c r="P318">
        <f t="shared" si="69"/>
        <v>3</v>
      </c>
      <c r="Q318">
        <f t="shared" si="70"/>
        <v>2</v>
      </c>
      <c r="R318">
        <f t="shared" si="71"/>
        <v>2</v>
      </c>
      <c r="S318">
        <f t="shared" si="72"/>
        <v>0</v>
      </c>
      <c r="T318">
        <f t="shared" si="73"/>
        <v>0</v>
      </c>
      <c r="V318" t="str">
        <f t="shared" si="64"/>
        <v>3-2-2-0-0</v>
      </c>
      <c r="X318">
        <f t="shared" si="75"/>
        <v>36</v>
      </c>
      <c r="Y318">
        <f t="shared" si="75"/>
        <v>1</v>
      </c>
      <c r="Z318">
        <f t="shared" si="75"/>
        <v>36</v>
      </c>
      <c r="AA318">
        <f t="shared" si="75"/>
        <v>84</v>
      </c>
      <c r="AB318">
        <f t="shared" si="75"/>
        <v>1</v>
      </c>
      <c r="AC318" s="4">
        <f t="shared" si="74"/>
        <v>108864</v>
      </c>
    </row>
    <row r="319" spans="1:29" x14ac:dyDescent="0.25">
      <c r="A319">
        <v>0</v>
      </c>
      <c r="B319">
        <v>2</v>
      </c>
      <c r="C319">
        <v>0</v>
      </c>
      <c r="D319">
        <v>3</v>
      </c>
      <c r="E319">
        <v>0</v>
      </c>
      <c r="F319">
        <v>2</v>
      </c>
      <c r="H319" t="str">
        <f t="shared" si="61"/>
        <v>2-0-3-0-2</v>
      </c>
      <c r="I319">
        <f t="shared" si="66"/>
        <v>0</v>
      </c>
      <c r="J319">
        <f t="shared" si="62"/>
        <v>198</v>
      </c>
      <c r="K319">
        <f t="shared" si="63"/>
        <v>147</v>
      </c>
      <c r="M319">
        <f t="shared" si="67"/>
        <v>5</v>
      </c>
      <c r="N319">
        <f t="shared" si="68"/>
        <v>5</v>
      </c>
      <c r="P319">
        <f t="shared" si="69"/>
        <v>3</v>
      </c>
      <c r="Q319">
        <f t="shared" si="70"/>
        <v>2</v>
      </c>
      <c r="R319">
        <f t="shared" si="71"/>
        <v>2</v>
      </c>
      <c r="S319">
        <f t="shared" si="72"/>
        <v>0</v>
      </c>
      <c r="T319">
        <f t="shared" si="73"/>
        <v>0</v>
      </c>
      <c r="V319" t="str">
        <f t="shared" si="64"/>
        <v>3-2-2-0-0</v>
      </c>
      <c r="X319">
        <f t="shared" si="75"/>
        <v>36</v>
      </c>
      <c r="Y319">
        <f t="shared" si="75"/>
        <v>1</v>
      </c>
      <c r="Z319">
        <f t="shared" si="75"/>
        <v>84</v>
      </c>
      <c r="AA319">
        <f t="shared" si="75"/>
        <v>1</v>
      </c>
      <c r="AB319">
        <f t="shared" si="75"/>
        <v>36</v>
      </c>
      <c r="AC319" s="4">
        <f t="shared" si="74"/>
        <v>108864</v>
      </c>
    </row>
    <row r="320" spans="1:29" x14ac:dyDescent="0.25">
      <c r="A320">
        <v>1</v>
      </c>
      <c r="B320">
        <v>2</v>
      </c>
      <c r="C320">
        <v>0</v>
      </c>
      <c r="D320">
        <v>3</v>
      </c>
      <c r="E320">
        <v>2</v>
      </c>
      <c r="F320">
        <v>0</v>
      </c>
      <c r="H320" t="str">
        <f t="shared" si="61"/>
        <v>2-0-3-2-0</v>
      </c>
      <c r="I320">
        <f t="shared" si="66"/>
        <v>1</v>
      </c>
      <c r="J320">
        <f t="shared" si="62"/>
        <v>178</v>
      </c>
      <c r="K320">
        <f t="shared" si="63"/>
        <v>127</v>
      </c>
      <c r="M320">
        <f t="shared" si="67"/>
        <v>5</v>
      </c>
      <c r="N320">
        <f t="shared" si="68"/>
        <v>5</v>
      </c>
      <c r="P320">
        <f t="shared" si="69"/>
        <v>3</v>
      </c>
      <c r="Q320">
        <f t="shared" si="70"/>
        <v>2</v>
      </c>
      <c r="R320">
        <f t="shared" si="71"/>
        <v>2</v>
      </c>
      <c r="S320">
        <f t="shared" si="72"/>
        <v>0</v>
      </c>
      <c r="T320">
        <f t="shared" si="73"/>
        <v>0</v>
      </c>
      <c r="V320" t="str">
        <f t="shared" si="64"/>
        <v>3-2-2-0-0</v>
      </c>
      <c r="X320">
        <f t="shared" si="75"/>
        <v>36</v>
      </c>
      <c r="Y320">
        <f t="shared" si="75"/>
        <v>1</v>
      </c>
      <c r="Z320">
        <f t="shared" si="75"/>
        <v>84</v>
      </c>
      <c r="AA320">
        <f t="shared" si="75"/>
        <v>36</v>
      </c>
      <c r="AB320">
        <f t="shared" si="75"/>
        <v>1</v>
      </c>
      <c r="AC320" s="4">
        <f t="shared" si="74"/>
        <v>108864</v>
      </c>
    </row>
    <row r="321" spans="1:29" x14ac:dyDescent="0.25">
      <c r="A321">
        <v>0</v>
      </c>
      <c r="B321">
        <v>2</v>
      </c>
      <c r="C321">
        <v>2</v>
      </c>
      <c r="D321">
        <v>0</v>
      </c>
      <c r="E321">
        <v>0</v>
      </c>
      <c r="F321">
        <v>3</v>
      </c>
      <c r="H321" t="str">
        <f t="shared" si="61"/>
        <v>2-2-0-0-3</v>
      </c>
      <c r="I321">
        <f t="shared" si="66"/>
        <v>0</v>
      </c>
      <c r="J321">
        <f t="shared" si="62"/>
        <v>198</v>
      </c>
      <c r="K321">
        <f t="shared" si="63"/>
        <v>147</v>
      </c>
      <c r="M321">
        <f t="shared" si="67"/>
        <v>3</v>
      </c>
      <c r="N321">
        <f t="shared" si="68"/>
        <v>4</v>
      </c>
      <c r="P321">
        <f t="shared" si="69"/>
        <v>3</v>
      </c>
      <c r="Q321">
        <f t="shared" si="70"/>
        <v>2</v>
      </c>
      <c r="R321">
        <f t="shared" si="71"/>
        <v>2</v>
      </c>
      <c r="S321">
        <f t="shared" si="72"/>
        <v>0</v>
      </c>
      <c r="T321">
        <f t="shared" si="73"/>
        <v>0</v>
      </c>
      <c r="V321" t="str">
        <f t="shared" si="64"/>
        <v>3-2-2-0-0</v>
      </c>
      <c r="X321">
        <f t="shared" si="75"/>
        <v>36</v>
      </c>
      <c r="Y321">
        <f t="shared" si="75"/>
        <v>36</v>
      </c>
      <c r="Z321">
        <f t="shared" si="75"/>
        <v>1</v>
      </c>
      <c r="AA321">
        <f t="shared" si="75"/>
        <v>1</v>
      </c>
      <c r="AB321">
        <f t="shared" si="75"/>
        <v>84</v>
      </c>
      <c r="AC321" s="4">
        <f t="shared" si="74"/>
        <v>108864</v>
      </c>
    </row>
    <row r="322" spans="1:29" x14ac:dyDescent="0.25">
      <c r="A322">
        <v>0</v>
      </c>
      <c r="B322">
        <v>2</v>
      </c>
      <c r="C322">
        <v>2</v>
      </c>
      <c r="D322">
        <v>0</v>
      </c>
      <c r="E322">
        <v>3</v>
      </c>
      <c r="F322">
        <v>0</v>
      </c>
      <c r="H322" t="str">
        <f t="shared" si="61"/>
        <v>2-2-0-3-0</v>
      </c>
      <c r="I322">
        <f t="shared" si="66"/>
        <v>0</v>
      </c>
      <c r="J322">
        <f t="shared" si="62"/>
        <v>168</v>
      </c>
      <c r="K322">
        <f t="shared" si="63"/>
        <v>117</v>
      </c>
      <c r="M322">
        <f t="shared" si="67"/>
        <v>3</v>
      </c>
      <c r="N322">
        <f t="shared" si="68"/>
        <v>4</v>
      </c>
      <c r="P322">
        <f t="shared" si="69"/>
        <v>3</v>
      </c>
      <c r="Q322">
        <f t="shared" si="70"/>
        <v>2</v>
      </c>
      <c r="R322">
        <f t="shared" si="71"/>
        <v>2</v>
      </c>
      <c r="S322">
        <f t="shared" si="72"/>
        <v>0</v>
      </c>
      <c r="T322">
        <f t="shared" si="73"/>
        <v>0</v>
      </c>
      <c r="V322" t="str">
        <f t="shared" si="64"/>
        <v>3-2-2-0-0</v>
      </c>
      <c r="X322">
        <f t="shared" si="75"/>
        <v>36</v>
      </c>
      <c r="Y322">
        <f t="shared" si="75"/>
        <v>36</v>
      </c>
      <c r="Z322">
        <f t="shared" si="75"/>
        <v>1</v>
      </c>
      <c r="AA322">
        <f t="shared" si="75"/>
        <v>84</v>
      </c>
      <c r="AB322">
        <f t="shared" si="75"/>
        <v>1</v>
      </c>
      <c r="AC322" s="4">
        <f t="shared" si="74"/>
        <v>108864</v>
      </c>
    </row>
    <row r="323" spans="1:29" x14ac:dyDescent="0.25">
      <c r="A323">
        <v>2</v>
      </c>
      <c r="B323">
        <v>2</v>
      </c>
      <c r="C323">
        <v>2</v>
      </c>
      <c r="D323">
        <v>3</v>
      </c>
      <c r="E323">
        <v>0</v>
      </c>
      <c r="F323">
        <v>0</v>
      </c>
      <c r="H323" t="str">
        <f t="shared" ref="H323:H332" si="76">CONCATENATE(B323,"-",C323,"-",D323,"-",E323,"-",F323)</f>
        <v>2-2-3-0-0</v>
      </c>
      <c r="I323">
        <f t="shared" si="66"/>
        <v>2</v>
      </c>
      <c r="J323">
        <f t="shared" ref="J323:J332" si="77">((9*B323)-((B323-1)*(B323))/2)+((19*C323)-((C323-1)*(C323))/2)+((29*D323)-((D323-1)*(D323))/2)+((39*E323)-((E323-1)*(E323))/2)+((49*F323)-((F323-1)*(F323))/2)</f>
        <v>138</v>
      </c>
      <c r="K323">
        <f t="shared" ref="K323:K332" si="78">((1*B323)+((B323-1)*(B323))/2)+((10*C323)+((C323-1)*(C323))/2)+((20*D323)+((D323-1)*(D323))/2)+((30*E323)+((E323-1)*(E323))/2)+((40*F323)+((F323-1)*(F323))/2)</f>
        <v>87</v>
      </c>
      <c r="M323">
        <f t="shared" si="67"/>
        <v>3</v>
      </c>
      <c r="N323">
        <f t="shared" si="68"/>
        <v>7</v>
      </c>
      <c r="P323">
        <f t="shared" si="69"/>
        <v>3</v>
      </c>
      <c r="Q323">
        <f t="shared" si="70"/>
        <v>2</v>
      </c>
      <c r="R323">
        <f t="shared" si="71"/>
        <v>2</v>
      </c>
      <c r="S323">
        <f t="shared" si="72"/>
        <v>0</v>
      </c>
      <c r="T323">
        <f t="shared" si="73"/>
        <v>0</v>
      </c>
      <c r="V323" t="str">
        <f t="shared" ref="V323:V332" si="79">CONCATENATE(P323,"-",Q323,"-",R323,"-",S323,"-",T323)</f>
        <v>3-2-2-0-0</v>
      </c>
      <c r="X323">
        <f t="shared" si="75"/>
        <v>36</v>
      </c>
      <c r="Y323">
        <f t="shared" si="75"/>
        <v>36</v>
      </c>
      <c r="Z323">
        <f t="shared" si="75"/>
        <v>84</v>
      </c>
      <c r="AA323">
        <f t="shared" si="75"/>
        <v>1</v>
      </c>
      <c r="AB323">
        <f t="shared" si="75"/>
        <v>1</v>
      </c>
      <c r="AC323" s="4">
        <f t="shared" si="74"/>
        <v>108864</v>
      </c>
    </row>
    <row r="324" spans="1:29" x14ac:dyDescent="0.25">
      <c r="A324">
        <v>0</v>
      </c>
      <c r="B324">
        <v>2</v>
      </c>
      <c r="C324">
        <v>3</v>
      </c>
      <c r="D324">
        <v>0</v>
      </c>
      <c r="E324">
        <v>0</v>
      </c>
      <c r="F324">
        <v>2</v>
      </c>
      <c r="H324" t="str">
        <f t="shared" si="76"/>
        <v>2-3-0-0-2</v>
      </c>
      <c r="I324">
        <f t="shared" ref="I324:I332" si="80">A324</f>
        <v>0</v>
      </c>
      <c r="J324">
        <f t="shared" si="77"/>
        <v>168</v>
      </c>
      <c r="K324">
        <f t="shared" si="78"/>
        <v>117</v>
      </c>
      <c r="M324">
        <f t="shared" ref="M324:M332" si="81">D324+E324+F324</f>
        <v>2</v>
      </c>
      <c r="N324">
        <f t="shared" ref="N324:N332" si="82">B324+C324+D324</f>
        <v>5</v>
      </c>
      <c r="P324">
        <f t="shared" ref="P324:P332" si="83">LARGE($B324:$F324,1)</f>
        <v>3</v>
      </c>
      <c r="Q324">
        <f t="shared" ref="Q324:Q332" si="84">LARGE($B324:$F324,2)</f>
        <v>2</v>
      </c>
      <c r="R324">
        <f t="shared" ref="R324:R332" si="85">LARGE($B324:$F324,3)</f>
        <v>2</v>
      </c>
      <c r="S324">
        <f t="shared" ref="S324:S332" si="86">LARGE($B324:$F324,4)</f>
        <v>0</v>
      </c>
      <c r="T324">
        <f t="shared" ref="T324:T332" si="87">LARGE($B324:$F324,5)</f>
        <v>0</v>
      </c>
      <c r="V324" t="str">
        <f t="shared" si="79"/>
        <v>3-2-2-0-0</v>
      </c>
      <c r="X324">
        <f t="shared" si="75"/>
        <v>36</v>
      </c>
      <c r="Y324">
        <f t="shared" si="75"/>
        <v>84</v>
      </c>
      <c r="Z324">
        <f t="shared" si="75"/>
        <v>1</v>
      </c>
      <c r="AA324">
        <f t="shared" si="75"/>
        <v>1</v>
      </c>
      <c r="AB324">
        <f t="shared" si="75"/>
        <v>36</v>
      </c>
      <c r="AC324" s="4">
        <f t="shared" ref="AC324:AC332" si="88">X324*Y324*Z324*AA324*AB324</f>
        <v>108864</v>
      </c>
    </row>
    <row r="325" spans="1:29" x14ac:dyDescent="0.25">
      <c r="A325">
        <v>0</v>
      </c>
      <c r="B325">
        <v>2</v>
      </c>
      <c r="C325">
        <v>3</v>
      </c>
      <c r="D325">
        <v>0</v>
      </c>
      <c r="E325">
        <v>2</v>
      </c>
      <c r="F325">
        <v>0</v>
      </c>
      <c r="H325" t="str">
        <f t="shared" si="76"/>
        <v>2-3-0-2-0</v>
      </c>
      <c r="I325">
        <f t="shared" si="80"/>
        <v>0</v>
      </c>
      <c r="J325">
        <f t="shared" si="77"/>
        <v>148</v>
      </c>
      <c r="K325">
        <f t="shared" si="78"/>
        <v>97</v>
      </c>
      <c r="M325">
        <f t="shared" si="81"/>
        <v>2</v>
      </c>
      <c r="N325">
        <f t="shared" si="82"/>
        <v>5</v>
      </c>
      <c r="P325">
        <f t="shared" si="83"/>
        <v>3</v>
      </c>
      <c r="Q325">
        <f t="shared" si="84"/>
        <v>2</v>
      </c>
      <c r="R325">
        <f t="shared" si="85"/>
        <v>2</v>
      </c>
      <c r="S325">
        <f t="shared" si="86"/>
        <v>0</v>
      </c>
      <c r="T325">
        <f t="shared" si="87"/>
        <v>0</v>
      </c>
      <c r="V325" t="str">
        <f t="shared" si="79"/>
        <v>3-2-2-0-0</v>
      </c>
      <c r="X325">
        <f t="shared" si="75"/>
        <v>36</v>
      </c>
      <c r="Y325">
        <f t="shared" si="75"/>
        <v>84</v>
      </c>
      <c r="Z325">
        <f t="shared" si="75"/>
        <v>1</v>
      </c>
      <c r="AA325">
        <f t="shared" si="75"/>
        <v>36</v>
      </c>
      <c r="AB325">
        <f t="shared" si="75"/>
        <v>1</v>
      </c>
      <c r="AC325" s="4">
        <f t="shared" si="88"/>
        <v>108864</v>
      </c>
    </row>
    <row r="326" spans="1:29" x14ac:dyDescent="0.25">
      <c r="A326">
        <v>0</v>
      </c>
      <c r="B326">
        <v>2</v>
      </c>
      <c r="C326">
        <v>3</v>
      </c>
      <c r="D326">
        <v>2</v>
      </c>
      <c r="E326">
        <v>0</v>
      </c>
      <c r="F326">
        <v>0</v>
      </c>
      <c r="H326" t="str">
        <f t="shared" si="76"/>
        <v>2-3-2-0-0</v>
      </c>
      <c r="I326">
        <f t="shared" si="80"/>
        <v>0</v>
      </c>
      <c r="J326">
        <f t="shared" si="77"/>
        <v>128</v>
      </c>
      <c r="K326">
        <f t="shared" si="78"/>
        <v>77</v>
      </c>
      <c r="M326">
        <f t="shared" si="81"/>
        <v>2</v>
      </c>
      <c r="N326">
        <f t="shared" si="82"/>
        <v>7</v>
      </c>
      <c r="P326">
        <f t="shared" si="83"/>
        <v>3</v>
      </c>
      <c r="Q326">
        <f t="shared" si="84"/>
        <v>2</v>
      </c>
      <c r="R326">
        <f t="shared" si="85"/>
        <v>2</v>
      </c>
      <c r="S326">
        <f t="shared" si="86"/>
        <v>0</v>
      </c>
      <c r="T326">
        <f t="shared" si="87"/>
        <v>0</v>
      </c>
      <c r="V326" t="str">
        <f t="shared" si="79"/>
        <v>3-2-2-0-0</v>
      </c>
      <c r="X326">
        <f t="shared" si="75"/>
        <v>36</v>
      </c>
      <c r="Y326">
        <f t="shared" si="75"/>
        <v>84</v>
      </c>
      <c r="Z326">
        <f t="shared" si="75"/>
        <v>36</v>
      </c>
      <c r="AA326">
        <f t="shared" si="75"/>
        <v>1</v>
      </c>
      <c r="AB326">
        <f t="shared" si="75"/>
        <v>1</v>
      </c>
      <c r="AC326" s="4">
        <f t="shared" si="88"/>
        <v>108864</v>
      </c>
    </row>
    <row r="327" spans="1:29" x14ac:dyDescent="0.25">
      <c r="A327">
        <v>0</v>
      </c>
      <c r="B327">
        <v>3</v>
      </c>
      <c r="C327">
        <v>0</v>
      </c>
      <c r="D327">
        <v>0</v>
      </c>
      <c r="E327">
        <v>2</v>
      </c>
      <c r="F327">
        <v>2</v>
      </c>
      <c r="H327" t="str">
        <f t="shared" si="76"/>
        <v>3-0-0-2-2</v>
      </c>
      <c r="I327">
        <f t="shared" si="80"/>
        <v>0</v>
      </c>
      <c r="J327">
        <f t="shared" si="77"/>
        <v>198</v>
      </c>
      <c r="K327">
        <f t="shared" si="78"/>
        <v>148</v>
      </c>
      <c r="M327">
        <f t="shared" si="81"/>
        <v>4</v>
      </c>
      <c r="N327">
        <f t="shared" si="82"/>
        <v>3</v>
      </c>
      <c r="P327">
        <f t="shared" si="83"/>
        <v>3</v>
      </c>
      <c r="Q327">
        <f t="shared" si="84"/>
        <v>2</v>
      </c>
      <c r="R327">
        <f t="shared" si="85"/>
        <v>2</v>
      </c>
      <c r="S327">
        <f t="shared" si="86"/>
        <v>0</v>
      </c>
      <c r="T327">
        <f t="shared" si="87"/>
        <v>0</v>
      </c>
      <c r="V327" t="str">
        <f t="shared" si="79"/>
        <v>3-2-2-0-0</v>
      </c>
      <c r="X327">
        <f t="shared" si="75"/>
        <v>84</v>
      </c>
      <c r="Y327">
        <f t="shared" si="75"/>
        <v>1</v>
      </c>
      <c r="Z327">
        <f t="shared" si="75"/>
        <v>1</v>
      </c>
      <c r="AA327">
        <f t="shared" si="75"/>
        <v>36</v>
      </c>
      <c r="AB327">
        <f t="shared" si="75"/>
        <v>36</v>
      </c>
      <c r="AC327" s="4">
        <f t="shared" si="88"/>
        <v>108864</v>
      </c>
    </row>
    <row r="328" spans="1:29" x14ac:dyDescent="0.25">
      <c r="A328">
        <v>2</v>
      </c>
      <c r="B328">
        <v>3</v>
      </c>
      <c r="C328">
        <v>0</v>
      </c>
      <c r="D328">
        <v>2</v>
      </c>
      <c r="E328">
        <v>0</v>
      </c>
      <c r="F328">
        <v>2</v>
      </c>
      <c r="H328" t="str">
        <f t="shared" si="76"/>
        <v>3-0-2-0-2</v>
      </c>
      <c r="I328">
        <f t="shared" si="80"/>
        <v>2</v>
      </c>
      <c r="J328">
        <f t="shared" si="77"/>
        <v>178</v>
      </c>
      <c r="K328">
        <f t="shared" si="78"/>
        <v>128</v>
      </c>
      <c r="M328">
        <f t="shared" si="81"/>
        <v>4</v>
      </c>
      <c r="N328">
        <f t="shared" si="82"/>
        <v>5</v>
      </c>
      <c r="P328">
        <f t="shared" si="83"/>
        <v>3</v>
      </c>
      <c r="Q328">
        <f t="shared" si="84"/>
        <v>2</v>
      </c>
      <c r="R328">
        <f t="shared" si="85"/>
        <v>2</v>
      </c>
      <c r="S328">
        <f t="shared" si="86"/>
        <v>0</v>
      </c>
      <c r="T328">
        <f t="shared" si="87"/>
        <v>0</v>
      </c>
      <c r="V328" t="str">
        <f t="shared" si="79"/>
        <v>3-2-2-0-0</v>
      </c>
      <c r="X328">
        <f t="shared" si="75"/>
        <v>84</v>
      </c>
      <c r="Y328">
        <f t="shared" si="75"/>
        <v>1</v>
      </c>
      <c r="Z328">
        <f t="shared" si="75"/>
        <v>36</v>
      </c>
      <c r="AA328">
        <f t="shared" si="75"/>
        <v>1</v>
      </c>
      <c r="AB328">
        <f t="shared" si="75"/>
        <v>36</v>
      </c>
      <c r="AC328" s="4">
        <f t="shared" si="88"/>
        <v>108864</v>
      </c>
    </row>
    <row r="329" spans="1:29" x14ac:dyDescent="0.25">
      <c r="A329">
        <v>0</v>
      </c>
      <c r="B329">
        <v>3</v>
      </c>
      <c r="C329">
        <v>0</v>
      </c>
      <c r="D329">
        <v>2</v>
      </c>
      <c r="E329">
        <v>2</v>
      </c>
      <c r="F329">
        <v>0</v>
      </c>
      <c r="H329" t="str">
        <f t="shared" si="76"/>
        <v>3-0-2-2-0</v>
      </c>
      <c r="I329">
        <f t="shared" si="80"/>
        <v>0</v>
      </c>
      <c r="J329">
        <f t="shared" si="77"/>
        <v>158</v>
      </c>
      <c r="K329">
        <f t="shared" si="78"/>
        <v>108</v>
      </c>
      <c r="M329">
        <f t="shared" si="81"/>
        <v>4</v>
      </c>
      <c r="N329">
        <f t="shared" si="82"/>
        <v>5</v>
      </c>
      <c r="P329">
        <f t="shared" si="83"/>
        <v>3</v>
      </c>
      <c r="Q329">
        <f t="shared" si="84"/>
        <v>2</v>
      </c>
      <c r="R329">
        <f t="shared" si="85"/>
        <v>2</v>
      </c>
      <c r="S329">
        <f t="shared" si="86"/>
        <v>0</v>
      </c>
      <c r="T329">
        <f t="shared" si="87"/>
        <v>0</v>
      </c>
      <c r="V329" t="str">
        <f t="shared" si="79"/>
        <v>3-2-2-0-0</v>
      </c>
      <c r="X329">
        <f t="shared" si="75"/>
        <v>84</v>
      </c>
      <c r="Y329">
        <f t="shared" si="75"/>
        <v>1</v>
      </c>
      <c r="Z329">
        <f t="shared" si="75"/>
        <v>36</v>
      </c>
      <c r="AA329">
        <f t="shared" si="75"/>
        <v>36</v>
      </c>
      <c r="AB329">
        <f t="shared" si="75"/>
        <v>1</v>
      </c>
      <c r="AC329" s="4">
        <f t="shared" si="88"/>
        <v>108864</v>
      </c>
    </row>
    <row r="330" spans="1:29" x14ac:dyDescent="0.25">
      <c r="A330">
        <v>0</v>
      </c>
      <c r="B330">
        <v>3</v>
      </c>
      <c r="C330">
        <v>2</v>
      </c>
      <c r="D330">
        <v>0</v>
      </c>
      <c r="E330">
        <v>0</v>
      </c>
      <c r="F330">
        <v>2</v>
      </c>
      <c r="H330" t="str">
        <f t="shared" si="76"/>
        <v>3-2-0-0-2</v>
      </c>
      <c r="I330">
        <f t="shared" si="80"/>
        <v>0</v>
      </c>
      <c r="J330">
        <f t="shared" si="77"/>
        <v>158</v>
      </c>
      <c r="K330">
        <f t="shared" si="78"/>
        <v>108</v>
      </c>
      <c r="M330">
        <f t="shared" si="81"/>
        <v>2</v>
      </c>
      <c r="N330">
        <f t="shared" si="82"/>
        <v>5</v>
      </c>
      <c r="P330">
        <f t="shared" si="83"/>
        <v>3</v>
      </c>
      <c r="Q330">
        <f t="shared" si="84"/>
        <v>2</v>
      </c>
      <c r="R330">
        <f t="shared" si="85"/>
        <v>2</v>
      </c>
      <c r="S330">
        <f t="shared" si="86"/>
        <v>0</v>
      </c>
      <c r="T330">
        <f t="shared" si="87"/>
        <v>0</v>
      </c>
      <c r="V330" t="str">
        <f t="shared" si="79"/>
        <v>3-2-2-0-0</v>
      </c>
      <c r="X330">
        <f t="shared" si="75"/>
        <v>84</v>
      </c>
      <c r="Y330">
        <f t="shared" si="75"/>
        <v>36</v>
      </c>
      <c r="Z330">
        <f t="shared" si="75"/>
        <v>1</v>
      </c>
      <c r="AA330">
        <f t="shared" si="75"/>
        <v>1</v>
      </c>
      <c r="AB330">
        <f t="shared" si="75"/>
        <v>36</v>
      </c>
      <c r="AC330" s="4">
        <f t="shared" si="88"/>
        <v>108864</v>
      </c>
    </row>
    <row r="331" spans="1:29" x14ac:dyDescent="0.25">
      <c r="A331">
        <v>0</v>
      </c>
      <c r="B331">
        <v>3</v>
      </c>
      <c r="C331">
        <v>2</v>
      </c>
      <c r="D331">
        <v>0</v>
      </c>
      <c r="E331">
        <v>2</v>
      </c>
      <c r="F331">
        <v>0</v>
      </c>
      <c r="H331" t="str">
        <f t="shared" si="76"/>
        <v>3-2-0-2-0</v>
      </c>
      <c r="I331">
        <f t="shared" si="80"/>
        <v>0</v>
      </c>
      <c r="J331">
        <f t="shared" si="77"/>
        <v>138</v>
      </c>
      <c r="K331">
        <f t="shared" si="78"/>
        <v>88</v>
      </c>
      <c r="M331">
        <f t="shared" si="81"/>
        <v>2</v>
      </c>
      <c r="N331">
        <f t="shared" si="82"/>
        <v>5</v>
      </c>
      <c r="P331">
        <f t="shared" si="83"/>
        <v>3</v>
      </c>
      <c r="Q331">
        <f t="shared" si="84"/>
        <v>2</v>
      </c>
      <c r="R331">
        <f t="shared" si="85"/>
        <v>2</v>
      </c>
      <c r="S331">
        <f t="shared" si="86"/>
        <v>0</v>
      </c>
      <c r="T331">
        <f t="shared" si="87"/>
        <v>0</v>
      </c>
      <c r="V331" t="str">
        <f t="shared" si="79"/>
        <v>3-2-2-0-0</v>
      </c>
      <c r="X331">
        <f t="shared" si="75"/>
        <v>84</v>
      </c>
      <c r="Y331">
        <f t="shared" si="75"/>
        <v>36</v>
      </c>
      <c r="Z331">
        <f t="shared" si="75"/>
        <v>1</v>
      </c>
      <c r="AA331">
        <f t="shared" si="75"/>
        <v>36</v>
      </c>
      <c r="AB331">
        <f t="shared" si="75"/>
        <v>1</v>
      </c>
      <c r="AC331" s="4">
        <f t="shared" si="88"/>
        <v>108864</v>
      </c>
    </row>
    <row r="332" spans="1:29" x14ac:dyDescent="0.25">
      <c r="A332">
        <v>0</v>
      </c>
      <c r="B332">
        <v>3</v>
      </c>
      <c r="C332">
        <v>2</v>
      </c>
      <c r="D332">
        <v>2</v>
      </c>
      <c r="E332">
        <v>0</v>
      </c>
      <c r="F332">
        <v>0</v>
      </c>
      <c r="H332" t="str">
        <f t="shared" si="76"/>
        <v>3-2-2-0-0</v>
      </c>
      <c r="I332">
        <f t="shared" si="80"/>
        <v>0</v>
      </c>
      <c r="J332">
        <f t="shared" si="77"/>
        <v>118</v>
      </c>
      <c r="K332">
        <f t="shared" si="78"/>
        <v>68</v>
      </c>
      <c r="M332">
        <f t="shared" si="81"/>
        <v>2</v>
      </c>
      <c r="N332">
        <f t="shared" si="82"/>
        <v>7</v>
      </c>
      <c r="P332">
        <f t="shared" si="83"/>
        <v>3</v>
      </c>
      <c r="Q332">
        <f t="shared" si="84"/>
        <v>2</v>
      </c>
      <c r="R332">
        <f t="shared" si="85"/>
        <v>2</v>
      </c>
      <c r="S332">
        <f t="shared" si="86"/>
        <v>0</v>
      </c>
      <c r="T332">
        <f t="shared" si="87"/>
        <v>0</v>
      </c>
      <c r="V332" t="str">
        <f t="shared" si="79"/>
        <v>3-2-2-0-0</v>
      </c>
      <c r="X332">
        <f t="shared" si="75"/>
        <v>84</v>
      </c>
      <c r="Y332">
        <f t="shared" si="75"/>
        <v>36</v>
      </c>
      <c r="Z332">
        <f t="shared" si="75"/>
        <v>36</v>
      </c>
      <c r="AA332">
        <f t="shared" si="75"/>
        <v>1</v>
      </c>
      <c r="AB332">
        <f t="shared" si="75"/>
        <v>1</v>
      </c>
      <c r="AC332" s="4">
        <f t="shared" si="88"/>
        <v>108864</v>
      </c>
    </row>
  </sheetData>
  <mergeCells count="1">
    <mergeCell ref="I1:K1"/>
  </mergeCells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Paste_Here</vt:lpstr>
      <vt:lpstr>Main</vt:lpstr>
      <vt:lpstr>Followup</vt:lpstr>
      <vt:lpstr>Cycle</vt:lpstr>
      <vt:lpstr>Permutations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remy lim</dc:creator>
  <cp:lastModifiedBy>remy lim</cp:lastModifiedBy>
  <dcterms:created xsi:type="dcterms:W3CDTF">2017-04-21T09:29:19Z</dcterms:created>
  <dcterms:modified xsi:type="dcterms:W3CDTF">2017-06-16T11:53:02Z</dcterms:modified>
</cp:coreProperties>
</file>