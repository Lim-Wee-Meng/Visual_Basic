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20490" windowHeight="8910"/>
  </bookViews>
  <sheets>
    <sheet name="Main" sheetId="1" r:id="rId1"/>
    <sheet name="Database" sheetId="2" state="hidden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2" l="1"/>
  <c r="A96" i="2" l="1"/>
  <c r="A97" i="2" s="1"/>
  <c r="A98" i="2" s="1"/>
  <c r="A99" i="2" s="1"/>
  <c r="A6" i="2"/>
  <c r="A50" i="2"/>
  <c r="B3" i="2"/>
  <c r="A3" i="2"/>
  <c r="B4" i="2" l="1"/>
</calcChain>
</file>

<file path=xl/sharedStrings.xml><?xml version="1.0" encoding="utf-8"?>
<sst xmlns="http://schemas.openxmlformats.org/spreadsheetml/2006/main" count="7" uniqueCount="7">
  <si>
    <t>SCORE</t>
  </si>
  <si>
    <t>HI-SCORE</t>
  </si>
  <si>
    <t>GhBL</t>
  </si>
  <si>
    <t>GhRL</t>
  </si>
  <si>
    <t>GhPL</t>
  </si>
  <si>
    <t>GhGL</t>
  </si>
  <si>
    <t>Pacman Programmed By Remy Lim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</si>
</sst>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_(* #,##0_);_(* \(#,##0\);_(* &quot;-&quot;??_);_(@_)"/>
    <numFmt numFmtId="165" formatCode="mm:ss.0;@"/>
    <numFmt numFmtId="166" formatCode="[h]:mm:ss;@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DigifaceWide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164" fontId="2" fillId="2" borderId="1" xfId="1" applyNumberFormat="1" applyFont="1" applyFill="1" applyBorder="1" applyAlignment="1">
      <alignment horizontal="center" vertical="center"/>
    </xf>
    <xf numFmtId="164" fontId="2" fillId="2" borderId="2" xfId="1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/>
    </xf>
    <xf numFmtId="0" fontId="0" fillId="3" borderId="0" xfId="0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5B9BD5"/>
      <color rgb="FF21C5FF"/>
      <color rgb="FFCC0099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87840</xdr:colOff>
      <xdr:row>24</xdr:row>
      <xdr:rowOff>128058</xdr:rowOff>
    </xdr:from>
    <xdr:to>
      <xdr:col>16</xdr:col>
      <xdr:colOff>402166</xdr:colOff>
      <xdr:row>27</xdr:row>
      <xdr:rowOff>116416</xdr:rowOff>
    </xdr:to>
    <xdr:sp macro="[0]!Start" textlink="">
      <xdr:nvSpPr>
        <xdr:cNvPr id="3" name="Rounded Rectangle 2"/>
        <xdr:cNvSpPr/>
      </xdr:nvSpPr>
      <xdr:spPr>
        <a:xfrm>
          <a:off x="7178673" y="4742391"/>
          <a:ext cx="2769660" cy="559858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START</a:t>
          </a:r>
        </a:p>
      </xdr:txBody>
    </xdr:sp>
    <xdr:clientData/>
  </xdr:twoCellAnchor>
  <xdr:twoCellAnchor editAs="oneCell">
    <xdr:from>
      <xdr:col>12</xdr:col>
      <xdr:colOff>84666</xdr:colOff>
      <xdr:row>0</xdr:row>
      <xdr:rowOff>0</xdr:rowOff>
    </xdr:from>
    <xdr:to>
      <xdr:col>16</xdr:col>
      <xdr:colOff>493458</xdr:colOff>
      <xdr:row>8</xdr:row>
      <xdr:rowOff>95251</xdr:rowOff>
    </xdr:to>
    <xdr:pic>
      <xdr:nvPicPr>
        <xdr:cNvPr id="13" name="Picture 12" descr="Image result for pacman gam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75499" y="0"/>
          <a:ext cx="2864126" cy="16192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452438</xdr:colOff>
      <xdr:row>4</xdr:row>
      <xdr:rowOff>95250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28688" cy="857250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15</xdr:col>
      <xdr:colOff>178371</xdr:colOff>
      <xdr:row>16</xdr:row>
      <xdr:rowOff>73040</xdr:rowOff>
    </xdr:from>
    <xdr:to>
      <xdr:col>16</xdr:col>
      <xdr:colOff>480482</xdr:colOff>
      <xdr:row>20</xdr:row>
      <xdr:rowOff>45689</xdr:rowOff>
    </xdr:to>
    <xdr:sp macro="[0]!Right_Click" textlink="">
      <xdr:nvSpPr>
        <xdr:cNvPr id="5964" name="Right Arrow 5963"/>
        <xdr:cNvSpPr/>
      </xdr:nvSpPr>
      <xdr:spPr>
        <a:xfrm>
          <a:off x="9110704" y="3163373"/>
          <a:ext cx="915945" cy="734649"/>
        </a:xfrm>
        <a:prstGeom prst="rightArrow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84664</xdr:colOff>
      <xdr:row>16</xdr:row>
      <xdr:rowOff>73040</xdr:rowOff>
    </xdr:from>
    <xdr:to>
      <xdr:col>14</xdr:col>
      <xdr:colOff>386777</xdr:colOff>
      <xdr:row>20</xdr:row>
      <xdr:rowOff>45689</xdr:rowOff>
    </xdr:to>
    <xdr:sp macro="[0]!Left_Click" textlink="">
      <xdr:nvSpPr>
        <xdr:cNvPr id="5965" name="Left Arrow 5964"/>
        <xdr:cNvSpPr/>
      </xdr:nvSpPr>
      <xdr:spPr>
        <a:xfrm>
          <a:off x="7789331" y="3163373"/>
          <a:ext cx="915946" cy="734649"/>
        </a:xfrm>
        <a:prstGeom prst="leftArrow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231298</xdr:colOff>
      <xdr:row>12</xdr:row>
      <xdr:rowOff>95248</xdr:rowOff>
    </xdr:from>
    <xdr:to>
      <xdr:col>15</xdr:col>
      <xdr:colOff>351916</xdr:colOff>
      <xdr:row>17</xdr:row>
      <xdr:rowOff>51534</xdr:rowOff>
    </xdr:to>
    <xdr:sp macro="[0]!Up_Click" textlink="">
      <xdr:nvSpPr>
        <xdr:cNvPr id="5966" name="Up Arrow 5965"/>
        <xdr:cNvSpPr/>
      </xdr:nvSpPr>
      <xdr:spPr>
        <a:xfrm>
          <a:off x="8549798" y="2412998"/>
          <a:ext cx="734451" cy="919369"/>
        </a:xfrm>
        <a:prstGeom prst="upArrow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231298</xdr:colOff>
      <xdr:row>19</xdr:row>
      <xdr:rowOff>70170</xdr:rowOff>
    </xdr:from>
    <xdr:to>
      <xdr:col>15</xdr:col>
      <xdr:colOff>351916</xdr:colOff>
      <xdr:row>24</xdr:row>
      <xdr:rowOff>35981</xdr:rowOff>
    </xdr:to>
    <xdr:sp macro="[0]!Down_Click" textlink="">
      <xdr:nvSpPr>
        <xdr:cNvPr id="5967" name="Down Arrow 5966"/>
        <xdr:cNvSpPr/>
      </xdr:nvSpPr>
      <xdr:spPr>
        <a:xfrm>
          <a:off x="8549798" y="3732003"/>
          <a:ext cx="734451" cy="918311"/>
        </a:xfrm>
        <a:prstGeom prst="downArrow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42333</xdr:colOff>
      <xdr:row>25</xdr:row>
      <xdr:rowOff>52917</xdr:rowOff>
    </xdr:from>
    <xdr:to>
      <xdr:col>1</xdr:col>
      <xdr:colOff>402167</xdr:colOff>
      <xdr:row>27</xdr:row>
      <xdr:rowOff>105834</xdr:rowOff>
    </xdr:to>
    <xdr:sp macro="[0]!_xludf.Halt" textlink="">
      <xdr:nvSpPr>
        <xdr:cNvPr id="4" name="Rounded Rectangle 3"/>
        <xdr:cNvSpPr/>
      </xdr:nvSpPr>
      <xdr:spPr>
        <a:xfrm>
          <a:off x="42333" y="4857750"/>
          <a:ext cx="973667" cy="433917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Stop</a:t>
          </a:r>
        </a:p>
      </xdr:txBody>
    </xdr:sp>
    <xdr:clientData/>
  </xdr:twoCellAnchor>
  <xdr:twoCellAnchor>
    <xdr:from>
      <xdr:col>2</xdr:col>
      <xdr:colOff>508000</xdr:colOff>
      <xdr:row>2</xdr:row>
      <xdr:rowOff>0</xdr:rowOff>
    </xdr:from>
    <xdr:to>
      <xdr:col>2</xdr:col>
      <xdr:colOff>546100</xdr:colOff>
      <xdr:row>2</xdr:row>
      <xdr:rowOff>38100</xdr:rowOff>
    </xdr:to>
    <xdr:sp macro="" textlink="">
      <xdr:nvSpPr>
        <xdr:cNvPr id="7622" name="Dot10015"/>
        <xdr:cNvSpPr/>
      </xdr:nvSpPr>
      <xdr:spPr>
        <a:xfrm>
          <a:off x="1460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508000</xdr:colOff>
      <xdr:row>2</xdr:row>
      <xdr:rowOff>127000</xdr:rowOff>
    </xdr:from>
    <xdr:to>
      <xdr:col>2</xdr:col>
      <xdr:colOff>546100</xdr:colOff>
      <xdr:row>2</xdr:row>
      <xdr:rowOff>165100</xdr:rowOff>
    </xdr:to>
    <xdr:sp macro="" textlink="">
      <xdr:nvSpPr>
        <xdr:cNvPr id="7623" name="Dot10025"/>
        <xdr:cNvSpPr/>
      </xdr:nvSpPr>
      <xdr:spPr>
        <a:xfrm>
          <a:off x="1460500" y="508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508000</xdr:colOff>
      <xdr:row>3</xdr:row>
      <xdr:rowOff>63500</xdr:rowOff>
    </xdr:from>
    <xdr:to>
      <xdr:col>3</xdr:col>
      <xdr:colOff>0</xdr:colOff>
      <xdr:row>3</xdr:row>
      <xdr:rowOff>165100</xdr:rowOff>
    </xdr:to>
    <xdr:sp macro="" textlink="">
      <xdr:nvSpPr>
        <xdr:cNvPr id="7624" name="Dot10035"/>
        <xdr:cNvSpPr/>
      </xdr:nvSpPr>
      <xdr:spPr>
        <a:xfrm>
          <a:off x="1460500" y="635000"/>
          <a:ext cx="101600" cy="1016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508000</xdr:colOff>
      <xdr:row>4</xdr:row>
      <xdr:rowOff>0</xdr:rowOff>
    </xdr:from>
    <xdr:to>
      <xdr:col>2</xdr:col>
      <xdr:colOff>546100</xdr:colOff>
      <xdr:row>4</xdr:row>
      <xdr:rowOff>38100</xdr:rowOff>
    </xdr:to>
    <xdr:sp macro="" textlink="">
      <xdr:nvSpPr>
        <xdr:cNvPr id="7625" name="Dot10045"/>
        <xdr:cNvSpPr/>
      </xdr:nvSpPr>
      <xdr:spPr>
        <a:xfrm>
          <a:off x="1460500" y="76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508000</xdr:colOff>
      <xdr:row>4</xdr:row>
      <xdr:rowOff>127000</xdr:rowOff>
    </xdr:from>
    <xdr:to>
      <xdr:col>2</xdr:col>
      <xdr:colOff>546100</xdr:colOff>
      <xdr:row>4</xdr:row>
      <xdr:rowOff>165100</xdr:rowOff>
    </xdr:to>
    <xdr:sp macro="" textlink="">
      <xdr:nvSpPr>
        <xdr:cNvPr id="7626" name="Dot10055"/>
        <xdr:cNvSpPr/>
      </xdr:nvSpPr>
      <xdr:spPr>
        <a:xfrm>
          <a:off x="1460500" y="88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508000</xdr:colOff>
      <xdr:row>5</xdr:row>
      <xdr:rowOff>63500</xdr:rowOff>
    </xdr:from>
    <xdr:to>
      <xdr:col>2</xdr:col>
      <xdr:colOff>546100</xdr:colOff>
      <xdr:row>5</xdr:row>
      <xdr:rowOff>101600</xdr:rowOff>
    </xdr:to>
    <xdr:sp macro="" textlink="">
      <xdr:nvSpPr>
        <xdr:cNvPr id="7627" name="Dot10065"/>
        <xdr:cNvSpPr/>
      </xdr:nvSpPr>
      <xdr:spPr>
        <a:xfrm>
          <a:off x="1460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508000</xdr:colOff>
      <xdr:row>6</xdr:row>
      <xdr:rowOff>0</xdr:rowOff>
    </xdr:from>
    <xdr:to>
      <xdr:col>2</xdr:col>
      <xdr:colOff>546100</xdr:colOff>
      <xdr:row>6</xdr:row>
      <xdr:rowOff>38100</xdr:rowOff>
    </xdr:to>
    <xdr:sp macro="" textlink="">
      <xdr:nvSpPr>
        <xdr:cNvPr id="7628" name="Dot10075"/>
        <xdr:cNvSpPr/>
      </xdr:nvSpPr>
      <xdr:spPr>
        <a:xfrm>
          <a:off x="1460500" y="114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508000</xdr:colOff>
      <xdr:row>6</xdr:row>
      <xdr:rowOff>127000</xdr:rowOff>
    </xdr:from>
    <xdr:to>
      <xdr:col>2</xdr:col>
      <xdr:colOff>546100</xdr:colOff>
      <xdr:row>6</xdr:row>
      <xdr:rowOff>165100</xdr:rowOff>
    </xdr:to>
    <xdr:sp macro="" textlink="">
      <xdr:nvSpPr>
        <xdr:cNvPr id="7629" name="Dot10085"/>
        <xdr:cNvSpPr/>
      </xdr:nvSpPr>
      <xdr:spPr>
        <a:xfrm>
          <a:off x="1460500" y="1270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508000</xdr:colOff>
      <xdr:row>7</xdr:row>
      <xdr:rowOff>63500</xdr:rowOff>
    </xdr:from>
    <xdr:to>
      <xdr:col>2</xdr:col>
      <xdr:colOff>546100</xdr:colOff>
      <xdr:row>7</xdr:row>
      <xdr:rowOff>101600</xdr:rowOff>
    </xdr:to>
    <xdr:sp macro="" textlink="">
      <xdr:nvSpPr>
        <xdr:cNvPr id="7630" name="Dot10095"/>
        <xdr:cNvSpPr/>
      </xdr:nvSpPr>
      <xdr:spPr>
        <a:xfrm>
          <a:off x="1460500" y="139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508000</xdr:colOff>
      <xdr:row>8</xdr:row>
      <xdr:rowOff>0</xdr:rowOff>
    </xdr:from>
    <xdr:to>
      <xdr:col>2</xdr:col>
      <xdr:colOff>546100</xdr:colOff>
      <xdr:row>8</xdr:row>
      <xdr:rowOff>38100</xdr:rowOff>
    </xdr:to>
    <xdr:sp macro="" textlink="">
      <xdr:nvSpPr>
        <xdr:cNvPr id="7631" name="Dot100105"/>
        <xdr:cNvSpPr/>
      </xdr:nvSpPr>
      <xdr:spPr>
        <a:xfrm>
          <a:off x="1460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508000</xdr:colOff>
      <xdr:row>17</xdr:row>
      <xdr:rowOff>152400</xdr:rowOff>
    </xdr:from>
    <xdr:to>
      <xdr:col>2</xdr:col>
      <xdr:colOff>546100</xdr:colOff>
      <xdr:row>18</xdr:row>
      <xdr:rowOff>0</xdr:rowOff>
    </xdr:to>
    <xdr:sp macro="" textlink="">
      <xdr:nvSpPr>
        <xdr:cNvPr id="7632" name="Dot100255"/>
        <xdr:cNvSpPr/>
      </xdr:nvSpPr>
      <xdr:spPr>
        <a:xfrm>
          <a:off x="1460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508000</xdr:colOff>
      <xdr:row>18</xdr:row>
      <xdr:rowOff>88900</xdr:rowOff>
    </xdr:from>
    <xdr:to>
      <xdr:col>2</xdr:col>
      <xdr:colOff>546100</xdr:colOff>
      <xdr:row>18</xdr:row>
      <xdr:rowOff>127000</xdr:rowOff>
    </xdr:to>
    <xdr:sp macro="" textlink="">
      <xdr:nvSpPr>
        <xdr:cNvPr id="7633" name="Dot100265"/>
        <xdr:cNvSpPr/>
      </xdr:nvSpPr>
      <xdr:spPr>
        <a:xfrm>
          <a:off x="1460500" y="355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508000</xdr:colOff>
      <xdr:row>19</xdr:row>
      <xdr:rowOff>25400</xdr:rowOff>
    </xdr:from>
    <xdr:to>
      <xdr:col>3</xdr:col>
      <xdr:colOff>0</xdr:colOff>
      <xdr:row>19</xdr:row>
      <xdr:rowOff>127000</xdr:rowOff>
    </xdr:to>
    <xdr:sp macro="" textlink="">
      <xdr:nvSpPr>
        <xdr:cNvPr id="7634" name="Dot100275"/>
        <xdr:cNvSpPr/>
      </xdr:nvSpPr>
      <xdr:spPr>
        <a:xfrm>
          <a:off x="1460500" y="3683000"/>
          <a:ext cx="101600" cy="1016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508000</xdr:colOff>
      <xdr:row>19</xdr:row>
      <xdr:rowOff>152400</xdr:rowOff>
    </xdr:from>
    <xdr:to>
      <xdr:col>2</xdr:col>
      <xdr:colOff>546100</xdr:colOff>
      <xdr:row>20</xdr:row>
      <xdr:rowOff>0</xdr:rowOff>
    </xdr:to>
    <xdr:sp macro="" textlink="">
      <xdr:nvSpPr>
        <xdr:cNvPr id="7635" name="Dot100285"/>
        <xdr:cNvSpPr/>
      </xdr:nvSpPr>
      <xdr:spPr>
        <a:xfrm>
          <a:off x="1460500" y="3810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508000</xdr:colOff>
      <xdr:row>20</xdr:row>
      <xdr:rowOff>88900</xdr:rowOff>
    </xdr:from>
    <xdr:to>
      <xdr:col>2</xdr:col>
      <xdr:colOff>546100</xdr:colOff>
      <xdr:row>20</xdr:row>
      <xdr:rowOff>127000</xdr:rowOff>
    </xdr:to>
    <xdr:sp macro="" textlink="">
      <xdr:nvSpPr>
        <xdr:cNvPr id="7636" name="Dot100295"/>
        <xdr:cNvSpPr/>
      </xdr:nvSpPr>
      <xdr:spPr>
        <a:xfrm>
          <a:off x="1460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508000</xdr:colOff>
      <xdr:row>23</xdr:row>
      <xdr:rowOff>25400</xdr:rowOff>
    </xdr:from>
    <xdr:to>
      <xdr:col>2</xdr:col>
      <xdr:colOff>546100</xdr:colOff>
      <xdr:row>23</xdr:row>
      <xdr:rowOff>63500</xdr:rowOff>
    </xdr:to>
    <xdr:sp macro="" textlink="">
      <xdr:nvSpPr>
        <xdr:cNvPr id="7637" name="Dot100335"/>
        <xdr:cNvSpPr/>
      </xdr:nvSpPr>
      <xdr:spPr>
        <a:xfrm>
          <a:off x="1460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508000</xdr:colOff>
      <xdr:row>23</xdr:row>
      <xdr:rowOff>152400</xdr:rowOff>
    </xdr:from>
    <xdr:to>
      <xdr:col>2</xdr:col>
      <xdr:colOff>546100</xdr:colOff>
      <xdr:row>24</xdr:row>
      <xdr:rowOff>0</xdr:rowOff>
    </xdr:to>
    <xdr:sp macro="" textlink="">
      <xdr:nvSpPr>
        <xdr:cNvPr id="7638" name="Dot100345"/>
        <xdr:cNvSpPr/>
      </xdr:nvSpPr>
      <xdr:spPr>
        <a:xfrm>
          <a:off x="1460500" y="457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508000</xdr:colOff>
      <xdr:row>24</xdr:row>
      <xdr:rowOff>88900</xdr:rowOff>
    </xdr:from>
    <xdr:to>
      <xdr:col>2</xdr:col>
      <xdr:colOff>546100</xdr:colOff>
      <xdr:row>24</xdr:row>
      <xdr:rowOff>127000</xdr:rowOff>
    </xdr:to>
    <xdr:sp macro="" textlink="">
      <xdr:nvSpPr>
        <xdr:cNvPr id="7639" name="Dot100355"/>
        <xdr:cNvSpPr/>
      </xdr:nvSpPr>
      <xdr:spPr>
        <a:xfrm>
          <a:off x="1460500" y="469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508000</xdr:colOff>
      <xdr:row>25</xdr:row>
      <xdr:rowOff>25400</xdr:rowOff>
    </xdr:from>
    <xdr:to>
      <xdr:col>2</xdr:col>
      <xdr:colOff>546100</xdr:colOff>
      <xdr:row>25</xdr:row>
      <xdr:rowOff>63500</xdr:rowOff>
    </xdr:to>
    <xdr:sp macro="" textlink="">
      <xdr:nvSpPr>
        <xdr:cNvPr id="7640" name="Dot100365"/>
        <xdr:cNvSpPr/>
      </xdr:nvSpPr>
      <xdr:spPr>
        <a:xfrm>
          <a:off x="1460500" y="482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508000</xdr:colOff>
      <xdr:row>25</xdr:row>
      <xdr:rowOff>152400</xdr:rowOff>
    </xdr:from>
    <xdr:to>
      <xdr:col>2</xdr:col>
      <xdr:colOff>546100</xdr:colOff>
      <xdr:row>26</xdr:row>
      <xdr:rowOff>0</xdr:rowOff>
    </xdr:to>
    <xdr:sp macro="" textlink="">
      <xdr:nvSpPr>
        <xdr:cNvPr id="7641" name="Dot100375"/>
        <xdr:cNvSpPr/>
      </xdr:nvSpPr>
      <xdr:spPr>
        <a:xfrm>
          <a:off x="1460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25400</xdr:colOff>
      <xdr:row>2</xdr:row>
      <xdr:rowOff>0</xdr:rowOff>
    </xdr:from>
    <xdr:to>
      <xdr:col>3</xdr:col>
      <xdr:colOff>63500</xdr:colOff>
      <xdr:row>2</xdr:row>
      <xdr:rowOff>38100</xdr:rowOff>
    </xdr:to>
    <xdr:sp macro="" textlink="">
      <xdr:nvSpPr>
        <xdr:cNvPr id="7642" name="Dot11015"/>
        <xdr:cNvSpPr/>
      </xdr:nvSpPr>
      <xdr:spPr>
        <a:xfrm>
          <a:off x="1587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25400</xdr:colOff>
      <xdr:row>5</xdr:row>
      <xdr:rowOff>63500</xdr:rowOff>
    </xdr:from>
    <xdr:to>
      <xdr:col>3</xdr:col>
      <xdr:colOff>63500</xdr:colOff>
      <xdr:row>5</xdr:row>
      <xdr:rowOff>101600</xdr:rowOff>
    </xdr:to>
    <xdr:sp macro="" textlink="">
      <xdr:nvSpPr>
        <xdr:cNvPr id="7643" name="Dot11065"/>
        <xdr:cNvSpPr/>
      </xdr:nvSpPr>
      <xdr:spPr>
        <a:xfrm>
          <a:off x="1587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25400</xdr:colOff>
      <xdr:row>8</xdr:row>
      <xdr:rowOff>0</xdr:rowOff>
    </xdr:from>
    <xdr:to>
      <xdr:col>3</xdr:col>
      <xdr:colOff>63500</xdr:colOff>
      <xdr:row>8</xdr:row>
      <xdr:rowOff>38100</xdr:rowOff>
    </xdr:to>
    <xdr:sp macro="" textlink="">
      <xdr:nvSpPr>
        <xdr:cNvPr id="7644" name="Dot110105"/>
        <xdr:cNvSpPr/>
      </xdr:nvSpPr>
      <xdr:spPr>
        <a:xfrm>
          <a:off x="1587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25400</xdr:colOff>
      <xdr:row>17</xdr:row>
      <xdr:rowOff>152400</xdr:rowOff>
    </xdr:from>
    <xdr:to>
      <xdr:col>3</xdr:col>
      <xdr:colOff>63500</xdr:colOff>
      <xdr:row>18</xdr:row>
      <xdr:rowOff>0</xdr:rowOff>
    </xdr:to>
    <xdr:sp macro="" textlink="">
      <xdr:nvSpPr>
        <xdr:cNvPr id="7645" name="Dot110255"/>
        <xdr:cNvSpPr/>
      </xdr:nvSpPr>
      <xdr:spPr>
        <a:xfrm>
          <a:off x="1587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25400</xdr:colOff>
      <xdr:row>20</xdr:row>
      <xdr:rowOff>88900</xdr:rowOff>
    </xdr:from>
    <xdr:to>
      <xdr:col>3</xdr:col>
      <xdr:colOff>63500</xdr:colOff>
      <xdr:row>20</xdr:row>
      <xdr:rowOff>127000</xdr:rowOff>
    </xdr:to>
    <xdr:sp macro="" textlink="">
      <xdr:nvSpPr>
        <xdr:cNvPr id="7646" name="Dot110295"/>
        <xdr:cNvSpPr/>
      </xdr:nvSpPr>
      <xdr:spPr>
        <a:xfrm>
          <a:off x="1587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25400</xdr:colOff>
      <xdr:row>23</xdr:row>
      <xdr:rowOff>25400</xdr:rowOff>
    </xdr:from>
    <xdr:to>
      <xdr:col>3</xdr:col>
      <xdr:colOff>63500</xdr:colOff>
      <xdr:row>23</xdr:row>
      <xdr:rowOff>63500</xdr:rowOff>
    </xdr:to>
    <xdr:sp macro="" textlink="">
      <xdr:nvSpPr>
        <xdr:cNvPr id="7647" name="Dot110335"/>
        <xdr:cNvSpPr/>
      </xdr:nvSpPr>
      <xdr:spPr>
        <a:xfrm>
          <a:off x="1587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25400</xdr:colOff>
      <xdr:row>25</xdr:row>
      <xdr:rowOff>152400</xdr:rowOff>
    </xdr:from>
    <xdr:to>
      <xdr:col>3</xdr:col>
      <xdr:colOff>63500</xdr:colOff>
      <xdr:row>26</xdr:row>
      <xdr:rowOff>0</xdr:rowOff>
    </xdr:to>
    <xdr:sp macro="" textlink="">
      <xdr:nvSpPr>
        <xdr:cNvPr id="7648" name="Dot110375"/>
        <xdr:cNvSpPr/>
      </xdr:nvSpPr>
      <xdr:spPr>
        <a:xfrm>
          <a:off x="1587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152400</xdr:colOff>
      <xdr:row>2</xdr:row>
      <xdr:rowOff>0</xdr:rowOff>
    </xdr:from>
    <xdr:to>
      <xdr:col>3</xdr:col>
      <xdr:colOff>190500</xdr:colOff>
      <xdr:row>2</xdr:row>
      <xdr:rowOff>38100</xdr:rowOff>
    </xdr:to>
    <xdr:sp macro="" textlink="">
      <xdr:nvSpPr>
        <xdr:cNvPr id="7649" name="Dot12015"/>
        <xdr:cNvSpPr/>
      </xdr:nvSpPr>
      <xdr:spPr>
        <a:xfrm>
          <a:off x="1714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152400</xdr:colOff>
      <xdr:row>5</xdr:row>
      <xdr:rowOff>63500</xdr:rowOff>
    </xdr:from>
    <xdr:to>
      <xdr:col>3</xdr:col>
      <xdr:colOff>190500</xdr:colOff>
      <xdr:row>5</xdr:row>
      <xdr:rowOff>101600</xdr:rowOff>
    </xdr:to>
    <xdr:sp macro="" textlink="">
      <xdr:nvSpPr>
        <xdr:cNvPr id="7650" name="Dot12065"/>
        <xdr:cNvSpPr/>
      </xdr:nvSpPr>
      <xdr:spPr>
        <a:xfrm>
          <a:off x="1714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152400</xdr:colOff>
      <xdr:row>8</xdr:row>
      <xdr:rowOff>0</xdr:rowOff>
    </xdr:from>
    <xdr:to>
      <xdr:col>3</xdr:col>
      <xdr:colOff>190500</xdr:colOff>
      <xdr:row>8</xdr:row>
      <xdr:rowOff>38100</xdr:rowOff>
    </xdr:to>
    <xdr:sp macro="" textlink="">
      <xdr:nvSpPr>
        <xdr:cNvPr id="7651" name="Dot120105"/>
        <xdr:cNvSpPr/>
      </xdr:nvSpPr>
      <xdr:spPr>
        <a:xfrm>
          <a:off x="1714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152400</xdr:colOff>
      <xdr:row>17</xdr:row>
      <xdr:rowOff>152400</xdr:rowOff>
    </xdr:from>
    <xdr:to>
      <xdr:col>3</xdr:col>
      <xdr:colOff>190500</xdr:colOff>
      <xdr:row>18</xdr:row>
      <xdr:rowOff>0</xdr:rowOff>
    </xdr:to>
    <xdr:sp macro="" textlink="">
      <xdr:nvSpPr>
        <xdr:cNvPr id="7652" name="Dot120255"/>
        <xdr:cNvSpPr/>
      </xdr:nvSpPr>
      <xdr:spPr>
        <a:xfrm>
          <a:off x="1714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152400</xdr:colOff>
      <xdr:row>20</xdr:row>
      <xdr:rowOff>88900</xdr:rowOff>
    </xdr:from>
    <xdr:to>
      <xdr:col>3</xdr:col>
      <xdr:colOff>190500</xdr:colOff>
      <xdr:row>20</xdr:row>
      <xdr:rowOff>127000</xdr:rowOff>
    </xdr:to>
    <xdr:sp macro="" textlink="">
      <xdr:nvSpPr>
        <xdr:cNvPr id="7653" name="Dot120295"/>
        <xdr:cNvSpPr/>
      </xdr:nvSpPr>
      <xdr:spPr>
        <a:xfrm>
          <a:off x="1714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152400</xdr:colOff>
      <xdr:row>23</xdr:row>
      <xdr:rowOff>25400</xdr:rowOff>
    </xdr:from>
    <xdr:to>
      <xdr:col>3</xdr:col>
      <xdr:colOff>190500</xdr:colOff>
      <xdr:row>23</xdr:row>
      <xdr:rowOff>63500</xdr:rowOff>
    </xdr:to>
    <xdr:sp macro="" textlink="">
      <xdr:nvSpPr>
        <xdr:cNvPr id="7654" name="Dot120335"/>
        <xdr:cNvSpPr/>
      </xdr:nvSpPr>
      <xdr:spPr>
        <a:xfrm>
          <a:off x="1714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152400</xdr:colOff>
      <xdr:row>25</xdr:row>
      <xdr:rowOff>152400</xdr:rowOff>
    </xdr:from>
    <xdr:to>
      <xdr:col>3</xdr:col>
      <xdr:colOff>190500</xdr:colOff>
      <xdr:row>26</xdr:row>
      <xdr:rowOff>0</xdr:rowOff>
    </xdr:to>
    <xdr:sp macro="" textlink="">
      <xdr:nvSpPr>
        <xdr:cNvPr id="7655" name="Dot120375"/>
        <xdr:cNvSpPr/>
      </xdr:nvSpPr>
      <xdr:spPr>
        <a:xfrm>
          <a:off x="1714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279400</xdr:colOff>
      <xdr:row>2</xdr:row>
      <xdr:rowOff>0</xdr:rowOff>
    </xdr:from>
    <xdr:to>
      <xdr:col>3</xdr:col>
      <xdr:colOff>313267</xdr:colOff>
      <xdr:row>2</xdr:row>
      <xdr:rowOff>38100</xdr:rowOff>
    </xdr:to>
    <xdr:sp macro="" textlink="">
      <xdr:nvSpPr>
        <xdr:cNvPr id="7656" name="Dot13015"/>
        <xdr:cNvSpPr/>
      </xdr:nvSpPr>
      <xdr:spPr>
        <a:xfrm>
          <a:off x="1841500" y="381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279400</xdr:colOff>
      <xdr:row>5</xdr:row>
      <xdr:rowOff>63500</xdr:rowOff>
    </xdr:from>
    <xdr:to>
      <xdr:col>3</xdr:col>
      <xdr:colOff>313267</xdr:colOff>
      <xdr:row>5</xdr:row>
      <xdr:rowOff>101600</xdr:rowOff>
    </xdr:to>
    <xdr:sp macro="" textlink="">
      <xdr:nvSpPr>
        <xdr:cNvPr id="7657" name="Dot13065"/>
        <xdr:cNvSpPr/>
      </xdr:nvSpPr>
      <xdr:spPr>
        <a:xfrm>
          <a:off x="1841500" y="1016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279400</xdr:colOff>
      <xdr:row>8</xdr:row>
      <xdr:rowOff>0</xdr:rowOff>
    </xdr:from>
    <xdr:to>
      <xdr:col>3</xdr:col>
      <xdr:colOff>313267</xdr:colOff>
      <xdr:row>8</xdr:row>
      <xdr:rowOff>38100</xdr:rowOff>
    </xdr:to>
    <xdr:sp macro="" textlink="">
      <xdr:nvSpPr>
        <xdr:cNvPr id="7658" name="Dot130105"/>
        <xdr:cNvSpPr/>
      </xdr:nvSpPr>
      <xdr:spPr>
        <a:xfrm>
          <a:off x="1841500" y="1524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279400</xdr:colOff>
      <xdr:row>17</xdr:row>
      <xdr:rowOff>152400</xdr:rowOff>
    </xdr:from>
    <xdr:to>
      <xdr:col>3</xdr:col>
      <xdr:colOff>313267</xdr:colOff>
      <xdr:row>18</xdr:row>
      <xdr:rowOff>0</xdr:rowOff>
    </xdr:to>
    <xdr:sp macro="" textlink="">
      <xdr:nvSpPr>
        <xdr:cNvPr id="7659" name="Dot130255"/>
        <xdr:cNvSpPr/>
      </xdr:nvSpPr>
      <xdr:spPr>
        <a:xfrm>
          <a:off x="1841500" y="3429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279400</xdr:colOff>
      <xdr:row>20</xdr:row>
      <xdr:rowOff>88900</xdr:rowOff>
    </xdr:from>
    <xdr:to>
      <xdr:col>3</xdr:col>
      <xdr:colOff>313267</xdr:colOff>
      <xdr:row>20</xdr:row>
      <xdr:rowOff>127000</xdr:rowOff>
    </xdr:to>
    <xdr:sp macro="" textlink="">
      <xdr:nvSpPr>
        <xdr:cNvPr id="7660" name="Dot130295"/>
        <xdr:cNvSpPr/>
      </xdr:nvSpPr>
      <xdr:spPr>
        <a:xfrm>
          <a:off x="1841500" y="3937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279400</xdr:colOff>
      <xdr:row>21</xdr:row>
      <xdr:rowOff>25400</xdr:rowOff>
    </xdr:from>
    <xdr:to>
      <xdr:col>3</xdr:col>
      <xdr:colOff>313267</xdr:colOff>
      <xdr:row>21</xdr:row>
      <xdr:rowOff>63500</xdr:rowOff>
    </xdr:to>
    <xdr:sp macro="" textlink="">
      <xdr:nvSpPr>
        <xdr:cNvPr id="7661" name="Dot130305"/>
        <xdr:cNvSpPr/>
      </xdr:nvSpPr>
      <xdr:spPr>
        <a:xfrm>
          <a:off x="1841500" y="4064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279400</xdr:colOff>
      <xdr:row>21</xdr:row>
      <xdr:rowOff>152400</xdr:rowOff>
    </xdr:from>
    <xdr:to>
      <xdr:col>3</xdr:col>
      <xdr:colOff>313267</xdr:colOff>
      <xdr:row>22</xdr:row>
      <xdr:rowOff>0</xdr:rowOff>
    </xdr:to>
    <xdr:sp macro="" textlink="">
      <xdr:nvSpPr>
        <xdr:cNvPr id="7662" name="Dot130315"/>
        <xdr:cNvSpPr/>
      </xdr:nvSpPr>
      <xdr:spPr>
        <a:xfrm>
          <a:off x="1841500" y="4191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279400</xdr:colOff>
      <xdr:row>22</xdr:row>
      <xdr:rowOff>88900</xdr:rowOff>
    </xdr:from>
    <xdr:to>
      <xdr:col>3</xdr:col>
      <xdr:colOff>313267</xdr:colOff>
      <xdr:row>22</xdr:row>
      <xdr:rowOff>127000</xdr:rowOff>
    </xdr:to>
    <xdr:sp macro="" textlink="">
      <xdr:nvSpPr>
        <xdr:cNvPr id="7663" name="Dot130325"/>
        <xdr:cNvSpPr/>
      </xdr:nvSpPr>
      <xdr:spPr>
        <a:xfrm>
          <a:off x="1841500" y="4318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279400</xdr:colOff>
      <xdr:row>23</xdr:row>
      <xdr:rowOff>25400</xdr:rowOff>
    </xdr:from>
    <xdr:to>
      <xdr:col>3</xdr:col>
      <xdr:colOff>313267</xdr:colOff>
      <xdr:row>23</xdr:row>
      <xdr:rowOff>63500</xdr:rowOff>
    </xdr:to>
    <xdr:sp macro="" textlink="">
      <xdr:nvSpPr>
        <xdr:cNvPr id="7664" name="Dot130335"/>
        <xdr:cNvSpPr/>
      </xdr:nvSpPr>
      <xdr:spPr>
        <a:xfrm>
          <a:off x="1841500" y="4445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279400</xdr:colOff>
      <xdr:row>25</xdr:row>
      <xdr:rowOff>152400</xdr:rowOff>
    </xdr:from>
    <xdr:to>
      <xdr:col>3</xdr:col>
      <xdr:colOff>313267</xdr:colOff>
      <xdr:row>26</xdr:row>
      <xdr:rowOff>0</xdr:rowOff>
    </xdr:to>
    <xdr:sp macro="" textlink="">
      <xdr:nvSpPr>
        <xdr:cNvPr id="7665" name="Dot130375"/>
        <xdr:cNvSpPr/>
      </xdr:nvSpPr>
      <xdr:spPr>
        <a:xfrm>
          <a:off x="1841500" y="4953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406400</xdr:colOff>
      <xdr:row>2</xdr:row>
      <xdr:rowOff>0</xdr:rowOff>
    </xdr:from>
    <xdr:to>
      <xdr:col>3</xdr:col>
      <xdr:colOff>444500</xdr:colOff>
      <xdr:row>2</xdr:row>
      <xdr:rowOff>38100</xdr:rowOff>
    </xdr:to>
    <xdr:sp macro="" textlink="">
      <xdr:nvSpPr>
        <xdr:cNvPr id="7666" name="Dot14015"/>
        <xdr:cNvSpPr/>
      </xdr:nvSpPr>
      <xdr:spPr>
        <a:xfrm>
          <a:off x="1968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406400</xdr:colOff>
      <xdr:row>5</xdr:row>
      <xdr:rowOff>63500</xdr:rowOff>
    </xdr:from>
    <xdr:to>
      <xdr:col>3</xdr:col>
      <xdr:colOff>444500</xdr:colOff>
      <xdr:row>5</xdr:row>
      <xdr:rowOff>101600</xdr:rowOff>
    </xdr:to>
    <xdr:sp macro="" textlink="">
      <xdr:nvSpPr>
        <xdr:cNvPr id="7667" name="Dot14065"/>
        <xdr:cNvSpPr/>
      </xdr:nvSpPr>
      <xdr:spPr>
        <a:xfrm>
          <a:off x="1968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406400</xdr:colOff>
      <xdr:row>8</xdr:row>
      <xdr:rowOff>0</xdr:rowOff>
    </xdr:from>
    <xdr:to>
      <xdr:col>3</xdr:col>
      <xdr:colOff>444500</xdr:colOff>
      <xdr:row>8</xdr:row>
      <xdr:rowOff>38100</xdr:rowOff>
    </xdr:to>
    <xdr:sp macro="" textlink="">
      <xdr:nvSpPr>
        <xdr:cNvPr id="7668" name="Dot140105"/>
        <xdr:cNvSpPr/>
      </xdr:nvSpPr>
      <xdr:spPr>
        <a:xfrm>
          <a:off x="1968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406400</xdr:colOff>
      <xdr:row>17</xdr:row>
      <xdr:rowOff>152400</xdr:rowOff>
    </xdr:from>
    <xdr:to>
      <xdr:col>3</xdr:col>
      <xdr:colOff>444500</xdr:colOff>
      <xdr:row>18</xdr:row>
      <xdr:rowOff>0</xdr:rowOff>
    </xdr:to>
    <xdr:sp macro="" textlink="">
      <xdr:nvSpPr>
        <xdr:cNvPr id="7669" name="Dot140255"/>
        <xdr:cNvSpPr/>
      </xdr:nvSpPr>
      <xdr:spPr>
        <a:xfrm>
          <a:off x="1968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406400</xdr:colOff>
      <xdr:row>23</xdr:row>
      <xdr:rowOff>25400</xdr:rowOff>
    </xdr:from>
    <xdr:to>
      <xdr:col>3</xdr:col>
      <xdr:colOff>444500</xdr:colOff>
      <xdr:row>23</xdr:row>
      <xdr:rowOff>63500</xdr:rowOff>
    </xdr:to>
    <xdr:sp macro="" textlink="">
      <xdr:nvSpPr>
        <xdr:cNvPr id="7670" name="Dot140335"/>
        <xdr:cNvSpPr/>
      </xdr:nvSpPr>
      <xdr:spPr>
        <a:xfrm>
          <a:off x="1968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406400</xdr:colOff>
      <xdr:row>25</xdr:row>
      <xdr:rowOff>152400</xdr:rowOff>
    </xdr:from>
    <xdr:to>
      <xdr:col>3</xdr:col>
      <xdr:colOff>444500</xdr:colOff>
      <xdr:row>26</xdr:row>
      <xdr:rowOff>0</xdr:rowOff>
    </xdr:to>
    <xdr:sp macro="" textlink="">
      <xdr:nvSpPr>
        <xdr:cNvPr id="7671" name="Dot140375"/>
        <xdr:cNvSpPr/>
      </xdr:nvSpPr>
      <xdr:spPr>
        <a:xfrm>
          <a:off x="1968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533400</xdr:colOff>
      <xdr:row>2</xdr:row>
      <xdr:rowOff>0</xdr:rowOff>
    </xdr:from>
    <xdr:to>
      <xdr:col>3</xdr:col>
      <xdr:colOff>571500</xdr:colOff>
      <xdr:row>2</xdr:row>
      <xdr:rowOff>38100</xdr:rowOff>
    </xdr:to>
    <xdr:sp macro="" textlink="">
      <xdr:nvSpPr>
        <xdr:cNvPr id="7672" name="Dot15015"/>
        <xdr:cNvSpPr/>
      </xdr:nvSpPr>
      <xdr:spPr>
        <a:xfrm>
          <a:off x="2095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533400</xdr:colOff>
      <xdr:row>5</xdr:row>
      <xdr:rowOff>63500</xdr:rowOff>
    </xdr:from>
    <xdr:to>
      <xdr:col>3</xdr:col>
      <xdr:colOff>571500</xdr:colOff>
      <xdr:row>5</xdr:row>
      <xdr:rowOff>101600</xdr:rowOff>
    </xdr:to>
    <xdr:sp macro="" textlink="">
      <xdr:nvSpPr>
        <xdr:cNvPr id="7673" name="Dot15065"/>
        <xdr:cNvSpPr/>
      </xdr:nvSpPr>
      <xdr:spPr>
        <a:xfrm>
          <a:off x="2095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533400</xdr:colOff>
      <xdr:row>8</xdr:row>
      <xdr:rowOff>0</xdr:rowOff>
    </xdr:from>
    <xdr:to>
      <xdr:col>3</xdr:col>
      <xdr:colOff>571500</xdr:colOff>
      <xdr:row>8</xdr:row>
      <xdr:rowOff>38100</xdr:rowOff>
    </xdr:to>
    <xdr:sp macro="" textlink="">
      <xdr:nvSpPr>
        <xdr:cNvPr id="7674" name="Dot150105"/>
        <xdr:cNvSpPr/>
      </xdr:nvSpPr>
      <xdr:spPr>
        <a:xfrm>
          <a:off x="2095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533400</xdr:colOff>
      <xdr:row>17</xdr:row>
      <xdr:rowOff>152400</xdr:rowOff>
    </xdr:from>
    <xdr:to>
      <xdr:col>3</xdr:col>
      <xdr:colOff>571500</xdr:colOff>
      <xdr:row>18</xdr:row>
      <xdr:rowOff>0</xdr:rowOff>
    </xdr:to>
    <xdr:sp macro="" textlink="">
      <xdr:nvSpPr>
        <xdr:cNvPr id="7675" name="Dot150255"/>
        <xdr:cNvSpPr/>
      </xdr:nvSpPr>
      <xdr:spPr>
        <a:xfrm>
          <a:off x="2095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533400</xdr:colOff>
      <xdr:row>23</xdr:row>
      <xdr:rowOff>25400</xdr:rowOff>
    </xdr:from>
    <xdr:to>
      <xdr:col>3</xdr:col>
      <xdr:colOff>571500</xdr:colOff>
      <xdr:row>23</xdr:row>
      <xdr:rowOff>63500</xdr:rowOff>
    </xdr:to>
    <xdr:sp macro="" textlink="">
      <xdr:nvSpPr>
        <xdr:cNvPr id="7676" name="Dot150335"/>
        <xdr:cNvSpPr/>
      </xdr:nvSpPr>
      <xdr:spPr>
        <a:xfrm>
          <a:off x="2095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533400</xdr:colOff>
      <xdr:row>25</xdr:row>
      <xdr:rowOff>152400</xdr:rowOff>
    </xdr:from>
    <xdr:to>
      <xdr:col>3</xdr:col>
      <xdr:colOff>571500</xdr:colOff>
      <xdr:row>26</xdr:row>
      <xdr:rowOff>0</xdr:rowOff>
    </xdr:to>
    <xdr:sp macro="" textlink="">
      <xdr:nvSpPr>
        <xdr:cNvPr id="7677" name="Dot150375"/>
        <xdr:cNvSpPr/>
      </xdr:nvSpPr>
      <xdr:spPr>
        <a:xfrm>
          <a:off x="2095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50800</xdr:colOff>
      <xdr:row>2</xdr:row>
      <xdr:rowOff>0</xdr:rowOff>
    </xdr:from>
    <xdr:to>
      <xdr:col>4</xdr:col>
      <xdr:colOff>88900</xdr:colOff>
      <xdr:row>2</xdr:row>
      <xdr:rowOff>38100</xdr:rowOff>
    </xdr:to>
    <xdr:sp macro="" textlink="">
      <xdr:nvSpPr>
        <xdr:cNvPr id="7678" name="Dot16015"/>
        <xdr:cNvSpPr/>
      </xdr:nvSpPr>
      <xdr:spPr>
        <a:xfrm>
          <a:off x="2222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50800</xdr:colOff>
      <xdr:row>5</xdr:row>
      <xdr:rowOff>63500</xdr:rowOff>
    </xdr:from>
    <xdr:to>
      <xdr:col>4</xdr:col>
      <xdr:colOff>88900</xdr:colOff>
      <xdr:row>5</xdr:row>
      <xdr:rowOff>101600</xdr:rowOff>
    </xdr:to>
    <xdr:sp macro="" textlink="">
      <xdr:nvSpPr>
        <xdr:cNvPr id="7679" name="Dot16065"/>
        <xdr:cNvSpPr/>
      </xdr:nvSpPr>
      <xdr:spPr>
        <a:xfrm>
          <a:off x="2222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50800</xdr:colOff>
      <xdr:row>8</xdr:row>
      <xdr:rowOff>0</xdr:rowOff>
    </xdr:from>
    <xdr:to>
      <xdr:col>4</xdr:col>
      <xdr:colOff>88900</xdr:colOff>
      <xdr:row>8</xdr:row>
      <xdr:rowOff>38100</xdr:rowOff>
    </xdr:to>
    <xdr:sp macro="" textlink="">
      <xdr:nvSpPr>
        <xdr:cNvPr id="7680" name="Dot160105"/>
        <xdr:cNvSpPr/>
      </xdr:nvSpPr>
      <xdr:spPr>
        <a:xfrm>
          <a:off x="2222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50800</xdr:colOff>
      <xdr:row>17</xdr:row>
      <xdr:rowOff>152400</xdr:rowOff>
    </xdr:from>
    <xdr:to>
      <xdr:col>4</xdr:col>
      <xdr:colOff>88900</xdr:colOff>
      <xdr:row>18</xdr:row>
      <xdr:rowOff>0</xdr:rowOff>
    </xdr:to>
    <xdr:sp macro="" textlink="">
      <xdr:nvSpPr>
        <xdr:cNvPr id="7681" name="Dot160255"/>
        <xdr:cNvSpPr/>
      </xdr:nvSpPr>
      <xdr:spPr>
        <a:xfrm>
          <a:off x="2222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50800</xdr:colOff>
      <xdr:row>23</xdr:row>
      <xdr:rowOff>25400</xdr:rowOff>
    </xdr:from>
    <xdr:to>
      <xdr:col>4</xdr:col>
      <xdr:colOff>88900</xdr:colOff>
      <xdr:row>23</xdr:row>
      <xdr:rowOff>63500</xdr:rowOff>
    </xdr:to>
    <xdr:sp macro="" textlink="">
      <xdr:nvSpPr>
        <xdr:cNvPr id="7682" name="Dot160335"/>
        <xdr:cNvSpPr/>
      </xdr:nvSpPr>
      <xdr:spPr>
        <a:xfrm>
          <a:off x="2222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50800</xdr:colOff>
      <xdr:row>25</xdr:row>
      <xdr:rowOff>152400</xdr:rowOff>
    </xdr:from>
    <xdr:to>
      <xdr:col>4</xdr:col>
      <xdr:colOff>88900</xdr:colOff>
      <xdr:row>26</xdr:row>
      <xdr:rowOff>0</xdr:rowOff>
    </xdr:to>
    <xdr:sp macro="" textlink="">
      <xdr:nvSpPr>
        <xdr:cNvPr id="7683" name="Dot160375"/>
        <xdr:cNvSpPr/>
      </xdr:nvSpPr>
      <xdr:spPr>
        <a:xfrm>
          <a:off x="2222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177800</xdr:colOff>
      <xdr:row>2</xdr:row>
      <xdr:rowOff>0</xdr:rowOff>
    </xdr:from>
    <xdr:to>
      <xdr:col>4</xdr:col>
      <xdr:colOff>215900</xdr:colOff>
      <xdr:row>2</xdr:row>
      <xdr:rowOff>38100</xdr:rowOff>
    </xdr:to>
    <xdr:sp macro="" textlink="">
      <xdr:nvSpPr>
        <xdr:cNvPr id="7684" name="Dot17015"/>
        <xdr:cNvSpPr/>
      </xdr:nvSpPr>
      <xdr:spPr>
        <a:xfrm>
          <a:off x="2349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177800</xdr:colOff>
      <xdr:row>5</xdr:row>
      <xdr:rowOff>63500</xdr:rowOff>
    </xdr:from>
    <xdr:to>
      <xdr:col>4</xdr:col>
      <xdr:colOff>215900</xdr:colOff>
      <xdr:row>5</xdr:row>
      <xdr:rowOff>101600</xdr:rowOff>
    </xdr:to>
    <xdr:sp macro="" textlink="">
      <xdr:nvSpPr>
        <xdr:cNvPr id="7685" name="Dot17065"/>
        <xdr:cNvSpPr/>
      </xdr:nvSpPr>
      <xdr:spPr>
        <a:xfrm>
          <a:off x="2349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177800</xdr:colOff>
      <xdr:row>8</xdr:row>
      <xdr:rowOff>0</xdr:rowOff>
    </xdr:from>
    <xdr:to>
      <xdr:col>4</xdr:col>
      <xdr:colOff>215900</xdr:colOff>
      <xdr:row>8</xdr:row>
      <xdr:rowOff>38100</xdr:rowOff>
    </xdr:to>
    <xdr:sp macro="" textlink="">
      <xdr:nvSpPr>
        <xdr:cNvPr id="7686" name="Dot170105"/>
        <xdr:cNvSpPr/>
      </xdr:nvSpPr>
      <xdr:spPr>
        <a:xfrm>
          <a:off x="2349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177800</xdr:colOff>
      <xdr:row>17</xdr:row>
      <xdr:rowOff>152400</xdr:rowOff>
    </xdr:from>
    <xdr:to>
      <xdr:col>4</xdr:col>
      <xdr:colOff>215900</xdr:colOff>
      <xdr:row>18</xdr:row>
      <xdr:rowOff>0</xdr:rowOff>
    </xdr:to>
    <xdr:sp macro="" textlink="">
      <xdr:nvSpPr>
        <xdr:cNvPr id="7687" name="Dot170255"/>
        <xdr:cNvSpPr/>
      </xdr:nvSpPr>
      <xdr:spPr>
        <a:xfrm>
          <a:off x="2349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177800</xdr:colOff>
      <xdr:row>23</xdr:row>
      <xdr:rowOff>25400</xdr:rowOff>
    </xdr:from>
    <xdr:to>
      <xdr:col>4</xdr:col>
      <xdr:colOff>215900</xdr:colOff>
      <xdr:row>23</xdr:row>
      <xdr:rowOff>63500</xdr:rowOff>
    </xdr:to>
    <xdr:sp macro="" textlink="">
      <xdr:nvSpPr>
        <xdr:cNvPr id="7688" name="Dot170335"/>
        <xdr:cNvSpPr/>
      </xdr:nvSpPr>
      <xdr:spPr>
        <a:xfrm>
          <a:off x="2349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177800</xdr:colOff>
      <xdr:row>25</xdr:row>
      <xdr:rowOff>152400</xdr:rowOff>
    </xdr:from>
    <xdr:to>
      <xdr:col>4</xdr:col>
      <xdr:colOff>215900</xdr:colOff>
      <xdr:row>26</xdr:row>
      <xdr:rowOff>0</xdr:rowOff>
    </xdr:to>
    <xdr:sp macro="" textlink="">
      <xdr:nvSpPr>
        <xdr:cNvPr id="7689" name="Dot170375"/>
        <xdr:cNvSpPr/>
      </xdr:nvSpPr>
      <xdr:spPr>
        <a:xfrm>
          <a:off x="2349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</xdr:row>
      <xdr:rowOff>0</xdr:rowOff>
    </xdr:from>
    <xdr:to>
      <xdr:col>4</xdr:col>
      <xdr:colOff>342900</xdr:colOff>
      <xdr:row>2</xdr:row>
      <xdr:rowOff>38100</xdr:rowOff>
    </xdr:to>
    <xdr:sp macro="" textlink="">
      <xdr:nvSpPr>
        <xdr:cNvPr id="7690" name="Dot18015"/>
        <xdr:cNvSpPr/>
      </xdr:nvSpPr>
      <xdr:spPr>
        <a:xfrm>
          <a:off x="2476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</xdr:row>
      <xdr:rowOff>127000</xdr:rowOff>
    </xdr:from>
    <xdr:to>
      <xdr:col>4</xdr:col>
      <xdr:colOff>342900</xdr:colOff>
      <xdr:row>2</xdr:row>
      <xdr:rowOff>165100</xdr:rowOff>
    </xdr:to>
    <xdr:sp macro="" textlink="">
      <xdr:nvSpPr>
        <xdr:cNvPr id="7691" name="Dot18025"/>
        <xdr:cNvSpPr/>
      </xdr:nvSpPr>
      <xdr:spPr>
        <a:xfrm>
          <a:off x="2476500" y="508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</xdr:row>
      <xdr:rowOff>63500</xdr:rowOff>
    </xdr:from>
    <xdr:to>
      <xdr:col>4</xdr:col>
      <xdr:colOff>342900</xdr:colOff>
      <xdr:row>3</xdr:row>
      <xdr:rowOff>101600</xdr:rowOff>
    </xdr:to>
    <xdr:sp macro="" textlink="">
      <xdr:nvSpPr>
        <xdr:cNvPr id="7692" name="Dot18035"/>
        <xdr:cNvSpPr/>
      </xdr:nvSpPr>
      <xdr:spPr>
        <a:xfrm>
          <a:off x="2476500" y="63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</xdr:row>
      <xdr:rowOff>0</xdr:rowOff>
    </xdr:from>
    <xdr:to>
      <xdr:col>4</xdr:col>
      <xdr:colOff>342900</xdr:colOff>
      <xdr:row>4</xdr:row>
      <xdr:rowOff>38100</xdr:rowOff>
    </xdr:to>
    <xdr:sp macro="" textlink="">
      <xdr:nvSpPr>
        <xdr:cNvPr id="7693" name="Dot18045"/>
        <xdr:cNvSpPr/>
      </xdr:nvSpPr>
      <xdr:spPr>
        <a:xfrm>
          <a:off x="2476500" y="76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</xdr:row>
      <xdr:rowOff>127000</xdr:rowOff>
    </xdr:from>
    <xdr:to>
      <xdr:col>4</xdr:col>
      <xdr:colOff>342900</xdr:colOff>
      <xdr:row>4</xdr:row>
      <xdr:rowOff>165100</xdr:rowOff>
    </xdr:to>
    <xdr:sp macro="" textlink="">
      <xdr:nvSpPr>
        <xdr:cNvPr id="7694" name="Dot18055"/>
        <xdr:cNvSpPr/>
      </xdr:nvSpPr>
      <xdr:spPr>
        <a:xfrm>
          <a:off x="2476500" y="88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</xdr:row>
      <xdr:rowOff>63500</xdr:rowOff>
    </xdr:from>
    <xdr:to>
      <xdr:col>4</xdr:col>
      <xdr:colOff>342900</xdr:colOff>
      <xdr:row>5</xdr:row>
      <xdr:rowOff>101600</xdr:rowOff>
    </xdr:to>
    <xdr:sp macro="" textlink="">
      <xdr:nvSpPr>
        <xdr:cNvPr id="7695" name="Dot18065"/>
        <xdr:cNvSpPr/>
      </xdr:nvSpPr>
      <xdr:spPr>
        <a:xfrm>
          <a:off x="2476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6</xdr:row>
      <xdr:rowOff>0</xdr:rowOff>
    </xdr:from>
    <xdr:to>
      <xdr:col>4</xdr:col>
      <xdr:colOff>342900</xdr:colOff>
      <xdr:row>6</xdr:row>
      <xdr:rowOff>38100</xdr:rowOff>
    </xdr:to>
    <xdr:sp macro="" textlink="">
      <xdr:nvSpPr>
        <xdr:cNvPr id="7696" name="Dot18075"/>
        <xdr:cNvSpPr/>
      </xdr:nvSpPr>
      <xdr:spPr>
        <a:xfrm>
          <a:off x="2476500" y="114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6</xdr:row>
      <xdr:rowOff>127000</xdr:rowOff>
    </xdr:from>
    <xdr:to>
      <xdr:col>4</xdr:col>
      <xdr:colOff>342900</xdr:colOff>
      <xdr:row>6</xdr:row>
      <xdr:rowOff>165100</xdr:rowOff>
    </xdr:to>
    <xdr:sp macro="" textlink="">
      <xdr:nvSpPr>
        <xdr:cNvPr id="7697" name="Dot18085"/>
        <xdr:cNvSpPr/>
      </xdr:nvSpPr>
      <xdr:spPr>
        <a:xfrm>
          <a:off x="2476500" y="1270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7</xdr:row>
      <xdr:rowOff>63500</xdr:rowOff>
    </xdr:from>
    <xdr:to>
      <xdr:col>4</xdr:col>
      <xdr:colOff>342900</xdr:colOff>
      <xdr:row>7</xdr:row>
      <xdr:rowOff>101600</xdr:rowOff>
    </xdr:to>
    <xdr:sp macro="" textlink="">
      <xdr:nvSpPr>
        <xdr:cNvPr id="7698" name="Dot18095"/>
        <xdr:cNvSpPr/>
      </xdr:nvSpPr>
      <xdr:spPr>
        <a:xfrm>
          <a:off x="2476500" y="139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8</xdr:row>
      <xdr:rowOff>0</xdr:rowOff>
    </xdr:from>
    <xdr:to>
      <xdr:col>4</xdr:col>
      <xdr:colOff>342900</xdr:colOff>
      <xdr:row>8</xdr:row>
      <xdr:rowOff>38100</xdr:rowOff>
    </xdr:to>
    <xdr:sp macro="" textlink="">
      <xdr:nvSpPr>
        <xdr:cNvPr id="7699" name="Dot180105"/>
        <xdr:cNvSpPr/>
      </xdr:nvSpPr>
      <xdr:spPr>
        <a:xfrm>
          <a:off x="2476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8</xdr:row>
      <xdr:rowOff>127000</xdr:rowOff>
    </xdr:from>
    <xdr:to>
      <xdr:col>4</xdr:col>
      <xdr:colOff>342900</xdr:colOff>
      <xdr:row>8</xdr:row>
      <xdr:rowOff>165100</xdr:rowOff>
    </xdr:to>
    <xdr:sp macro="" textlink="">
      <xdr:nvSpPr>
        <xdr:cNvPr id="7700" name="Dot180115"/>
        <xdr:cNvSpPr/>
      </xdr:nvSpPr>
      <xdr:spPr>
        <a:xfrm>
          <a:off x="2476500" y="165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9</xdr:row>
      <xdr:rowOff>63500</xdr:rowOff>
    </xdr:from>
    <xdr:to>
      <xdr:col>4</xdr:col>
      <xdr:colOff>342900</xdr:colOff>
      <xdr:row>9</xdr:row>
      <xdr:rowOff>101600</xdr:rowOff>
    </xdr:to>
    <xdr:sp macro="" textlink="">
      <xdr:nvSpPr>
        <xdr:cNvPr id="7701" name="Dot180125"/>
        <xdr:cNvSpPr/>
      </xdr:nvSpPr>
      <xdr:spPr>
        <a:xfrm>
          <a:off x="2476500" y="1778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9</xdr:row>
      <xdr:rowOff>190500</xdr:rowOff>
    </xdr:from>
    <xdr:to>
      <xdr:col>4</xdr:col>
      <xdr:colOff>342900</xdr:colOff>
      <xdr:row>10</xdr:row>
      <xdr:rowOff>19050</xdr:rowOff>
    </xdr:to>
    <xdr:sp macro="" textlink="">
      <xdr:nvSpPr>
        <xdr:cNvPr id="7702" name="Dot180135"/>
        <xdr:cNvSpPr/>
      </xdr:nvSpPr>
      <xdr:spPr>
        <a:xfrm>
          <a:off x="2476500" y="190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10</xdr:row>
      <xdr:rowOff>107950</xdr:rowOff>
    </xdr:from>
    <xdr:to>
      <xdr:col>4</xdr:col>
      <xdr:colOff>342900</xdr:colOff>
      <xdr:row>10</xdr:row>
      <xdr:rowOff>146050</xdr:rowOff>
    </xdr:to>
    <xdr:sp macro="" textlink="">
      <xdr:nvSpPr>
        <xdr:cNvPr id="7703" name="Dot180145"/>
        <xdr:cNvSpPr/>
      </xdr:nvSpPr>
      <xdr:spPr>
        <a:xfrm>
          <a:off x="2476500" y="203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11</xdr:row>
      <xdr:rowOff>44450</xdr:rowOff>
    </xdr:from>
    <xdr:to>
      <xdr:col>4</xdr:col>
      <xdr:colOff>342900</xdr:colOff>
      <xdr:row>11</xdr:row>
      <xdr:rowOff>82550</xdr:rowOff>
    </xdr:to>
    <xdr:sp macro="" textlink="">
      <xdr:nvSpPr>
        <xdr:cNvPr id="7704" name="Dot180155"/>
        <xdr:cNvSpPr/>
      </xdr:nvSpPr>
      <xdr:spPr>
        <a:xfrm>
          <a:off x="2476500" y="215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11</xdr:row>
      <xdr:rowOff>171450</xdr:rowOff>
    </xdr:from>
    <xdr:to>
      <xdr:col>4</xdr:col>
      <xdr:colOff>342900</xdr:colOff>
      <xdr:row>12</xdr:row>
      <xdr:rowOff>9525</xdr:rowOff>
    </xdr:to>
    <xdr:sp macro="" textlink="">
      <xdr:nvSpPr>
        <xdr:cNvPr id="7705" name="Dot180165"/>
        <xdr:cNvSpPr/>
      </xdr:nvSpPr>
      <xdr:spPr>
        <a:xfrm>
          <a:off x="2476500" y="228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12</xdr:row>
      <xdr:rowOff>98425</xdr:rowOff>
    </xdr:from>
    <xdr:to>
      <xdr:col>4</xdr:col>
      <xdr:colOff>342900</xdr:colOff>
      <xdr:row>12</xdr:row>
      <xdr:rowOff>136525</xdr:rowOff>
    </xdr:to>
    <xdr:sp macro="" textlink="">
      <xdr:nvSpPr>
        <xdr:cNvPr id="7706" name="Dot180175"/>
        <xdr:cNvSpPr/>
      </xdr:nvSpPr>
      <xdr:spPr>
        <a:xfrm>
          <a:off x="2476500" y="241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13</xdr:row>
      <xdr:rowOff>25400</xdr:rowOff>
    </xdr:from>
    <xdr:to>
      <xdr:col>4</xdr:col>
      <xdr:colOff>342900</xdr:colOff>
      <xdr:row>13</xdr:row>
      <xdr:rowOff>63500</xdr:rowOff>
    </xdr:to>
    <xdr:sp macro="" textlink="">
      <xdr:nvSpPr>
        <xdr:cNvPr id="7707" name="Dot180185"/>
        <xdr:cNvSpPr/>
      </xdr:nvSpPr>
      <xdr:spPr>
        <a:xfrm>
          <a:off x="2476500" y="2540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13</xdr:row>
      <xdr:rowOff>152400</xdr:rowOff>
    </xdr:from>
    <xdr:to>
      <xdr:col>4</xdr:col>
      <xdr:colOff>342900</xdr:colOff>
      <xdr:row>14</xdr:row>
      <xdr:rowOff>0</xdr:rowOff>
    </xdr:to>
    <xdr:sp macro="" textlink="">
      <xdr:nvSpPr>
        <xdr:cNvPr id="7708" name="Dot180195"/>
        <xdr:cNvSpPr/>
      </xdr:nvSpPr>
      <xdr:spPr>
        <a:xfrm>
          <a:off x="2476500" y="266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14</xdr:row>
      <xdr:rowOff>88900</xdr:rowOff>
    </xdr:from>
    <xdr:to>
      <xdr:col>4</xdr:col>
      <xdr:colOff>342900</xdr:colOff>
      <xdr:row>14</xdr:row>
      <xdr:rowOff>127000</xdr:rowOff>
    </xdr:to>
    <xdr:sp macro="" textlink="">
      <xdr:nvSpPr>
        <xdr:cNvPr id="7709" name="Dot180205"/>
        <xdr:cNvSpPr/>
      </xdr:nvSpPr>
      <xdr:spPr>
        <a:xfrm>
          <a:off x="2476500" y="279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15</xdr:row>
      <xdr:rowOff>25400</xdr:rowOff>
    </xdr:from>
    <xdr:to>
      <xdr:col>4</xdr:col>
      <xdr:colOff>342900</xdr:colOff>
      <xdr:row>15</xdr:row>
      <xdr:rowOff>63500</xdr:rowOff>
    </xdr:to>
    <xdr:sp macro="" textlink="">
      <xdr:nvSpPr>
        <xdr:cNvPr id="7710" name="Dot180215"/>
        <xdr:cNvSpPr/>
      </xdr:nvSpPr>
      <xdr:spPr>
        <a:xfrm>
          <a:off x="2476500" y="292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15</xdr:row>
      <xdr:rowOff>152400</xdr:rowOff>
    </xdr:from>
    <xdr:to>
      <xdr:col>4</xdr:col>
      <xdr:colOff>342900</xdr:colOff>
      <xdr:row>16</xdr:row>
      <xdr:rowOff>0</xdr:rowOff>
    </xdr:to>
    <xdr:sp macro="" textlink="">
      <xdr:nvSpPr>
        <xdr:cNvPr id="7711" name="Dot180225"/>
        <xdr:cNvSpPr/>
      </xdr:nvSpPr>
      <xdr:spPr>
        <a:xfrm>
          <a:off x="2476500" y="3048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16</xdr:row>
      <xdr:rowOff>88900</xdr:rowOff>
    </xdr:from>
    <xdr:to>
      <xdr:col>4</xdr:col>
      <xdr:colOff>342900</xdr:colOff>
      <xdr:row>16</xdr:row>
      <xdr:rowOff>127000</xdr:rowOff>
    </xdr:to>
    <xdr:sp macro="" textlink="">
      <xdr:nvSpPr>
        <xdr:cNvPr id="7712" name="Dot180235"/>
        <xdr:cNvSpPr/>
      </xdr:nvSpPr>
      <xdr:spPr>
        <a:xfrm>
          <a:off x="2476500" y="317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17</xdr:row>
      <xdr:rowOff>25400</xdr:rowOff>
    </xdr:from>
    <xdr:to>
      <xdr:col>4</xdr:col>
      <xdr:colOff>342900</xdr:colOff>
      <xdr:row>17</xdr:row>
      <xdr:rowOff>63500</xdr:rowOff>
    </xdr:to>
    <xdr:sp macro="" textlink="">
      <xdr:nvSpPr>
        <xdr:cNvPr id="7713" name="Dot180245"/>
        <xdr:cNvSpPr/>
      </xdr:nvSpPr>
      <xdr:spPr>
        <a:xfrm>
          <a:off x="2476500" y="330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17</xdr:row>
      <xdr:rowOff>152400</xdr:rowOff>
    </xdr:from>
    <xdr:to>
      <xdr:col>4</xdr:col>
      <xdr:colOff>342900</xdr:colOff>
      <xdr:row>18</xdr:row>
      <xdr:rowOff>0</xdr:rowOff>
    </xdr:to>
    <xdr:sp macro="" textlink="">
      <xdr:nvSpPr>
        <xdr:cNvPr id="7714" name="Dot180255"/>
        <xdr:cNvSpPr/>
      </xdr:nvSpPr>
      <xdr:spPr>
        <a:xfrm>
          <a:off x="2476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18</xdr:row>
      <xdr:rowOff>88900</xdr:rowOff>
    </xdr:from>
    <xdr:to>
      <xdr:col>4</xdr:col>
      <xdr:colOff>342900</xdr:colOff>
      <xdr:row>18</xdr:row>
      <xdr:rowOff>127000</xdr:rowOff>
    </xdr:to>
    <xdr:sp macro="" textlink="">
      <xdr:nvSpPr>
        <xdr:cNvPr id="7715" name="Dot180265"/>
        <xdr:cNvSpPr/>
      </xdr:nvSpPr>
      <xdr:spPr>
        <a:xfrm>
          <a:off x="2476500" y="355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19</xdr:row>
      <xdr:rowOff>25400</xdr:rowOff>
    </xdr:from>
    <xdr:to>
      <xdr:col>4</xdr:col>
      <xdr:colOff>342900</xdr:colOff>
      <xdr:row>19</xdr:row>
      <xdr:rowOff>63500</xdr:rowOff>
    </xdr:to>
    <xdr:sp macro="" textlink="">
      <xdr:nvSpPr>
        <xdr:cNvPr id="7716" name="Dot180275"/>
        <xdr:cNvSpPr/>
      </xdr:nvSpPr>
      <xdr:spPr>
        <a:xfrm>
          <a:off x="2476500" y="368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19</xdr:row>
      <xdr:rowOff>152400</xdr:rowOff>
    </xdr:from>
    <xdr:to>
      <xdr:col>4</xdr:col>
      <xdr:colOff>342900</xdr:colOff>
      <xdr:row>20</xdr:row>
      <xdr:rowOff>0</xdr:rowOff>
    </xdr:to>
    <xdr:sp macro="" textlink="">
      <xdr:nvSpPr>
        <xdr:cNvPr id="7717" name="Dot180285"/>
        <xdr:cNvSpPr/>
      </xdr:nvSpPr>
      <xdr:spPr>
        <a:xfrm>
          <a:off x="2476500" y="3810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20</xdr:row>
      <xdr:rowOff>88900</xdr:rowOff>
    </xdr:from>
    <xdr:to>
      <xdr:col>4</xdr:col>
      <xdr:colOff>342900</xdr:colOff>
      <xdr:row>20</xdr:row>
      <xdr:rowOff>127000</xdr:rowOff>
    </xdr:to>
    <xdr:sp macro="" textlink="">
      <xdr:nvSpPr>
        <xdr:cNvPr id="7718" name="Dot180295"/>
        <xdr:cNvSpPr/>
      </xdr:nvSpPr>
      <xdr:spPr>
        <a:xfrm>
          <a:off x="2476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21</xdr:row>
      <xdr:rowOff>25400</xdr:rowOff>
    </xdr:from>
    <xdr:to>
      <xdr:col>4</xdr:col>
      <xdr:colOff>342900</xdr:colOff>
      <xdr:row>21</xdr:row>
      <xdr:rowOff>63500</xdr:rowOff>
    </xdr:to>
    <xdr:sp macro="" textlink="">
      <xdr:nvSpPr>
        <xdr:cNvPr id="7719" name="Dot180305"/>
        <xdr:cNvSpPr/>
      </xdr:nvSpPr>
      <xdr:spPr>
        <a:xfrm>
          <a:off x="2476500" y="406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21</xdr:row>
      <xdr:rowOff>152400</xdr:rowOff>
    </xdr:from>
    <xdr:to>
      <xdr:col>4</xdr:col>
      <xdr:colOff>342900</xdr:colOff>
      <xdr:row>22</xdr:row>
      <xdr:rowOff>0</xdr:rowOff>
    </xdr:to>
    <xdr:sp macro="" textlink="">
      <xdr:nvSpPr>
        <xdr:cNvPr id="7720" name="Dot180315"/>
        <xdr:cNvSpPr/>
      </xdr:nvSpPr>
      <xdr:spPr>
        <a:xfrm>
          <a:off x="2476500" y="419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22</xdr:row>
      <xdr:rowOff>88900</xdr:rowOff>
    </xdr:from>
    <xdr:to>
      <xdr:col>4</xdr:col>
      <xdr:colOff>342900</xdr:colOff>
      <xdr:row>22</xdr:row>
      <xdr:rowOff>127000</xdr:rowOff>
    </xdr:to>
    <xdr:sp macro="" textlink="">
      <xdr:nvSpPr>
        <xdr:cNvPr id="7721" name="Dot180325"/>
        <xdr:cNvSpPr/>
      </xdr:nvSpPr>
      <xdr:spPr>
        <a:xfrm>
          <a:off x="2476500" y="4318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23</xdr:row>
      <xdr:rowOff>25400</xdr:rowOff>
    </xdr:from>
    <xdr:to>
      <xdr:col>4</xdr:col>
      <xdr:colOff>342900</xdr:colOff>
      <xdr:row>23</xdr:row>
      <xdr:rowOff>63500</xdr:rowOff>
    </xdr:to>
    <xdr:sp macro="" textlink="">
      <xdr:nvSpPr>
        <xdr:cNvPr id="7722" name="Dot180335"/>
        <xdr:cNvSpPr/>
      </xdr:nvSpPr>
      <xdr:spPr>
        <a:xfrm>
          <a:off x="2476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25</xdr:row>
      <xdr:rowOff>152400</xdr:rowOff>
    </xdr:from>
    <xdr:to>
      <xdr:col>4</xdr:col>
      <xdr:colOff>342900</xdr:colOff>
      <xdr:row>26</xdr:row>
      <xdr:rowOff>0</xdr:rowOff>
    </xdr:to>
    <xdr:sp macro="" textlink="">
      <xdr:nvSpPr>
        <xdr:cNvPr id="7723" name="Dot180375"/>
        <xdr:cNvSpPr/>
      </xdr:nvSpPr>
      <xdr:spPr>
        <a:xfrm>
          <a:off x="2476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431800</xdr:colOff>
      <xdr:row>2</xdr:row>
      <xdr:rowOff>0</xdr:rowOff>
    </xdr:from>
    <xdr:to>
      <xdr:col>4</xdr:col>
      <xdr:colOff>469900</xdr:colOff>
      <xdr:row>2</xdr:row>
      <xdr:rowOff>38100</xdr:rowOff>
    </xdr:to>
    <xdr:sp macro="" textlink="">
      <xdr:nvSpPr>
        <xdr:cNvPr id="7724" name="Dot19015"/>
        <xdr:cNvSpPr/>
      </xdr:nvSpPr>
      <xdr:spPr>
        <a:xfrm>
          <a:off x="2603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431800</xdr:colOff>
      <xdr:row>5</xdr:row>
      <xdr:rowOff>63500</xdr:rowOff>
    </xdr:from>
    <xdr:to>
      <xdr:col>4</xdr:col>
      <xdr:colOff>469900</xdr:colOff>
      <xdr:row>5</xdr:row>
      <xdr:rowOff>101600</xdr:rowOff>
    </xdr:to>
    <xdr:sp macro="" textlink="">
      <xdr:nvSpPr>
        <xdr:cNvPr id="7725" name="Dot19065"/>
        <xdr:cNvSpPr/>
      </xdr:nvSpPr>
      <xdr:spPr>
        <a:xfrm>
          <a:off x="2603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431800</xdr:colOff>
      <xdr:row>13</xdr:row>
      <xdr:rowOff>25400</xdr:rowOff>
    </xdr:from>
    <xdr:to>
      <xdr:col>4</xdr:col>
      <xdr:colOff>469900</xdr:colOff>
      <xdr:row>13</xdr:row>
      <xdr:rowOff>63500</xdr:rowOff>
    </xdr:to>
    <xdr:sp macro="" textlink="">
      <xdr:nvSpPr>
        <xdr:cNvPr id="7726" name="Dot190185"/>
        <xdr:cNvSpPr/>
      </xdr:nvSpPr>
      <xdr:spPr>
        <a:xfrm>
          <a:off x="2603500" y="2540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431800</xdr:colOff>
      <xdr:row>17</xdr:row>
      <xdr:rowOff>152400</xdr:rowOff>
    </xdr:from>
    <xdr:to>
      <xdr:col>4</xdr:col>
      <xdr:colOff>469900</xdr:colOff>
      <xdr:row>18</xdr:row>
      <xdr:rowOff>0</xdr:rowOff>
    </xdr:to>
    <xdr:sp macro="" textlink="">
      <xdr:nvSpPr>
        <xdr:cNvPr id="7727" name="Dot190255"/>
        <xdr:cNvSpPr/>
      </xdr:nvSpPr>
      <xdr:spPr>
        <a:xfrm>
          <a:off x="2603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431800</xdr:colOff>
      <xdr:row>20</xdr:row>
      <xdr:rowOff>88900</xdr:rowOff>
    </xdr:from>
    <xdr:to>
      <xdr:col>4</xdr:col>
      <xdr:colOff>469900</xdr:colOff>
      <xdr:row>20</xdr:row>
      <xdr:rowOff>127000</xdr:rowOff>
    </xdr:to>
    <xdr:sp macro="" textlink="">
      <xdr:nvSpPr>
        <xdr:cNvPr id="7728" name="Dot190295"/>
        <xdr:cNvSpPr/>
      </xdr:nvSpPr>
      <xdr:spPr>
        <a:xfrm>
          <a:off x="2603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431800</xdr:colOff>
      <xdr:row>25</xdr:row>
      <xdr:rowOff>152400</xdr:rowOff>
    </xdr:from>
    <xdr:to>
      <xdr:col>4</xdr:col>
      <xdr:colOff>469900</xdr:colOff>
      <xdr:row>26</xdr:row>
      <xdr:rowOff>0</xdr:rowOff>
    </xdr:to>
    <xdr:sp macro="" textlink="">
      <xdr:nvSpPr>
        <xdr:cNvPr id="7729" name="Dot190375"/>
        <xdr:cNvSpPr/>
      </xdr:nvSpPr>
      <xdr:spPr>
        <a:xfrm>
          <a:off x="2603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558800</xdr:colOff>
      <xdr:row>2</xdr:row>
      <xdr:rowOff>0</xdr:rowOff>
    </xdr:from>
    <xdr:to>
      <xdr:col>4</xdr:col>
      <xdr:colOff>596900</xdr:colOff>
      <xdr:row>2</xdr:row>
      <xdr:rowOff>38100</xdr:rowOff>
    </xdr:to>
    <xdr:sp macro="" textlink="">
      <xdr:nvSpPr>
        <xdr:cNvPr id="7730" name="Dot20015"/>
        <xdr:cNvSpPr/>
      </xdr:nvSpPr>
      <xdr:spPr>
        <a:xfrm>
          <a:off x="2730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558800</xdr:colOff>
      <xdr:row>5</xdr:row>
      <xdr:rowOff>63500</xdr:rowOff>
    </xdr:from>
    <xdr:to>
      <xdr:col>4</xdr:col>
      <xdr:colOff>596900</xdr:colOff>
      <xdr:row>5</xdr:row>
      <xdr:rowOff>101600</xdr:rowOff>
    </xdr:to>
    <xdr:sp macro="" textlink="">
      <xdr:nvSpPr>
        <xdr:cNvPr id="7731" name="Dot20065"/>
        <xdr:cNvSpPr/>
      </xdr:nvSpPr>
      <xdr:spPr>
        <a:xfrm>
          <a:off x="2730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558800</xdr:colOff>
      <xdr:row>13</xdr:row>
      <xdr:rowOff>25400</xdr:rowOff>
    </xdr:from>
    <xdr:to>
      <xdr:col>4</xdr:col>
      <xdr:colOff>596900</xdr:colOff>
      <xdr:row>13</xdr:row>
      <xdr:rowOff>63500</xdr:rowOff>
    </xdr:to>
    <xdr:sp macro="" textlink="">
      <xdr:nvSpPr>
        <xdr:cNvPr id="7732" name="Dot200185"/>
        <xdr:cNvSpPr/>
      </xdr:nvSpPr>
      <xdr:spPr>
        <a:xfrm>
          <a:off x="2730500" y="2540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558800</xdr:colOff>
      <xdr:row>17</xdr:row>
      <xdr:rowOff>152400</xdr:rowOff>
    </xdr:from>
    <xdr:to>
      <xdr:col>4</xdr:col>
      <xdr:colOff>596900</xdr:colOff>
      <xdr:row>18</xdr:row>
      <xdr:rowOff>0</xdr:rowOff>
    </xdr:to>
    <xdr:sp macro="" textlink="">
      <xdr:nvSpPr>
        <xdr:cNvPr id="7733" name="Dot200255"/>
        <xdr:cNvSpPr/>
      </xdr:nvSpPr>
      <xdr:spPr>
        <a:xfrm>
          <a:off x="2730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558800</xdr:colOff>
      <xdr:row>20</xdr:row>
      <xdr:rowOff>88900</xdr:rowOff>
    </xdr:from>
    <xdr:to>
      <xdr:col>4</xdr:col>
      <xdr:colOff>596900</xdr:colOff>
      <xdr:row>20</xdr:row>
      <xdr:rowOff>127000</xdr:rowOff>
    </xdr:to>
    <xdr:sp macro="" textlink="">
      <xdr:nvSpPr>
        <xdr:cNvPr id="7734" name="Dot200295"/>
        <xdr:cNvSpPr/>
      </xdr:nvSpPr>
      <xdr:spPr>
        <a:xfrm>
          <a:off x="2730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558800</xdr:colOff>
      <xdr:row>25</xdr:row>
      <xdr:rowOff>152400</xdr:rowOff>
    </xdr:from>
    <xdr:to>
      <xdr:col>4</xdr:col>
      <xdr:colOff>596900</xdr:colOff>
      <xdr:row>26</xdr:row>
      <xdr:rowOff>0</xdr:rowOff>
    </xdr:to>
    <xdr:sp macro="" textlink="">
      <xdr:nvSpPr>
        <xdr:cNvPr id="7735" name="Dot200375"/>
        <xdr:cNvSpPr/>
      </xdr:nvSpPr>
      <xdr:spPr>
        <a:xfrm>
          <a:off x="2730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</xdr:row>
      <xdr:rowOff>0</xdr:rowOff>
    </xdr:from>
    <xdr:to>
      <xdr:col>5</xdr:col>
      <xdr:colOff>114300</xdr:colOff>
      <xdr:row>2</xdr:row>
      <xdr:rowOff>38100</xdr:rowOff>
    </xdr:to>
    <xdr:sp macro="" textlink="">
      <xdr:nvSpPr>
        <xdr:cNvPr id="7736" name="Dot21015"/>
        <xdr:cNvSpPr/>
      </xdr:nvSpPr>
      <xdr:spPr>
        <a:xfrm>
          <a:off x="2857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</xdr:row>
      <xdr:rowOff>63500</xdr:rowOff>
    </xdr:from>
    <xdr:to>
      <xdr:col>5</xdr:col>
      <xdr:colOff>114300</xdr:colOff>
      <xdr:row>5</xdr:row>
      <xdr:rowOff>101600</xdr:rowOff>
    </xdr:to>
    <xdr:sp macro="" textlink="">
      <xdr:nvSpPr>
        <xdr:cNvPr id="7737" name="Dot21065"/>
        <xdr:cNvSpPr/>
      </xdr:nvSpPr>
      <xdr:spPr>
        <a:xfrm>
          <a:off x="2857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13</xdr:row>
      <xdr:rowOff>25400</xdr:rowOff>
    </xdr:from>
    <xdr:to>
      <xdr:col>5</xdr:col>
      <xdr:colOff>114300</xdr:colOff>
      <xdr:row>13</xdr:row>
      <xdr:rowOff>63500</xdr:rowOff>
    </xdr:to>
    <xdr:sp macro="" textlink="">
      <xdr:nvSpPr>
        <xdr:cNvPr id="7738" name="Dot210185"/>
        <xdr:cNvSpPr/>
      </xdr:nvSpPr>
      <xdr:spPr>
        <a:xfrm>
          <a:off x="2857500" y="2540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17</xdr:row>
      <xdr:rowOff>152400</xdr:rowOff>
    </xdr:from>
    <xdr:to>
      <xdr:col>5</xdr:col>
      <xdr:colOff>114300</xdr:colOff>
      <xdr:row>18</xdr:row>
      <xdr:rowOff>0</xdr:rowOff>
    </xdr:to>
    <xdr:sp macro="" textlink="">
      <xdr:nvSpPr>
        <xdr:cNvPr id="7739" name="Dot210255"/>
        <xdr:cNvSpPr/>
      </xdr:nvSpPr>
      <xdr:spPr>
        <a:xfrm>
          <a:off x="2857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20</xdr:row>
      <xdr:rowOff>88900</xdr:rowOff>
    </xdr:from>
    <xdr:to>
      <xdr:col>5</xdr:col>
      <xdr:colOff>114300</xdr:colOff>
      <xdr:row>20</xdr:row>
      <xdr:rowOff>127000</xdr:rowOff>
    </xdr:to>
    <xdr:sp macro="" textlink="">
      <xdr:nvSpPr>
        <xdr:cNvPr id="7740" name="Dot210295"/>
        <xdr:cNvSpPr/>
      </xdr:nvSpPr>
      <xdr:spPr>
        <a:xfrm>
          <a:off x="2857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25</xdr:row>
      <xdr:rowOff>152400</xdr:rowOff>
    </xdr:from>
    <xdr:to>
      <xdr:col>5</xdr:col>
      <xdr:colOff>114300</xdr:colOff>
      <xdr:row>26</xdr:row>
      <xdr:rowOff>0</xdr:rowOff>
    </xdr:to>
    <xdr:sp macro="" textlink="">
      <xdr:nvSpPr>
        <xdr:cNvPr id="7741" name="Dot210375"/>
        <xdr:cNvSpPr/>
      </xdr:nvSpPr>
      <xdr:spPr>
        <a:xfrm>
          <a:off x="2857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203200</xdr:colOff>
      <xdr:row>2</xdr:row>
      <xdr:rowOff>0</xdr:rowOff>
    </xdr:from>
    <xdr:to>
      <xdr:col>5</xdr:col>
      <xdr:colOff>241300</xdr:colOff>
      <xdr:row>2</xdr:row>
      <xdr:rowOff>38100</xdr:rowOff>
    </xdr:to>
    <xdr:sp macro="" textlink="">
      <xdr:nvSpPr>
        <xdr:cNvPr id="7742" name="Dot22015"/>
        <xdr:cNvSpPr/>
      </xdr:nvSpPr>
      <xdr:spPr>
        <a:xfrm>
          <a:off x="2984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203200</xdr:colOff>
      <xdr:row>5</xdr:row>
      <xdr:rowOff>63500</xdr:rowOff>
    </xdr:from>
    <xdr:to>
      <xdr:col>5</xdr:col>
      <xdr:colOff>241300</xdr:colOff>
      <xdr:row>5</xdr:row>
      <xdr:rowOff>101600</xdr:rowOff>
    </xdr:to>
    <xdr:sp macro="" textlink="">
      <xdr:nvSpPr>
        <xdr:cNvPr id="7743" name="Dot22065"/>
        <xdr:cNvSpPr/>
      </xdr:nvSpPr>
      <xdr:spPr>
        <a:xfrm>
          <a:off x="2984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203200</xdr:colOff>
      <xdr:row>13</xdr:row>
      <xdr:rowOff>25400</xdr:rowOff>
    </xdr:from>
    <xdr:to>
      <xdr:col>5</xdr:col>
      <xdr:colOff>241300</xdr:colOff>
      <xdr:row>13</xdr:row>
      <xdr:rowOff>63500</xdr:rowOff>
    </xdr:to>
    <xdr:sp macro="" textlink="">
      <xdr:nvSpPr>
        <xdr:cNvPr id="7744" name="Dot220185"/>
        <xdr:cNvSpPr/>
      </xdr:nvSpPr>
      <xdr:spPr>
        <a:xfrm>
          <a:off x="2984500" y="2540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203200</xdr:colOff>
      <xdr:row>17</xdr:row>
      <xdr:rowOff>152400</xdr:rowOff>
    </xdr:from>
    <xdr:to>
      <xdr:col>5</xdr:col>
      <xdr:colOff>241300</xdr:colOff>
      <xdr:row>18</xdr:row>
      <xdr:rowOff>0</xdr:rowOff>
    </xdr:to>
    <xdr:sp macro="" textlink="">
      <xdr:nvSpPr>
        <xdr:cNvPr id="7745" name="Dot220255"/>
        <xdr:cNvSpPr/>
      </xdr:nvSpPr>
      <xdr:spPr>
        <a:xfrm>
          <a:off x="2984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203200</xdr:colOff>
      <xdr:row>20</xdr:row>
      <xdr:rowOff>88900</xdr:rowOff>
    </xdr:from>
    <xdr:to>
      <xdr:col>5</xdr:col>
      <xdr:colOff>241300</xdr:colOff>
      <xdr:row>20</xdr:row>
      <xdr:rowOff>127000</xdr:rowOff>
    </xdr:to>
    <xdr:sp macro="" textlink="">
      <xdr:nvSpPr>
        <xdr:cNvPr id="7746" name="Dot220295"/>
        <xdr:cNvSpPr/>
      </xdr:nvSpPr>
      <xdr:spPr>
        <a:xfrm>
          <a:off x="2984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203200</xdr:colOff>
      <xdr:row>25</xdr:row>
      <xdr:rowOff>152400</xdr:rowOff>
    </xdr:from>
    <xdr:to>
      <xdr:col>5</xdr:col>
      <xdr:colOff>241300</xdr:colOff>
      <xdr:row>26</xdr:row>
      <xdr:rowOff>0</xdr:rowOff>
    </xdr:to>
    <xdr:sp macro="" textlink="">
      <xdr:nvSpPr>
        <xdr:cNvPr id="7747" name="Dot220375"/>
        <xdr:cNvSpPr/>
      </xdr:nvSpPr>
      <xdr:spPr>
        <a:xfrm>
          <a:off x="2984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2</xdr:row>
      <xdr:rowOff>0</xdr:rowOff>
    </xdr:from>
    <xdr:to>
      <xdr:col>5</xdr:col>
      <xdr:colOff>368300</xdr:colOff>
      <xdr:row>2</xdr:row>
      <xdr:rowOff>38100</xdr:rowOff>
    </xdr:to>
    <xdr:sp macro="" textlink="">
      <xdr:nvSpPr>
        <xdr:cNvPr id="7748" name="Dot23015"/>
        <xdr:cNvSpPr/>
      </xdr:nvSpPr>
      <xdr:spPr>
        <a:xfrm>
          <a:off x="3111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5</xdr:row>
      <xdr:rowOff>63500</xdr:rowOff>
    </xdr:from>
    <xdr:to>
      <xdr:col>5</xdr:col>
      <xdr:colOff>368300</xdr:colOff>
      <xdr:row>5</xdr:row>
      <xdr:rowOff>101600</xdr:rowOff>
    </xdr:to>
    <xdr:sp macro="" textlink="">
      <xdr:nvSpPr>
        <xdr:cNvPr id="7749" name="Dot23065"/>
        <xdr:cNvSpPr/>
      </xdr:nvSpPr>
      <xdr:spPr>
        <a:xfrm>
          <a:off x="3111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6</xdr:row>
      <xdr:rowOff>0</xdr:rowOff>
    </xdr:from>
    <xdr:to>
      <xdr:col>5</xdr:col>
      <xdr:colOff>368300</xdr:colOff>
      <xdr:row>6</xdr:row>
      <xdr:rowOff>38100</xdr:rowOff>
    </xdr:to>
    <xdr:sp macro="" textlink="">
      <xdr:nvSpPr>
        <xdr:cNvPr id="7750" name="Dot23075"/>
        <xdr:cNvSpPr/>
      </xdr:nvSpPr>
      <xdr:spPr>
        <a:xfrm>
          <a:off x="3111500" y="114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6</xdr:row>
      <xdr:rowOff>127000</xdr:rowOff>
    </xdr:from>
    <xdr:to>
      <xdr:col>5</xdr:col>
      <xdr:colOff>368300</xdr:colOff>
      <xdr:row>6</xdr:row>
      <xdr:rowOff>165100</xdr:rowOff>
    </xdr:to>
    <xdr:sp macro="" textlink="">
      <xdr:nvSpPr>
        <xdr:cNvPr id="7751" name="Dot23085"/>
        <xdr:cNvSpPr/>
      </xdr:nvSpPr>
      <xdr:spPr>
        <a:xfrm>
          <a:off x="3111500" y="1270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7</xdr:row>
      <xdr:rowOff>63500</xdr:rowOff>
    </xdr:from>
    <xdr:to>
      <xdr:col>5</xdr:col>
      <xdr:colOff>368300</xdr:colOff>
      <xdr:row>7</xdr:row>
      <xdr:rowOff>101600</xdr:rowOff>
    </xdr:to>
    <xdr:sp macro="" textlink="">
      <xdr:nvSpPr>
        <xdr:cNvPr id="7752" name="Dot23095"/>
        <xdr:cNvSpPr/>
      </xdr:nvSpPr>
      <xdr:spPr>
        <a:xfrm>
          <a:off x="3111500" y="139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8</xdr:row>
      <xdr:rowOff>0</xdr:rowOff>
    </xdr:from>
    <xdr:to>
      <xdr:col>5</xdr:col>
      <xdr:colOff>368300</xdr:colOff>
      <xdr:row>8</xdr:row>
      <xdr:rowOff>38100</xdr:rowOff>
    </xdr:to>
    <xdr:sp macro="" textlink="">
      <xdr:nvSpPr>
        <xdr:cNvPr id="7753" name="Dot230105"/>
        <xdr:cNvSpPr/>
      </xdr:nvSpPr>
      <xdr:spPr>
        <a:xfrm>
          <a:off x="3111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10</xdr:row>
      <xdr:rowOff>107950</xdr:rowOff>
    </xdr:from>
    <xdr:to>
      <xdr:col>5</xdr:col>
      <xdr:colOff>368300</xdr:colOff>
      <xdr:row>10</xdr:row>
      <xdr:rowOff>146050</xdr:rowOff>
    </xdr:to>
    <xdr:sp macro="" textlink="">
      <xdr:nvSpPr>
        <xdr:cNvPr id="7754" name="Dot230145"/>
        <xdr:cNvSpPr/>
      </xdr:nvSpPr>
      <xdr:spPr>
        <a:xfrm>
          <a:off x="3111500" y="203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11</xdr:row>
      <xdr:rowOff>44450</xdr:rowOff>
    </xdr:from>
    <xdr:to>
      <xdr:col>5</xdr:col>
      <xdr:colOff>368300</xdr:colOff>
      <xdr:row>11</xdr:row>
      <xdr:rowOff>82550</xdr:rowOff>
    </xdr:to>
    <xdr:sp macro="" textlink="">
      <xdr:nvSpPr>
        <xdr:cNvPr id="7755" name="Dot230155"/>
        <xdr:cNvSpPr/>
      </xdr:nvSpPr>
      <xdr:spPr>
        <a:xfrm>
          <a:off x="3111500" y="215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11</xdr:row>
      <xdr:rowOff>171450</xdr:rowOff>
    </xdr:from>
    <xdr:to>
      <xdr:col>5</xdr:col>
      <xdr:colOff>368300</xdr:colOff>
      <xdr:row>12</xdr:row>
      <xdr:rowOff>9525</xdr:rowOff>
    </xdr:to>
    <xdr:sp macro="" textlink="">
      <xdr:nvSpPr>
        <xdr:cNvPr id="7756" name="Dot230165"/>
        <xdr:cNvSpPr/>
      </xdr:nvSpPr>
      <xdr:spPr>
        <a:xfrm>
          <a:off x="3111500" y="228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12</xdr:row>
      <xdr:rowOff>98425</xdr:rowOff>
    </xdr:from>
    <xdr:to>
      <xdr:col>5</xdr:col>
      <xdr:colOff>368300</xdr:colOff>
      <xdr:row>12</xdr:row>
      <xdr:rowOff>136525</xdr:rowOff>
    </xdr:to>
    <xdr:sp macro="" textlink="">
      <xdr:nvSpPr>
        <xdr:cNvPr id="7757" name="Dot230175"/>
        <xdr:cNvSpPr/>
      </xdr:nvSpPr>
      <xdr:spPr>
        <a:xfrm>
          <a:off x="3111500" y="241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13</xdr:row>
      <xdr:rowOff>25400</xdr:rowOff>
    </xdr:from>
    <xdr:to>
      <xdr:col>5</xdr:col>
      <xdr:colOff>368300</xdr:colOff>
      <xdr:row>13</xdr:row>
      <xdr:rowOff>63500</xdr:rowOff>
    </xdr:to>
    <xdr:sp macro="" textlink="">
      <xdr:nvSpPr>
        <xdr:cNvPr id="7758" name="Dot230185"/>
        <xdr:cNvSpPr/>
      </xdr:nvSpPr>
      <xdr:spPr>
        <a:xfrm>
          <a:off x="3111500" y="2540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13</xdr:row>
      <xdr:rowOff>152400</xdr:rowOff>
    </xdr:from>
    <xdr:to>
      <xdr:col>5</xdr:col>
      <xdr:colOff>368300</xdr:colOff>
      <xdr:row>14</xdr:row>
      <xdr:rowOff>0</xdr:rowOff>
    </xdr:to>
    <xdr:sp macro="" textlink="">
      <xdr:nvSpPr>
        <xdr:cNvPr id="7759" name="Dot230195"/>
        <xdr:cNvSpPr/>
      </xdr:nvSpPr>
      <xdr:spPr>
        <a:xfrm>
          <a:off x="3111500" y="266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14</xdr:row>
      <xdr:rowOff>88900</xdr:rowOff>
    </xdr:from>
    <xdr:to>
      <xdr:col>5</xdr:col>
      <xdr:colOff>368300</xdr:colOff>
      <xdr:row>14</xdr:row>
      <xdr:rowOff>127000</xdr:rowOff>
    </xdr:to>
    <xdr:sp macro="" textlink="">
      <xdr:nvSpPr>
        <xdr:cNvPr id="7760" name="Dot230205"/>
        <xdr:cNvSpPr/>
      </xdr:nvSpPr>
      <xdr:spPr>
        <a:xfrm>
          <a:off x="3111500" y="279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15</xdr:row>
      <xdr:rowOff>25400</xdr:rowOff>
    </xdr:from>
    <xdr:to>
      <xdr:col>5</xdr:col>
      <xdr:colOff>368300</xdr:colOff>
      <xdr:row>15</xdr:row>
      <xdr:rowOff>63500</xdr:rowOff>
    </xdr:to>
    <xdr:sp macro="" textlink="">
      <xdr:nvSpPr>
        <xdr:cNvPr id="7761" name="Dot230215"/>
        <xdr:cNvSpPr/>
      </xdr:nvSpPr>
      <xdr:spPr>
        <a:xfrm>
          <a:off x="3111500" y="292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15</xdr:row>
      <xdr:rowOff>152400</xdr:rowOff>
    </xdr:from>
    <xdr:to>
      <xdr:col>5</xdr:col>
      <xdr:colOff>368300</xdr:colOff>
      <xdr:row>16</xdr:row>
      <xdr:rowOff>0</xdr:rowOff>
    </xdr:to>
    <xdr:sp macro="" textlink="">
      <xdr:nvSpPr>
        <xdr:cNvPr id="7762" name="Dot230225"/>
        <xdr:cNvSpPr/>
      </xdr:nvSpPr>
      <xdr:spPr>
        <a:xfrm>
          <a:off x="3111500" y="3048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16</xdr:row>
      <xdr:rowOff>88900</xdr:rowOff>
    </xdr:from>
    <xdr:to>
      <xdr:col>5</xdr:col>
      <xdr:colOff>368300</xdr:colOff>
      <xdr:row>16</xdr:row>
      <xdr:rowOff>127000</xdr:rowOff>
    </xdr:to>
    <xdr:sp macro="" textlink="">
      <xdr:nvSpPr>
        <xdr:cNvPr id="7763" name="Dot230235"/>
        <xdr:cNvSpPr/>
      </xdr:nvSpPr>
      <xdr:spPr>
        <a:xfrm>
          <a:off x="3111500" y="317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17</xdr:row>
      <xdr:rowOff>25400</xdr:rowOff>
    </xdr:from>
    <xdr:to>
      <xdr:col>5</xdr:col>
      <xdr:colOff>368300</xdr:colOff>
      <xdr:row>17</xdr:row>
      <xdr:rowOff>63500</xdr:rowOff>
    </xdr:to>
    <xdr:sp macro="" textlink="">
      <xdr:nvSpPr>
        <xdr:cNvPr id="7764" name="Dot230245"/>
        <xdr:cNvSpPr/>
      </xdr:nvSpPr>
      <xdr:spPr>
        <a:xfrm>
          <a:off x="3111500" y="330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17</xdr:row>
      <xdr:rowOff>152400</xdr:rowOff>
    </xdr:from>
    <xdr:to>
      <xdr:col>5</xdr:col>
      <xdr:colOff>368300</xdr:colOff>
      <xdr:row>18</xdr:row>
      <xdr:rowOff>0</xdr:rowOff>
    </xdr:to>
    <xdr:sp macro="" textlink="">
      <xdr:nvSpPr>
        <xdr:cNvPr id="7765" name="Dot230255"/>
        <xdr:cNvSpPr/>
      </xdr:nvSpPr>
      <xdr:spPr>
        <a:xfrm>
          <a:off x="3111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20</xdr:row>
      <xdr:rowOff>88900</xdr:rowOff>
    </xdr:from>
    <xdr:to>
      <xdr:col>5</xdr:col>
      <xdr:colOff>368300</xdr:colOff>
      <xdr:row>20</xdr:row>
      <xdr:rowOff>127000</xdr:rowOff>
    </xdr:to>
    <xdr:sp macro="" textlink="">
      <xdr:nvSpPr>
        <xdr:cNvPr id="7766" name="Dot230295"/>
        <xdr:cNvSpPr/>
      </xdr:nvSpPr>
      <xdr:spPr>
        <a:xfrm>
          <a:off x="3111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21</xdr:row>
      <xdr:rowOff>25400</xdr:rowOff>
    </xdr:from>
    <xdr:to>
      <xdr:col>5</xdr:col>
      <xdr:colOff>368300</xdr:colOff>
      <xdr:row>21</xdr:row>
      <xdr:rowOff>63500</xdr:rowOff>
    </xdr:to>
    <xdr:sp macro="" textlink="">
      <xdr:nvSpPr>
        <xdr:cNvPr id="7767" name="Dot230305"/>
        <xdr:cNvSpPr/>
      </xdr:nvSpPr>
      <xdr:spPr>
        <a:xfrm>
          <a:off x="3111500" y="406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21</xdr:row>
      <xdr:rowOff>152400</xdr:rowOff>
    </xdr:from>
    <xdr:to>
      <xdr:col>5</xdr:col>
      <xdr:colOff>368300</xdr:colOff>
      <xdr:row>22</xdr:row>
      <xdr:rowOff>0</xdr:rowOff>
    </xdr:to>
    <xdr:sp macro="" textlink="">
      <xdr:nvSpPr>
        <xdr:cNvPr id="7768" name="Dot230315"/>
        <xdr:cNvSpPr/>
      </xdr:nvSpPr>
      <xdr:spPr>
        <a:xfrm>
          <a:off x="3111500" y="419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22</xdr:row>
      <xdr:rowOff>88900</xdr:rowOff>
    </xdr:from>
    <xdr:to>
      <xdr:col>5</xdr:col>
      <xdr:colOff>368300</xdr:colOff>
      <xdr:row>22</xdr:row>
      <xdr:rowOff>127000</xdr:rowOff>
    </xdr:to>
    <xdr:sp macro="" textlink="">
      <xdr:nvSpPr>
        <xdr:cNvPr id="7769" name="Dot230325"/>
        <xdr:cNvSpPr/>
      </xdr:nvSpPr>
      <xdr:spPr>
        <a:xfrm>
          <a:off x="3111500" y="4318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23</xdr:row>
      <xdr:rowOff>25400</xdr:rowOff>
    </xdr:from>
    <xdr:to>
      <xdr:col>5</xdr:col>
      <xdr:colOff>368300</xdr:colOff>
      <xdr:row>23</xdr:row>
      <xdr:rowOff>63500</xdr:rowOff>
    </xdr:to>
    <xdr:sp macro="" textlink="">
      <xdr:nvSpPr>
        <xdr:cNvPr id="7770" name="Dot230335"/>
        <xdr:cNvSpPr/>
      </xdr:nvSpPr>
      <xdr:spPr>
        <a:xfrm>
          <a:off x="3111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330200</xdr:colOff>
      <xdr:row>25</xdr:row>
      <xdr:rowOff>152400</xdr:rowOff>
    </xdr:from>
    <xdr:to>
      <xdr:col>5</xdr:col>
      <xdr:colOff>368300</xdr:colOff>
      <xdr:row>26</xdr:row>
      <xdr:rowOff>0</xdr:rowOff>
    </xdr:to>
    <xdr:sp macro="" textlink="">
      <xdr:nvSpPr>
        <xdr:cNvPr id="7771" name="Dot230375"/>
        <xdr:cNvSpPr/>
      </xdr:nvSpPr>
      <xdr:spPr>
        <a:xfrm>
          <a:off x="3111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457200</xdr:colOff>
      <xdr:row>2</xdr:row>
      <xdr:rowOff>0</xdr:rowOff>
    </xdr:from>
    <xdr:to>
      <xdr:col>5</xdr:col>
      <xdr:colOff>495300</xdr:colOff>
      <xdr:row>2</xdr:row>
      <xdr:rowOff>38100</xdr:rowOff>
    </xdr:to>
    <xdr:sp macro="" textlink="">
      <xdr:nvSpPr>
        <xdr:cNvPr id="7772" name="Dot24015"/>
        <xdr:cNvSpPr/>
      </xdr:nvSpPr>
      <xdr:spPr>
        <a:xfrm>
          <a:off x="3238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457200</xdr:colOff>
      <xdr:row>5</xdr:row>
      <xdr:rowOff>63500</xdr:rowOff>
    </xdr:from>
    <xdr:to>
      <xdr:col>5</xdr:col>
      <xdr:colOff>495300</xdr:colOff>
      <xdr:row>5</xdr:row>
      <xdr:rowOff>101600</xdr:rowOff>
    </xdr:to>
    <xdr:sp macro="" textlink="">
      <xdr:nvSpPr>
        <xdr:cNvPr id="7773" name="Dot24065"/>
        <xdr:cNvSpPr/>
      </xdr:nvSpPr>
      <xdr:spPr>
        <a:xfrm>
          <a:off x="3238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457200</xdr:colOff>
      <xdr:row>8</xdr:row>
      <xdr:rowOff>0</xdr:rowOff>
    </xdr:from>
    <xdr:to>
      <xdr:col>5</xdr:col>
      <xdr:colOff>495300</xdr:colOff>
      <xdr:row>8</xdr:row>
      <xdr:rowOff>38100</xdr:rowOff>
    </xdr:to>
    <xdr:sp macro="" textlink="">
      <xdr:nvSpPr>
        <xdr:cNvPr id="7774" name="Dot240105"/>
        <xdr:cNvSpPr/>
      </xdr:nvSpPr>
      <xdr:spPr>
        <a:xfrm>
          <a:off x="3238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457200</xdr:colOff>
      <xdr:row>10</xdr:row>
      <xdr:rowOff>107950</xdr:rowOff>
    </xdr:from>
    <xdr:to>
      <xdr:col>5</xdr:col>
      <xdr:colOff>495300</xdr:colOff>
      <xdr:row>10</xdr:row>
      <xdr:rowOff>146050</xdr:rowOff>
    </xdr:to>
    <xdr:sp macro="" textlink="">
      <xdr:nvSpPr>
        <xdr:cNvPr id="7775" name="Dot240145"/>
        <xdr:cNvSpPr/>
      </xdr:nvSpPr>
      <xdr:spPr>
        <a:xfrm>
          <a:off x="3238500" y="203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457200</xdr:colOff>
      <xdr:row>15</xdr:row>
      <xdr:rowOff>25400</xdr:rowOff>
    </xdr:from>
    <xdr:to>
      <xdr:col>5</xdr:col>
      <xdr:colOff>495300</xdr:colOff>
      <xdr:row>15</xdr:row>
      <xdr:rowOff>63500</xdr:rowOff>
    </xdr:to>
    <xdr:sp macro="" textlink="">
      <xdr:nvSpPr>
        <xdr:cNvPr id="7776" name="Dot240215"/>
        <xdr:cNvSpPr/>
      </xdr:nvSpPr>
      <xdr:spPr>
        <a:xfrm>
          <a:off x="3238500" y="292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457200</xdr:colOff>
      <xdr:row>17</xdr:row>
      <xdr:rowOff>152400</xdr:rowOff>
    </xdr:from>
    <xdr:to>
      <xdr:col>5</xdr:col>
      <xdr:colOff>495300</xdr:colOff>
      <xdr:row>18</xdr:row>
      <xdr:rowOff>0</xdr:rowOff>
    </xdr:to>
    <xdr:sp macro="" textlink="">
      <xdr:nvSpPr>
        <xdr:cNvPr id="7777" name="Dot240255"/>
        <xdr:cNvSpPr/>
      </xdr:nvSpPr>
      <xdr:spPr>
        <a:xfrm>
          <a:off x="3238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457200</xdr:colOff>
      <xdr:row>20</xdr:row>
      <xdr:rowOff>88900</xdr:rowOff>
    </xdr:from>
    <xdr:to>
      <xdr:col>5</xdr:col>
      <xdr:colOff>495300</xdr:colOff>
      <xdr:row>20</xdr:row>
      <xdr:rowOff>127000</xdr:rowOff>
    </xdr:to>
    <xdr:sp macro="" textlink="">
      <xdr:nvSpPr>
        <xdr:cNvPr id="7778" name="Dot240295"/>
        <xdr:cNvSpPr/>
      </xdr:nvSpPr>
      <xdr:spPr>
        <a:xfrm>
          <a:off x="3238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457200</xdr:colOff>
      <xdr:row>23</xdr:row>
      <xdr:rowOff>25400</xdr:rowOff>
    </xdr:from>
    <xdr:to>
      <xdr:col>5</xdr:col>
      <xdr:colOff>495300</xdr:colOff>
      <xdr:row>23</xdr:row>
      <xdr:rowOff>63500</xdr:rowOff>
    </xdr:to>
    <xdr:sp macro="" textlink="">
      <xdr:nvSpPr>
        <xdr:cNvPr id="7779" name="Dot240335"/>
        <xdr:cNvSpPr/>
      </xdr:nvSpPr>
      <xdr:spPr>
        <a:xfrm>
          <a:off x="3238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457200</xdr:colOff>
      <xdr:row>25</xdr:row>
      <xdr:rowOff>152400</xdr:rowOff>
    </xdr:from>
    <xdr:to>
      <xdr:col>5</xdr:col>
      <xdr:colOff>495300</xdr:colOff>
      <xdr:row>26</xdr:row>
      <xdr:rowOff>0</xdr:rowOff>
    </xdr:to>
    <xdr:sp macro="" textlink="">
      <xdr:nvSpPr>
        <xdr:cNvPr id="7780" name="Dot240375"/>
        <xdr:cNvSpPr/>
      </xdr:nvSpPr>
      <xdr:spPr>
        <a:xfrm>
          <a:off x="3238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584200</xdr:colOff>
      <xdr:row>2</xdr:row>
      <xdr:rowOff>0</xdr:rowOff>
    </xdr:from>
    <xdr:to>
      <xdr:col>6</xdr:col>
      <xdr:colOff>12700</xdr:colOff>
      <xdr:row>2</xdr:row>
      <xdr:rowOff>38100</xdr:rowOff>
    </xdr:to>
    <xdr:sp macro="" textlink="">
      <xdr:nvSpPr>
        <xdr:cNvPr id="7781" name="Dot25015"/>
        <xdr:cNvSpPr/>
      </xdr:nvSpPr>
      <xdr:spPr>
        <a:xfrm>
          <a:off x="3365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584200</xdr:colOff>
      <xdr:row>5</xdr:row>
      <xdr:rowOff>63500</xdr:rowOff>
    </xdr:from>
    <xdr:to>
      <xdr:col>6</xdr:col>
      <xdr:colOff>12700</xdr:colOff>
      <xdr:row>5</xdr:row>
      <xdr:rowOff>101600</xdr:rowOff>
    </xdr:to>
    <xdr:sp macro="" textlink="">
      <xdr:nvSpPr>
        <xdr:cNvPr id="7782" name="Dot25065"/>
        <xdr:cNvSpPr/>
      </xdr:nvSpPr>
      <xdr:spPr>
        <a:xfrm>
          <a:off x="3365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584200</xdr:colOff>
      <xdr:row>8</xdr:row>
      <xdr:rowOff>0</xdr:rowOff>
    </xdr:from>
    <xdr:to>
      <xdr:col>6</xdr:col>
      <xdr:colOff>12700</xdr:colOff>
      <xdr:row>8</xdr:row>
      <xdr:rowOff>38100</xdr:rowOff>
    </xdr:to>
    <xdr:sp macro="" textlink="">
      <xdr:nvSpPr>
        <xdr:cNvPr id="7783" name="Dot250105"/>
        <xdr:cNvSpPr/>
      </xdr:nvSpPr>
      <xdr:spPr>
        <a:xfrm>
          <a:off x="3365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584200</xdr:colOff>
      <xdr:row>10</xdr:row>
      <xdr:rowOff>107950</xdr:rowOff>
    </xdr:from>
    <xdr:to>
      <xdr:col>6</xdr:col>
      <xdr:colOff>12700</xdr:colOff>
      <xdr:row>10</xdr:row>
      <xdr:rowOff>146050</xdr:rowOff>
    </xdr:to>
    <xdr:sp macro="" textlink="">
      <xdr:nvSpPr>
        <xdr:cNvPr id="7784" name="Dot250145"/>
        <xdr:cNvSpPr/>
      </xdr:nvSpPr>
      <xdr:spPr>
        <a:xfrm>
          <a:off x="3365500" y="203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584200</xdr:colOff>
      <xdr:row>15</xdr:row>
      <xdr:rowOff>25400</xdr:rowOff>
    </xdr:from>
    <xdr:to>
      <xdr:col>6</xdr:col>
      <xdr:colOff>12700</xdr:colOff>
      <xdr:row>15</xdr:row>
      <xdr:rowOff>63500</xdr:rowOff>
    </xdr:to>
    <xdr:sp macro="" textlink="">
      <xdr:nvSpPr>
        <xdr:cNvPr id="7785" name="Dot250215"/>
        <xdr:cNvSpPr/>
      </xdr:nvSpPr>
      <xdr:spPr>
        <a:xfrm>
          <a:off x="3365500" y="292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584200</xdr:colOff>
      <xdr:row>17</xdr:row>
      <xdr:rowOff>152400</xdr:rowOff>
    </xdr:from>
    <xdr:to>
      <xdr:col>6</xdr:col>
      <xdr:colOff>12700</xdr:colOff>
      <xdr:row>18</xdr:row>
      <xdr:rowOff>0</xdr:rowOff>
    </xdr:to>
    <xdr:sp macro="" textlink="">
      <xdr:nvSpPr>
        <xdr:cNvPr id="7786" name="Dot250255"/>
        <xdr:cNvSpPr/>
      </xdr:nvSpPr>
      <xdr:spPr>
        <a:xfrm>
          <a:off x="3365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584200</xdr:colOff>
      <xdr:row>20</xdr:row>
      <xdr:rowOff>88900</xdr:rowOff>
    </xdr:from>
    <xdr:to>
      <xdr:col>6</xdr:col>
      <xdr:colOff>12700</xdr:colOff>
      <xdr:row>20</xdr:row>
      <xdr:rowOff>127000</xdr:rowOff>
    </xdr:to>
    <xdr:sp macro="" textlink="">
      <xdr:nvSpPr>
        <xdr:cNvPr id="7787" name="Dot250295"/>
        <xdr:cNvSpPr/>
      </xdr:nvSpPr>
      <xdr:spPr>
        <a:xfrm>
          <a:off x="3365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584200</xdr:colOff>
      <xdr:row>23</xdr:row>
      <xdr:rowOff>25400</xdr:rowOff>
    </xdr:from>
    <xdr:to>
      <xdr:col>6</xdr:col>
      <xdr:colOff>12700</xdr:colOff>
      <xdr:row>23</xdr:row>
      <xdr:rowOff>63500</xdr:rowOff>
    </xdr:to>
    <xdr:sp macro="" textlink="">
      <xdr:nvSpPr>
        <xdr:cNvPr id="7788" name="Dot250335"/>
        <xdr:cNvSpPr/>
      </xdr:nvSpPr>
      <xdr:spPr>
        <a:xfrm>
          <a:off x="3365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584200</xdr:colOff>
      <xdr:row>25</xdr:row>
      <xdr:rowOff>152400</xdr:rowOff>
    </xdr:from>
    <xdr:to>
      <xdr:col>6</xdr:col>
      <xdr:colOff>12700</xdr:colOff>
      <xdr:row>26</xdr:row>
      <xdr:rowOff>0</xdr:rowOff>
    </xdr:to>
    <xdr:sp macro="" textlink="">
      <xdr:nvSpPr>
        <xdr:cNvPr id="7789" name="Dot250375"/>
        <xdr:cNvSpPr/>
      </xdr:nvSpPr>
      <xdr:spPr>
        <a:xfrm>
          <a:off x="3365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101600</xdr:colOff>
      <xdr:row>2</xdr:row>
      <xdr:rowOff>0</xdr:rowOff>
    </xdr:from>
    <xdr:to>
      <xdr:col>6</xdr:col>
      <xdr:colOff>139700</xdr:colOff>
      <xdr:row>2</xdr:row>
      <xdr:rowOff>38100</xdr:rowOff>
    </xdr:to>
    <xdr:sp macro="" textlink="">
      <xdr:nvSpPr>
        <xdr:cNvPr id="7790" name="Dot26015"/>
        <xdr:cNvSpPr/>
      </xdr:nvSpPr>
      <xdr:spPr>
        <a:xfrm>
          <a:off x="3492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101600</xdr:colOff>
      <xdr:row>5</xdr:row>
      <xdr:rowOff>63500</xdr:rowOff>
    </xdr:from>
    <xdr:to>
      <xdr:col>6</xdr:col>
      <xdr:colOff>139700</xdr:colOff>
      <xdr:row>5</xdr:row>
      <xdr:rowOff>101600</xdr:rowOff>
    </xdr:to>
    <xdr:sp macro="" textlink="">
      <xdr:nvSpPr>
        <xdr:cNvPr id="7791" name="Dot26065"/>
        <xdr:cNvSpPr/>
      </xdr:nvSpPr>
      <xdr:spPr>
        <a:xfrm>
          <a:off x="3492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101600</xdr:colOff>
      <xdr:row>8</xdr:row>
      <xdr:rowOff>0</xdr:rowOff>
    </xdr:from>
    <xdr:to>
      <xdr:col>6</xdr:col>
      <xdr:colOff>139700</xdr:colOff>
      <xdr:row>8</xdr:row>
      <xdr:rowOff>38100</xdr:rowOff>
    </xdr:to>
    <xdr:sp macro="" textlink="">
      <xdr:nvSpPr>
        <xdr:cNvPr id="7792" name="Dot260105"/>
        <xdr:cNvSpPr/>
      </xdr:nvSpPr>
      <xdr:spPr>
        <a:xfrm>
          <a:off x="3492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101600</xdr:colOff>
      <xdr:row>10</xdr:row>
      <xdr:rowOff>107950</xdr:rowOff>
    </xdr:from>
    <xdr:to>
      <xdr:col>6</xdr:col>
      <xdr:colOff>139700</xdr:colOff>
      <xdr:row>10</xdr:row>
      <xdr:rowOff>146050</xdr:rowOff>
    </xdr:to>
    <xdr:sp macro="" textlink="">
      <xdr:nvSpPr>
        <xdr:cNvPr id="7793" name="Dot260145"/>
        <xdr:cNvSpPr/>
      </xdr:nvSpPr>
      <xdr:spPr>
        <a:xfrm>
          <a:off x="3492500" y="203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101600</xdr:colOff>
      <xdr:row>15</xdr:row>
      <xdr:rowOff>25400</xdr:rowOff>
    </xdr:from>
    <xdr:to>
      <xdr:col>6</xdr:col>
      <xdr:colOff>139700</xdr:colOff>
      <xdr:row>15</xdr:row>
      <xdr:rowOff>63500</xdr:rowOff>
    </xdr:to>
    <xdr:sp macro="" textlink="">
      <xdr:nvSpPr>
        <xdr:cNvPr id="7794" name="Dot260215"/>
        <xdr:cNvSpPr/>
      </xdr:nvSpPr>
      <xdr:spPr>
        <a:xfrm>
          <a:off x="3492500" y="292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101600</xdr:colOff>
      <xdr:row>17</xdr:row>
      <xdr:rowOff>152400</xdr:rowOff>
    </xdr:from>
    <xdr:to>
      <xdr:col>6</xdr:col>
      <xdr:colOff>139700</xdr:colOff>
      <xdr:row>18</xdr:row>
      <xdr:rowOff>0</xdr:rowOff>
    </xdr:to>
    <xdr:sp macro="" textlink="">
      <xdr:nvSpPr>
        <xdr:cNvPr id="7795" name="Dot260255"/>
        <xdr:cNvSpPr/>
      </xdr:nvSpPr>
      <xdr:spPr>
        <a:xfrm>
          <a:off x="3492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101600</xdr:colOff>
      <xdr:row>20</xdr:row>
      <xdr:rowOff>88900</xdr:rowOff>
    </xdr:from>
    <xdr:to>
      <xdr:col>6</xdr:col>
      <xdr:colOff>139700</xdr:colOff>
      <xdr:row>20</xdr:row>
      <xdr:rowOff>127000</xdr:rowOff>
    </xdr:to>
    <xdr:sp macro="" textlink="">
      <xdr:nvSpPr>
        <xdr:cNvPr id="7796" name="Dot260295"/>
        <xdr:cNvSpPr/>
      </xdr:nvSpPr>
      <xdr:spPr>
        <a:xfrm>
          <a:off x="3492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101600</xdr:colOff>
      <xdr:row>23</xdr:row>
      <xdr:rowOff>25400</xdr:rowOff>
    </xdr:from>
    <xdr:to>
      <xdr:col>6</xdr:col>
      <xdr:colOff>139700</xdr:colOff>
      <xdr:row>23</xdr:row>
      <xdr:rowOff>63500</xdr:rowOff>
    </xdr:to>
    <xdr:sp macro="" textlink="">
      <xdr:nvSpPr>
        <xdr:cNvPr id="7797" name="Dot260335"/>
        <xdr:cNvSpPr/>
      </xdr:nvSpPr>
      <xdr:spPr>
        <a:xfrm>
          <a:off x="3492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101600</xdr:colOff>
      <xdr:row>25</xdr:row>
      <xdr:rowOff>152400</xdr:rowOff>
    </xdr:from>
    <xdr:to>
      <xdr:col>6</xdr:col>
      <xdr:colOff>139700</xdr:colOff>
      <xdr:row>26</xdr:row>
      <xdr:rowOff>0</xdr:rowOff>
    </xdr:to>
    <xdr:sp macro="" textlink="">
      <xdr:nvSpPr>
        <xdr:cNvPr id="7798" name="Dot260375"/>
        <xdr:cNvSpPr/>
      </xdr:nvSpPr>
      <xdr:spPr>
        <a:xfrm>
          <a:off x="3492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228600</xdr:colOff>
      <xdr:row>2</xdr:row>
      <xdr:rowOff>0</xdr:rowOff>
    </xdr:from>
    <xdr:to>
      <xdr:col>6</xdr:col>
      <xdr:colOff>266700</xdr:colOff>
      <xdr:row>2</xdr:row>
      <xdr:rowOff>38100</xdr:rowOff>
    </xdr:to>
    <xdr:sp macro="" textlink="">
      <xdr:nvSpPr>
        <xdr:cNvPr id="7799" name="Dot27015"/>
        <xdr:cNvSpPr/>
      </xdr:nvSpPr>
      <xdr:spPr>
        <a:xfrm>
          <a:off x="3619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228600</xdr:colOff>
      <xdr:row>2</xdr:row>
      <xdr:rowOff>127000</xdr:rowOff>
    </xdr:from>
    <xdr:to>
      <xdr:col>6</xdr:col>
      <xdr:colOff>266700</xdr:colOff>
      <xdr:row>2</xdr:row>
      <xdr:rowOff>165100</xdr:rowOff>
    </xdr:to>
    <xdr:sp macro="" textlink="">
      <xdr:nvSpPr>
        <xdr:cNvPr id="7800" name="Dot27025"/>
        <xdr:cNvSpPr/>
      </xdr:nvSpPr>
      <xdr:spPr>
        <a:xfrm>
          <a:off x="3619500" y="508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228600</xdr:colOff>
      <xdr:row>3</xdr:row>
      <xdr:rowOff>63500</xdr:rowOff>
    </xdr:from>
    <xdr:to>
      <xdr:col>6</xdr:col>
      <xdr:colOff>266700</xdr:colOff>
      <xdr:row>3</xdr:row>
      <xdr:rowOff>101600</xdr:rowOff>
    </xdr:to>
    <xdr:sp macro="" textlink="">
      <xdr:nvSpPr>
        <xdr:cNvPr id="7801" name="Dot27035"/>
        <xdr:cNvSpPr/>
      </xdr:nvSpPr>
      <xdr:spPr>
        <a:xfrm>
          <a:off x="3619500" y="63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228600</xdr:colOff>
      <xdr:row>4</xdr:row>
      <xdr:rowOff>0</xdr:rowOff>
    </xdr:from>
    <xdr:to>
      <xdr:col>6</xdr:col>
      <xdr:colOff>266700</xdr:colOff>
      <xdr:row>4</xdr:row>
      <xdr:rowOff>38100</xdr:rowOff>
    </xdr:to>
    <xdr:sp macro="" textlink="">
      <xdr:nvSpPr>
        <xdr:cNvPr id="7802" name="Dot27045"/>
        <xdr:cNvSpPr/>
      </xdr:nvSpPr>
      <xdr:spPr>
        <a:xfrm>
          <a:off x="3619500" y="76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228600</xdr:colOff>
      <xdr:row>4</xdr:row>
      <xdr:rowOff>127000</xdr:rowOff>
    </xdr:from>
    <xdr:to>
      <xdr:col>6</xdr:col>
      <xdr:colOff>266700</xdr:colOff>
      <xdr:row>4</xdr:row>
      <xdr:rowOff>165100</xdr:rowOff>
    </xdr:to>
    <xdr:sp macro="" textlink="">
      <xdr:nvSpPr>
        <xdr:cNvPr id="7803" name="Dot27055"/>
        <xdr:cNvSpPr/>
      </xdr:nvSpPr>
      <xdr:spPr>
        <a:xfrm>
          <a:off x="3619500" y="88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228600</xdr:colOff>
      <xdr:row>5</xdr:row>
      <xdr:rowOff>63500</xdr:rowOff>
    </xdr:from>
    <xdr:to>
      <xdr:col>6</xdr:col>
      <xdr:colOff>266700</xdr:colOff>
      <xdr:row>5</xdr:row>
      <xdr:rowOff>101600</xdr:rowOff>
    </xdr:to>
    <xdr:sp macro="" textlink="">
      <xdr:nvSpPr>
        <xdr:cNvPr id="7804" name="Dot27065"/>
        <xdr:cNvSpPr/>
      </xdr:nvSpPr>
      <xdr:spPr>
        <a:xfrm>
          <a:off x="3619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228600</xdr:colOff>
      <xdr:row>8</xdr:row>
      <xdr:rowOff>0</xdr:rowOff>
    </xdr:from>
    <xdr:to>
      <xdr:col>6</xdr:col>
      <xdr:colOff>266700</xdr:colOff>
      <xdr:row>8</xdr:row>
      <xdr:rowOff>38100</xdr:rowOff>
    </xdr:to>
    <xdr:sp macro="" textlink="">
      <xdr:nvSpPr>
        <xdr:cNvPr id="7805" name="Dot270105"/>
        <xdr:cNvSpPr/>
      </xdr:nvSpPr>
      <xdr:spPr>
        <a:xfrm>
          <a:off x="3619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228600</xdr:colOff>
      <xdr:row>8</xdr:row>
      <xdr:rowOff>127000</xdr:rowOff>
    </xdr:from>
    <xdr:to>
      <xdr:col>6</xdr:col>
      <xdr:colOff>266700</xdr:colOff>
      <xdr:row>8</xdr:row>
      <xdr:rowOff>165100</xdr:rowOff>
    </xdr:to>
    <xdr:sp macro="" textlink="">
      <xdr:nvSpPr>
        <xdr:cNvPr id="7806" name="Dot270115"/>
        <xdr:cNvSpPr/>
      </xdr:nvSpPr>
      <xdr:spPr>
        <a:xfrm>
          <a:off x="3619500" y="165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228600</xdr:colOff>
      <xdr:row>9</xdr:row>
      <xdr:rowOff>63500</xdr:rowOff>
    </xdr:from>
    <xdr:to>
      <xdr:col>6</xdr:col>
      <xdr:colOff>266700</xdr:colOff>
      <xdr:row>9</xdr:row>
      <xdr:rowOff>101600</xdr:rowOff>
    </xdr:to>
    <xdr:sp macro="" textlink="">
      <xdr:nvSpPr>
        <xdr:cNvPr id="7807" name="Dot270125"/>
        <xdr:cNvSpPr/>
      </xdr:nvSpPr>
      <xdr:spPr>
        <a:xfrm>
          <a:off x="3619500" y="1778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228600</xdr:colOff>
      <xdr:row>9</xdr:row>
      <xdr:rowOff>190500</xdr:rowOff>
    </xdr:from>
    <xdr:to>
      <xdr:col>6</xdr:col>
      <xdr:colOff>266700</xdr:colOff>
      <xdr:row>10</xdr:row>
      <xdr:rowOff>19050</xdr:rowOff>
    </xdr:to>
    <xdr:sp macro="" textlink="">
      <xdr:nvSpPr>
        <xdr:cNvPr id="7808" name="Dot270135"/>
        <xdr:cNvSpPr/>
      </xdr:nvSpPr>
      <xdr:spPr>
        <a:xfrm>
          <a:off x="3619500" y="190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228600</xdr:colOff>
      <xdr:row>10</xdr:row>
      <xdr:rowOff>107950</xdr:rowOff>
    </xdr:from>
    <xdr:to>
      <xdr:col>6</xdr:col>
      <xdr:colOff>266700</xdr:colOff>
      <xdr:row>10</xdr:row>
      <xdr:rowOff>146050</xdr:rowOff>
    </xdr:to>
    <xdr:sp macro="" textlink="">
      <xdr:nvSpPr>
        <xdr:cNvPr id="7809" name="Dot270145"/>
        <xdr:cNvSpPr/>
      </xdr:nvSpPr>
      <xdr:spPr>
        <a:xfrm>
          <a:off x="3619500" y="203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228600</xdr:colOff>
      <xdr:row>15</xdr:row>
      <xdr:rowOff>25400</xdr:rowOff>
    </xdr:from>
    <xdr:to>
      <xdr:col>6</xdr:col>
      <xdr:colOff>266700</xdr:colOff>
      <xdr:row>15</xdr:row>
      <xdr:rowOff>63500</xdr:rowOff>
    </xdr:to>
    <xdr:sp macro="" textlink="">
      <xdr:nvSpPr>
        <xdr:cNvPr id="7810" name="Dot270215"/>
        <xdr:cNvSpPr/>
      </xdr:nvSpPr>
      <xdr:spPr>
        <a:xfrm>
          <a:off x="3619500" y="292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228600</xdr:colOff>
      <xdr:row>17</xdr:row>
      <xdr:rowOff>152400</xdr:rowOff>
    </xdr:from>
    <xdr:to>
      <xdr:col>6</xdr:col>
      <xdr:colOff>266700</xdr:colOff>
      <xdr:row>18</xdr:row>
      <xdr:rowOff>0</xdr:rowOff>
    </xdr:to>
    <xdr:sp macro="" textlink="">
      <xdr:nvSpPr>
        <xdr:cNvPr id="7811" name="Dot270255"/>
        <xdr:cNvSpPr/>
      </xdr:nvSpPr>
      <xdr:spPr>
        <a:xfrm>
          <a:off x="3619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228600</xdr:colOff>
      <xdr:row>18</xdr:row>
      <xdr:rowOff>88900</xdr:rowOff>
    </xdr:from>
    <xdr:to>
      <xdr:col>6</xdr:col>
      <xdr:colOff>266700</xdr:colOff>
      <xdr:row>18</xdr:row>
      <xdr:rowOff>127000</xdr:rowOff>
    </xdr:to>
    <xdr:sp macro="" textlink="">
      <xdr:nvSpPr>
        <xdr:cNvPr id="7812" name="Dot270265"/>
        <xdr:cNvSpPr/>
      </xdr:nvSpPr>
      <xdr:spPr>
        <a:xfrm>
          <a:off x="3619500" y="355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228600</xdr:colOff>
      <xdr:row>19</xdr:row>
      <xdr:rowOff>25400</xdr:rowOff>
    </xdr:from>
    <xdr:to>
      <xdr:col>6</xdr:col>
      <xdr:colOff>266700</xdr:colOff>
      <xdr:row>19</xdr:row>
      <xdr:rowOff>63500</xdr:rowOff>
    </xdr:to>
    <xdr:sp macro="" textlink="">
      <xdr:nvSpPr>
        <xdr:cNvPr id="7813" name="Dot270275"/>
        <xdr:cNvSpPr/>
      </xdr:nvSpPr>
      <xdr:spPr>
        <a:xfrm>
          <a:off x="3619500" y="368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228600</xdr:colOff>
      <xdr:row>19</xdr:row>
      <xdr:rowOff>152400</xdr:rowOff>
    </xdr:from>
    <xdr:to>
      <xdr:col>6</xdr:col>
      <xdr:colOff>266700</xdr:colOff>
      <xdr:row>20</xdr:row>
      <xdr:rowOff>0</xdr:rowOff>
    </xdr:to>
    <xdr:sp macro="" textlink="">
      <xdr:nvSpPr>
        <xdr:cNvPr id="7814" name="Dot270285"/>
        <xdr:cNvSpPr/>
      </xdr:nvSpPr>
      <xdr:spPr>
        <a:xfrm>
          <a:off x="3619500" y="3810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228600</xdr:colOff>
      <xdr:row>20</xdr:row>
      <xdr:rowOff>88900</xdr:rowOff>
    </xdr:from>
    <xdr:to>
      <xdr:col>6</xdr:col>
      <xdr:colOff>266700</xdr:colOff>
      <xdr:row>20</xdr:row>
      <xdr:rowOff>127000</xdr:rowOff>
    </xdr:to>
    <xdr:sp macro="" textlink="">
      <xdr:nvSpPr>
        <xdr:cNvPr id="7815" name="Dot270295"/>
        <xdr:cNvSpPr/>
      </xdr:nvSpPr>
      <xdr:spPr>
        <a:xfrm>
          <a:off x="3619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228600</xdr:colOff>
      <xdr:row>23</xdr:row>
      <xdr:rowOff>25400</xdr:rowOff>
    </xdr:from>
    <xdr:to>
      <xdr:col>6</xdr:col>
      <xdr:colOff>266700</xdr:colOff>
      <xdr:row>23</xdr:row>
      <xdr:rowOff>63500</xdr:rowOff>
    </xdr:to>
    <xdr:sp macro="" textlink="">
      <xdr:nvSpPr>
        <xdr:cNvPr id="7816" name="Dot270335"/>
        <xdr:cNvSpPr/>
      </xdr:nvSpPr>
      <xdr:spPr>
        <a:xfrm>
          <a:off x="3619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228600</xdr:colOff>
      <xdr:row>23</xdr:row>
      <xdr:rowOff>152400</xdr:rowOff>
    </xdr:from>
    <xdr:to>
      <xdr:col>6</xdr:col>
      <xdr:colOff>266700</xdr:colOff>
      <xdr:row>24</xdr:row>
      <xdr:rowOff>0</xdr:rowOff>
    </xdr:to>
    <xdr:sp macro="" textlink="">
      <xdr:nvSpPr>
        <xdr:cNvPr id="7817" name="Dot270345"/>
        <xdr:cNvSpPr/>
      </xdr:nvSpPr>
      <xdr:spPr>
        <a:xfrm>
          <a:off x="3619500" y="457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228600</xdr:colOff>
      <xdr:row>24</xdr:row>
      <xdr:rowOff>88900</xdr:rowOff>
    </xdr:from>
    <xdr:to>
      <xdr:col>6</xdr:col>
      <xdr:colOff>266700</xdr:colOff>
      <xdr:row>24</xdr:row>
      <xdr:rowOff>127000</xdr:rowOff>
    </xdr:to>
    <xdr:sp macro="" textlink="">
      <xdr:nvSpPr>
        <xdr:cNvPr id="7818" name="Dot270355"/>
        <xdr:cNvSpPr/>
      </xdr:nvSpPr>
      <xdr:spPr>
        <a:xfrm>
          <a:off x="3619500" y="469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228600</xdr:colOff>
      <xdr:row>25</xdr:row>
      <xdr:rowOff>25400</xdr:rowOff>
    </xdr:from>
    <xdr:to>
      <xdr:col>6</xdr:col>
      <xdr:colOff>266700</xdr:colOff>
      <xdr:row>25</xdr:row>
      <xdr:rowOff>63500</xdr:rowOff>
    </xdr:to>
    <xdr:sp macro="" textlink="">
      <xdr:nvSpPr>
        <xdr:cNvPr id="7819" name="Dot270365"/>
        <xdr:cNvSpPr/>
      </xdr:nvSpPr>
      <xdr:spPr>
        <a:xfrm>
          <a:off x="3619500" y="482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228600</xdr:colOff>
      <xdr:row>25</xdr:row>
      <xdr:rowOff>152400</xdr:rowOff>
    </xdr:from>
    <xdr:to>
      <xdr:col>6</xdr:col>
      <xdr:colOff>266700</xdr:colOff>
      <xdr:row>26</xdr:row>
      <xdr:rowOff>0</xdr:rowOff>
    </xdr:to>
    <xdr:sp macro="" textlink="">
      <xdr:nvSpPr>
        <xdr:cNvPr id="7820" name="Dot270375"/>
        <xdr:cNvSpPr/>
      </xdr:nvSpPr>
      <xdr:spPr>
        <a:xfrm>
          <a:off x="3619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355600</xdr:colOff>
      <xdr:row>5</xdr:row>
      <xdr:rowOff>63500</xdr:rowOff>
    </xdr:from>
    <xdr:to>
      <xdr:col>6</xdr:col>
      <xdr:colOff>393700</xdr:colOff>
      <xdr:row>5</xdr:row>
      <xdr:rowOff>101600</xdr:rowOff>
    </xdr:to>
    <xdr:sp macro="" textlink="">
      <xdr:nvSpPr>
        <xdr:cNvPr id="7821" name="Dot28065"/>
        <xdr:cNvSpPr/>
      </xdr:nvSpPr>
      <xdr:spPr>
        <a:xfrm>
          <a:off x="3746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355600</xdr:colOff>
      <xdr:row>10</xdr:row>
      <xdr:rowOff>107950</xdr:rowOff>
    </xdr:from>
    <xdr:to>
      <xdr:col>6</xdr:col>
      <xdr:colOff>393700</xdr:colOff>
      <xdr:row>10</xdr:row>
      <xdr:rowOff>146050</xdr:rowOff>
    </xdr:to>
    <xdr:sp macro="" textlink="">
      <xdr:nvSpPr>
        <xdr:cNvPr id="7822" name="Dot280145"/>
        <xdr:cNvSpPr/>
      </xdr:nvSpPr>
      <xdr:spPr>
        <a:xfrm>
          <a:off x="3746500" y="203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355600</xdr:colOff>
      <xdr:row>15</xdr:row>
      <xdr:rowOff>25400</xdr:rowOff>
    </xdr:from>
    <xdr:to>
      <xdr:col>6</xdr:col>
      <xdr:colOff>393700</xdr:colOff>
      <xdr:row>15</xdr:row>
      <xdr:rowOff>63500</xdr:rowOff>
    </xdr:to>
    <xdr:sp macro="" textlink="">
      <xdr:nvSpPr>
        <xdr:cNvPr id="7823" name="Dot280215"/>
        <xdr:cNvSpPr/>
      </xdr:nvSpPr>
      <xdr:spPr>
        <a:xfrm>
          <a:off x="3746500" y="292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355600</xdr:colOff>
      <xdr:row>20</xdr:row>
      <xdr:rowOff>88900</xdr:rowOff>
    </xdr:from>
    <xdr:to>
      <xdr:col>6</xdr:col>
      <xdr:colOff>393700</xdr:colOff>
      <xdr:row>20</xdr:row>
      <xdr:rowOff>127000</xdr:rowOff>
    </xdr:to>
    <xdr:sp macro="" textlink="">
      <xdr:nvSpPr>
        <xdr:cNvPr id="7824" name="Dot280295"/>
        <xdr:cNvSpPr/>
      </xdr:nvSpPr>
      <xdr:spPr>
        <a:xfrm>
          <a:off x="3746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355600</xdr:colOff>
      <xdr:row>25</xdr:row>
      <xdr:rowOff>152400</xdr:rowOff>
    </xdr:from>
    <xdr:to>
      <xdr:col>6</xdr:col>
      <xdr:colOff>393700</xdr:colOff>
      <xdr:row>26</xdr:row>
      <xdr:rowOff>0</xdr:rowOff>
    </xdr:to>
    <xdr:sp macro="" textlink="">
      <xdr:nvSpPr>
        <xdr:cNvPr id="7825" name="Dot280375"/>
        <xdr:cNvSpPr/>
      </xdr:nvSpPr>
      <xdr:spPr>
        <a:xfrm>
          <a:off x="3746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482600</xdr:colOff>
      <xdr:row>5</xdr:row>
      <xdr:rowOff>63500</xdr:rowOff>
    </xdr:from>
    <xdr:to>
      <xdr:col>6</xdr:col>
      <xdr:colOff>520700</xdr:colOff>
      <xdr:row>5</xdr:row>
      <xdr:rowOff>101600</xdr:rowOff>
    </xdr:to>
    <xdr:sp macro="" textlink="">
      <xdr:nvSpPr>
        <xdr:cNvPr id="7826" name="Dot29065"/>
        <xdr:cNvSpPr/>
      </xdr:nvSpPr>
      <xdr:spPr>
        <a:xfrm>
          <a:off x="3873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482600</xdr:colOff>
      <xdr:row>10</xdr:row>
      <xdr:rowOff>107950</xdr:rowOff>
    </xdr:from>
    <xdr:to>
      <xdr:col>6</xdr:col>
      <xdr:colOff>520700</xdr:colOff>
      <xdr:row>10</xdr:row>
      <xdr:rowOff>146050</xdr:rowOff>
    </xdr:to>
    <xdr:sp macro="" textlink="">
      <xdr:nvSpPr>
        <xdr:cNvPr id="7827" name="Dot290145"/>
        <xdr:cNvSpPr/>
      </xdr:nvSpPr>
      <xdr:spPr>
        <a:xfrm>
          <a:off x="3873500" y="203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482600</xdr:colOff>
      <xdr:row>15</xdr:row>
      <xdr:rowOff>25400</xdr:rowOff>
    </xdr:from>
    <xdr:to>
      <xdr:col>6</xdr:col>
      <xdr:colOff>520700</xdr:colOff>
      <xdr:row>15</xdr:row>
      <xdr:rowOff>63500</xdr:rowOff>
    </xdr:to>
    <xdr:sp macro="" textlink="">
      <xdr:nvSpPr>
        <xdr:cNvPr id="7828" name="Dot290215"/>
        <xdr:cNvSpPr/>
      </xdr:nvSpPr>
      <xdr:spPr>
        <a:xfrm>
          <a:off x="3873500" y="292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482600</xdr:colOff>
      <xdr:row>20</xdr:row>
      <xdr:rowOff>88900</xdr:rowOff>
    </xdr:from>
    <xdr:to>
      <xdr:col>6</xdr:col>
      <xdr:colOff>520700</xdr:colOff>
      <xdr:row>20</xdr:row>
      <xdr:rowOff>127000</xdr:rowOff>
    </xdr:to>
    <xdr:sp macro="" textlink="">
      <xdr:nvSpPr>
        <xdr:cNvPr id="7829" name="Dot290295"/>
        <xdr:cNvSpPr/>
      </xdr:nvSpPr>
      <xdr:spPr>
        <a:xfrm>
          <a:off x="3873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482600</xdr:colOff>
      <xdr:row>25</xdr:row>
      <xdr:rowOff>152400</xdr:rowOff>
    </xdr:from>
    <xdr:to>
      <xdr:col>6</xdr:col>
      <xdr:colOff>520700</xdr:colOff>
      <xdr:row>26</xdr:row>
      <xdr:rowOff>0</xdr:rowOff>
    </xdr:to>
    <xdr:sp macro="" textlink="">
      <xdr:nvSpPr>
        <xdr:cNvPr id="7830" name="Dot290375"/>
        <xdr:cNvSpPr/>
      </xdr:nvSpPr>
      <xdr:spPr>
        <a:xfrm>
          <a:off x="3873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5</xdr:row>
      <xdr:rowOff>63500</xdr:rowOff>
    </xdr:from>
    <xdr:to>
      <xdr:col>7</xdr:col>
      <xdr:colOff>38100</xdr:colOff>
      <xdr:row>5</xdr:row>
      <xdr:rowOff>101600</xdr:rowOff>
    </xdr:to>
    <xdr:sp macro="" textlink="">
      <xdr:nvSpPr>
        <xdr:cNvPr id="7831" name="Dot30065"/>
        <xdr:cNvSpPr/>
      </xdr:nvSpPr>
      <xdr:spPr>
        <a:xfrm>
          <a:off x="4000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10</xdr:row>
      <xdr:rowOff>107950</xdr:rowOff>
    </xdr:from>
    <xdr:to>
      <xdr:col>7</xdr:col>
      <xdr:colOff>38100</xdr:colOff>
      <xdr:row>10</xdr:row>
      <xdr:rowOff>146050</xdr:rowOff>
    </xdr:to>
    <xdr:sp macro="" textlink="">
      <xdr:nvSpPr>
        <xdr:cNvPr id="7832" name="Dot300145"/>
        <xdr:cNvSpPr/>
      </xdr:nvSpPr>
      <xdr:spPr>
        <a:xfrm>
          <a:off x="4000500" y="203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15</xdr:row>
      <xdr:rowOff>25400</xdr:rowOff>
    </xdr:from>
    <xdr:to>
      <xdr:col>7</xdr:col>
      <xdr:colOff>38100</xdr:colOff>
      <xdr:row>15</xdr:row>
      <xdr:rowOff>63500</xdr:rowOff>
    </xdr:to>
    <xdr:sp macro="" textlink="">
      <xdr:nvSpPr>
        <xdr:cNvPr id="7833" name="Dot300215"/>
        <xdr:cNvSpPr/>
      </xdr:nvSpPr>
      <xdr:spPr>
        <a:xfrm>
          <a:off x="4000500" y="292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20</xdr:row>
      <xdr:rowOff>88900</xdr:rowOff>
    </xdr:from>
    <xdr:to>
      <xdr:col>7</xdr:col>
      <xdr:colOff>38100</xdr:colOff>
      <xdr:row>20</xdr:row>
      <xdr:rowOff>127000</xdr:rowOff>
    </xdr:to>
    <xdr:sp macro="" textlink="">
      <xdr:nvSpPr>
        <xdr:cNvPr id="7834" name="Dot300295"/>
        <xdr:cNvSpPr/>
      </xdr:nvSpPr>
      <xdr:spPr>
        <a:xfrm>
          <a:off x="4000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25</xdr:row>
      <xdr:rowOff>152400</xdr:rowOff>
    </xdr:from>
    <xdr:to>
      <xdr:col>7</xdr:col>
      <xdr:colOff>38100</xdr:colOff>
      <xdr:row>26</xdr:row>
      <xdr:rowOff>0</xdr:rowOff>
    </xdr:to>
    <xdr:sp macro="" textlink="">
      <xdr:nvSpPr>
        <xdr:cNvPr id="7835" name="Dot300375"/>
        <xdr:cNvSpPr/>
      </xdr:nvSpPr>
      <xdr:spPr>
        <a:xfrm>
          <a:off x="4000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127000</xdr:colOff>
      <xdr:row>5</xdr:row>
      <xdr:rowOff>63500</xdr:rowOff>
    </xdr:from>
    <xdr:to>
      <xdr:col>7</xdr:col>
      <xdr:colOff>165100</xdr:colOff>
      <xdr:row>5</xdr:row>
      <xdr:rowOff>101600</xdr:rowOff>
    </xdr:to>
    <xdr:sp macro="" textlink="">
      <xdr:nvSpPr>
        <xdr:cNvPr id="7836" name="Dot31065"/>
        <xdr:cNvSpPr/>
      </xdr:nvSpPr>
      <xdr:spPr>
        <a:xfrm>
          <a:off x="4127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127000</xdr:colOff>
      <xdr:row>10</xdr:row>
      <xdr:rowOff>107950</xdr:rowOff>
    </xdr:from>
    <xdr:to>
      <xdr:col>7</xdr:col>
      <xdr:colOff>165100</xdr:colOff>
      <xdr:row>10</xdr:row>
      <xdr:rowOff>146050</xdr:rowOff>
    </xdr:to>
    <xdr:sp macro="" textlink="">
      <xdr:nvSpPr>
        <xdr:cNvPr id="7837" name="Dot310145"/>
        <xdr:cNvSpPr/>
      </xdr:nvSpPr>
      <xdr:spPr>
        <a:xfrm>
          <a:off x="4127500" y="203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127000</xdr:colOff>
      <xdr:row>15</xdr:row>
      <xdr:rowOff>25400</xdr:rowOff>
    </xdr:from>
    <xdr:to>
      <xdr:col>7</xdr:col>
      <xdr:colOff>165100</xdr:colOff>
      <xdr:row>15</xdr:row>
      <xdr:rowOff>63500</xdr:rowOff>
    </xdr:to>
    <xdr:sp macro="" textlink="">
      <xdr:nvSpPr>
        <xdr:cNvPr id="7838" name="Dot310215"/>
        <xdr:cNvSpPr/>
      </xdr:nvSpPr>
      <xdr:spPr>
        <a:xfrm>
          <a:off x="4127500" y="292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127000</xdr:colOff>
      <xdr:row>20</xdr:row>
      <xdr:rowOff>88900</xdr:rowOff>
    </xdr:from>
    <xdr:to>
      <xdr:col>7</xdr:col>
      <xdr:colOff>165100</xdr:colOff>
      <xdr:row>20</xdr:row>
      <xdr:rowOff>127000</xdr:rowOff>
    </xdr:to>
    <xdr:sp macro="" textlink="">
      <xdr:nvSpPr>
        <xdr:cNvPr id="7839" name="Dot310295"/>
        <xdr:cNvSpPr/>
      </xdr:nvSpPr>
      <xdr:spPr>
        <a:xfrm>
          <a:off x="4127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127000</xdr:colOff>
      <xdr:row>25</xdr:row>
      <xdr:rowOff>152400</xdr:rowOff>
    </xdr:from>
    <xdr:to>
      <xdr:col>7</xdr:col>
      <xdr:colOff>165100</xdr:colOff>
      <xdr:row>26</xdr:row>
      <xdr:rowOff>0</xdr:rowOff>
    </xdr:to>
    <xdr:sp macro="" textlink="">
      <xdr:nvSpPr>
        <xdr:cNvPr id="7840" name="Dot310375"/>
        <xdr:cNvSpPr/>
      </xdr:nvSpPr>
      <xdr:spPr>
        <a:xfrm>
          <a:off x="4127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254000</xdr:colOff>
      <xdr:row>2</xdr:row>
      <xdr:rowOff>0</xdr:rowOff>
    </xdr:from>
    <xdr:to>
      <xdr:col>7</xdr:col>
      <xdr:colOff>292100</xdr:colOff>
      <xdr:row>2</xdr:row>
      <xdr:rowOff>38100</xdr:rowOff>
    </xdr:to>
    <xdr:sp macro="" textlink="">
      <xdr:nvSpPr>
        <xdr:cNvPr id="7841" name="Dot32015"/>
        <xdr:cNvSpPr/>
      </xdr:nvSpPr>
      <xdr:spPr>
        <a:xfrm>
          <a:off x="4254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254000</xdr:colOff>
      <xdr:row>2</xdr:row>
      <xdr:rowOff>127000</xdr:rowOff>
    </xdr:from>
    <xdr:to>
      <xdr:col>7</xdr:col>
      <xdr:colOff>292100</xdr:colOff>
      <xdr:row>2</xdr:row>
      <xdr:rowOff>165100</xdr:rowOff>
    </xdr:to>
    <xdr:sp macro="" textlink="">
      <xdr:nvSpPr>
        <xdr:cNvPr id="7842" name="Dot32025"/>
        <xdr:cNvSpPr/>
      </xdr:nvSpPr>
      <xdr:spPr>
        <a:xfrm>
          <a:off x="4254500" y="508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254000</xdr:colOff>
      <xdr:row>3</xdr:row>
      <xdr:rowOff>63500</xdr:rowOff>
    </xdr:from>
    <xdr:to>
      <xdr:col>7</xdr:col>
      <xdr:colOff>292100</xdr:colOff>
      <xdr:row>3</xdr:row>
      <xdr:rowOff>101600</xdr:rowOff>
    </xdr:to>
    <xdr:sp macro="" textlink="">
      <xdr:nvSpPr>
        <xdr:cNvPr id="7843" name="Dot32035"/>
        <xdr:cNvSpPr/>
      </xdr:nvSpPr>
      <xdr:spPr>
        <a:xfrm>
          <a:off x="4254500" y="63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254000</xdr:colOff>
      <xdr:row>4</xdr:row>
      <xdr:rowOff>0</xdr:rowOff>
    </xdr:from>
    <xdr:to>
      <xdr:col>7</xdr:col>
      <xdr:colOff>292100</xdr:colOff>
      <xdr:row>4</xdr:row>
      <xdr:rowOff>38100</xdr:rowOff>
    </xdr:to>
    <xdr:sp macro="" textlink="">
      <xdr:nvSpPr>
        <xdr:cNvPr id="7844" name="Dot32045"/>
        <xdr:cNvSpPr/>
      </xdr:nvSpPr>
      <xdr:spPr>
        <a:xfrm>
          <a:off x="4254500" y="76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254000</xdr:colOff>
      <xdr:row>4</xdr:row>
      <xdr:rowOff>127000</xdr:rowOff>
    </xdr:from>
    <xdr:to>
      <xdr:col>7</xdr:col>
      <xdr:colOff>292100</xdr:colOff>
      <xdr:row>4</xdr:row>
      <xdr:rowOff>165100</xdr:rowOff>
    </xdr:to>
    <xdr:sp macro="" textlink="">
      <xdr:nvSpPr>
        <xdr:cNvPr id="7845" name="Dot32055"/>
        <xdr:cNvSpPr/>
      </xdr:nvSpPr>
      <xdr:spPr>
        <a:xfrm>
          <a:off x="4254500" y="88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254000</xdr:colOff>
      <xdr:row>5</xdr:row>
      <xdr:rowOff>63500</xdr:rowOff>
    </xdr:from>
    <xdr:to>
      <xdr:col>7</xdr:col>
      <xdr:colOff>292100</xdr:colOff>
      <xdr:row>5</xdr:row>
      <xdr:rowOff>101600</xdr:rowOff>
    </xdr:to>
    <xdr:sp macro="" textlink="">
      <xdr:nvSpPr>
        <xdr:cNvPr id="7846" name="Dot32065"/>
        <xdr:cNvSpPr/>
      </xdr:nvSpPr>
      <xdr:spPr>
        <a:xfrm>
          <a:off x="4254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254000</xdr:colOff>
      <xdr:row>8</xdr:row>
      <xdr:rowOff>0</xdr:rowOff>
    </xdr:from>
    <xdr:to>
      <xdr:col>7</xdr:col>
      <xdr:colOff>292100</xdr:colOff>
      <xdr:row>8</xdr:row>
      <xdr:rowOff>38100</xdr:rowOff>
    </xdr:to>
    <xdr:sp macro="" textlink="">
      <xdr:nvSpPr>
        <xdr:cNvPr id="7847" name="Dot320105"/>
        <xdr:cNvSpPr/>
      </xdr:nvSpPr>
      <xdr:spPr>
        <a:xfrm>
          <a:off x="4254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254000</xdr:colOff>
      <xdr:row>8</xdr:row>
      <xdr:rowOff>127000</xdr:rowOff>
    </xdr:from>
    <xdr:to>
      <xdr:col>7</xdr:col>
      <xdr:colOff>292100</xdr:colOff>
      <xdr:row>8</xdr:row>
      <xdr:rowOff>165100</xdr:rowOff>
    </xdr:to>
    <xdr:sp macro="" textlink="">
      <xdr:nvSpPr>
        <xdr:cNvPr id="7848" name="Dot320115"/>
        <xdr:cNvSpPr/>
      </xdr:nvSpPr>
      <xdr:spPr>
        <a:xfrm>
          <a:off x="4254500" y="165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254000</xdr:colOff>
      <xdr:row>9</xdr:row>
      <xdr:rowOff>63500</xdr:rowOff>
    </xdr:from>
    <xdr:to>
      <xdr:col>7</xdr:col>
      <xdr:colOff>292100</xdr:colOff>
      <xdr:row>9</xdr:row>
      <xdr:rowOff>101600</xdr:rowOff>
    </xdr:to>
    <xdr:sp macro="" textlink="">
      <xdr:nvSpPr>
        <xdr:cNvPr id="7849" name="Dot320125"/>
        <xdr:cNvSpPr/>
      </xdr:nvSpPr>
      <xdr:spPr>
        <a:xfrm>
          <a:off x="4254500" y="1778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254000</xdr:colOff>
      <xdr:row>9</xdr:row>
      <xdr:rowOff>190500</xdr:rowOff>
    </xdr:from>
    <xdr:to>
      <xdr:col>7</xdr:col>
      <xdr:colOff>292100</xdr:colOff>
      <xdr:row>10</xdr:row>
      <xdr:rowOff>19050</xdr:rowOff>
    </xdr:to>
    <xdr:sp macro="" textlink="">
      <xdr:nvSpPr>
        <xdr:cNvPr id="7850" name="Dot320135"/>
        <xdr:cNvSpPr/>
      </xdr:nvSpPr>
      <xdr:spPr>
        <a:xfrm>
          <a:off x="4254500" y="190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254000</xdr:colOff>
      <xdr:row>10</xdr:row>
      <xdr:rowOff>107950</xdr:rowOff>
    </xdr:from>
    <xdr:to>
      <xdr:col>7</xdr:col>
      <xdr:colOff>292100</xdr:colOff>
      <xdr:row>10</xdr:row>
      <xdr:rowOff>146050</xdr:rowOff>
    </xdr:to>
    <xdr:sp macro="" textlink="">
      <xdr:nvSpPr>
        <xdr:cNvPr id="7851" name="Dot320145"/>
        <xdr:cNvSpPr/>
      </xdr:nvSpPr>
      <xdr:spPr>
        <a:xfrm>
          <a:off x="4254500" y="203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254000</xdr:colOff>
      <xdr:row>15</xdr:row>
      <xdr:rowOff>25400</xdr:rowOff>
    </xdr:from>
    <xdr:to>
      <xdr:col>7</xdr:col>
      <xdr:colOff>292100</xdr:colOff>
      <xdr:row>15</xdr:row>
      <xdr:rowOff>63500</xdr:rowOff>
    </xdr:to>
    <xdr:sp macro="" textlink="">
      <xdr:nvSpPr>
        <xdr:cNvPr id="7852" name="Dot320215"/>
        <xdr:cNvSpPr/>
      </xdr:nvSpPr>
      <xdr:spPr>
        <a:xfrm>
          <a:off x="4254500" y="292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254000</xdr:colOff>
      <xdr:row>17</xdr:row>
      <xdr:rowOff>152400</xdr:rowOff>
    </xdr:from>
    <xdr:to>
      <xdr:col>7</xdr:col>
      <xdr:colOff>292100</xdr:colOff>
      <xdr:row>18</xdr:row>
      <xdr:rowOff>0</xdr:rowOff>
    </xdr:to>
    <xdr:sp macro="" textlink="">
      <xdr:nvSpPr>
        <xdr:cNvPr id="7853" name="Dot320255"/>
        <xdr:cNvSpPr/>
      </xdr:nvSpPr>
      <xdr:spPr>
        <a:xfrm>
          <a:off x="4254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254000</xdr:colOff>
      <xdr:row>18</xdr:row>
      <xdr:rowOff>88900</xdr:rowOff>
    </xdr:from>
    <xdr:to>
      <xdr:col>7</xdr:col>
      <xdr:colOff>292100</xdr:colOff>
      <xdr:row>18</xdr:row>
      <xdr:rowOff>127000</xdr:rowOff>
    </xdr:to>
    <xdr:sp macro="" textlink="">
      <xdr:nvSpPr>
        <xdr:cNvPr id="7854" name="Dot320265"/>
        <xdr:cNvSpPr/>
      </xdr:nvSpPr>
      <xdr:spPr>
        <a:xfrm>
          <a:off x="4254500" y="355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254000</xdr:colOff>
      <xdr:row>19</xdr:row>
      <xdr:rowOff>25400</xdr:rowOff>
    </xdr:from>
    <xdr:to>
      <xdr:col>7</xdr:col>
      <xdr:colOff>292100</xdr:colOff>
      <xdr:row>19</xdr:row>
      <xdr:rowOff>63500</xdr:rowOff>
    </xdr:to>
    <xdr:sp macro="" textlink="">
      <xdr:nvSpPr>
        <xdr:cNvPr id="7855" name="Dot320275"/>
        <xdr:cNvSpPr/>
      </xdr:nvSpPr>
      <xdr:spPr>
        <a:xfrm>
          <a:off x="4254500" y="368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254000</xdr:colOff>
      <xdr:row>19</xdr:row>
      <xdr:rowOff>152400</xdr:rowOff>
    </xdr:from>
    <xdr:to>
      <xdr:col>7</xdr:col>
      <xdr:colOff>292100</xdr:colOff>
      <xdr:row>20</xdr:row>
      <xdr:rowOff>0</xdr:rowOff>
    </xdr:to>
    <xdr:sp macro="" textlink="">
      <xdr:nvSpPr>
        <xdr:cNvPr id="7856" name="Dot320285"/>
        <xdr:cNvSpPr/>
      </xdr:nvSpPr>
      <xdr:spPr>
        <a:xfrm>
          <a:off x="4254500" y="3810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254000</xdr:colOff>
      <xdr:row>20</xdr:row>
      <xdr:rowOff>88900</xdr:rowOff>
    </xdr:from>
    <xdr:to>
      <xdr:col>7</xdr:col>
      <xdr:colOff>292100</xdr:colOff>
      <xdr:row>20</xdr:row>
      <xdr:rowOff>127000</xdr:rowOff>
    </xdr:to>
    <xdr:sp macro="" textlink="">
      <xdr:nvSpPr>
        <xdr:cNvPr id="7857" name="Dot320295"/>
        <xdr:cNvSpPr/>
      </xdr:nvSpPr>
      <xdr:spPr>
        <a:xfrm>
          <a:off x="4254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254000</xdr:colOff>
      <xdr:row>23</xdr:row>
      <xdr:rowOff>25400</xdr:rowOff>
    </xdr:from>
    <xdr:to>
      <xdr:col>7</xdr:col>
      <xdr:colOff>292100</xdr:colOff>
      <xdr:row>23</xdr:row>
      <xdr:rowOff>63500</xdr:rowOff>
    </xdr:to>
    <xdr:sp macro="" textlink="">
      <xdr:nvSpPr>
        <xdr:cNvPr id="7858" name="Dot320335"/>
        <xdr:cNvSpPr/>
      </xdr:nvSpPr>
      <xdr:spPr>
        <a:xfrm>
          <a:off x="4254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254000</xdr:colOff>
      <xdr:row>23</xdr:row>
      <xdr:rowOff>152400</xdr:rowOff>
    </xdr:from>
    <xdr:to>
      <xdr:col>7</xdr:col>
      <xdr:colOff>292100</xdr:colOff>
      <xdr:row>24</xdr:row>
      <xdr:rowOff>0</xdr:rowOff>
    </xdr:to>
    <xdr:sp macro="" textlink="">
      <xdr:nvSpPr>
        <xdr:cNvPr id="7859" name="Dot320345"/>
        <xdr:cNvSpPr/>
      </xdr:nvSpPr>
      <xdr:spPr>
        <a:xfrm>
          <a:off x="4254500" y="457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254000</xdr:colOff>
      <xdr:row>24</xdr:row>
      <xdr:rowOff>88900</xdr:rowOff>
    </xdr:from>
    <xdr:to>
      <xdr:col>7</xdr:col>
      <xdr:colOff>292100</xdr:colOff>
      <xdr:row>24</xdr:row>
      <xdr:rowOff>127000</xdr:rowOff>
    </xdr:to>
    <xdr:sp macro="" textlink="">
      <xdr:nvSpPr>
        <xdr:cNvPr id="7860" name="Dot320355"/>
        <xdr:cNvSpPr/>
      </xdr:nvSpPr>
      <xdr:spPr>
        <a:xfrm>
          <a:off x="4254500" y="469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254000</xdr:colOff>
      <xdr:row>25</xdr:row>
      <xdr:rowOff>25400</xdr:rowOff>
    </xdr:from>
    <xdr:to>
      <xdr:col>7</xdr:col>
      <xdr:colOff>292100</xdr:colOff>
      <xdr:row>25</xdr:row>
      <xdr:rowOff>63500</xdr:rowOff>
    </xdr:to>
    <xdr:sp macro="" textlink="">
      <xdr:nvSpPr>
        <xdr:cNvPr id="7861" name="Dot320365"/>
        <xdr:cNvSpPr/>
      </xdr:nvSpPr>
      <xdr:spPr>
        <a:xfrm>
          <a:off x="4254500" y="482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254000</xdr:colOff>
      <xdr:row>25</xdr:row>
      <xdr:rowOff>152400</xdr:rowOff>
    </xdr:from>
    <xdr:to>
      <xdr:col>7</xdr:col>
      <xdr:colOff>292100</xdr:colOff>
      <xdr:row>26</xdr:row>
      <xdr:rowOff>0</xdr:rowOff>
    </xdr:to>
    <xdr:sp macro="" textlink="">
      <xdr:nvSpPr>
        <xdr:cNvPr id="7862" name="Dot320375"/>
        <xdr:cNvSpPr/>
      </xdr:nvSpPr>
      <xdr:spPr>
        <a:xfrm>
          <a:off x="4254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0</xdr:rowOff>
    </xdr:from>
    <xdr:to>
      <xdr:col>7</xdr:col>
      <xdr:colOff>419100</xdr:colOff>
      <xdr:row>2</xdr:row>
      <xdr:rowOff>38100</xdr:rowOff>
    </xdr:to>
    <xdr:sp macro="" textlink="">
      <xdr:nvSpPr>
        <xdr:cNvPr id="7863" name="Dot33015"/>
        <xdr:cNvSpPr/>
      </xdr:nvSpPr>
      <xdr:spPr>
        <a:xfrm>
          <a:off x="4381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5</xdr:row>
      <xdr:rowOff>63500</xdr:rowOff>
    </xdr:from>
    <xdr:to>
      <xdr:col>7</xdr:col>
      <xdr:colOff>419100</xdr:colOff>
      <xdr:row>5</xdr:row>
      <xdr:rowOff>101600</xdr:rowOff>
    </xdr:to>
    <xdr:sp macro="" textlink="">
      <xdr:nvSpPr>
        <xdr:cNvPr id="7864" name="Dot33065"/>
        <xdr:cNvSpPr/>
      </xdr:nvSpPr>
      <xdr:spPr>
        <a:xfrm>
          <a:off x="4381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8</xdr:row>
      <xdr:rowOff>0</xdr:rowOff>
    </xdr:from>
    <xdr:to>
      <xdr:col>7</xdr:col>
      <xdr:colOff>419100</xdr:colOff>
      <xdr:row>8</xdr:row>
      <xdr:rowOff>38100</xdr:rowOff>
    </xdr:to>
    <xdr:sp macro="" textlink="">
      <xdr:nvSpPr>
        <xdr:cNvPr id="7865" name="Dot330105"/>
        <xdr:cNvSpPr/>
      </xdr:nvSpPr>
      <xdr:spPr>
        <a:xfrm>
          <a:off x="4381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10</xdr:row>
      <xdr:rowOff>107950</xdr:rowOff>
    </xdr:from>
    <xdr:to>
      <xdr:col>7</xdr:col>
      <xdr:colOff>419100</xdr:colOff>
      <xdr:row>10</xdr:row>
      <xdr:rowOff>146050</xdr:rowOff>
    </xdr:to>
    <xdr:sp macro="" textlink="">
      <xdr:nvSpPr>
        <xdr:cNvPr id="7866" name="Dot330145"/>
        <xdr:cNvSpPr/>
      </xdr:nvSpPr>
      <xdr:spPr>
        <a:xfrm>
          <a:off x="4381500" y="203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15</xdr:row>
      <xdr:rowOff>25400</xdr:rowOff>
    </xdr:from>
    <xdr:to>
      <xdr:col>7</xdr:col>
      <xdr:colOff>419100</xdr:colOff>
      <xdr:row>15</xdr:row>
      <xdr:rowOff>63500</xdr:rowOff>
    </xdr:to>
    <xdr:sp macro="" textlink="">
      <xdr:nvSpPr>
        <xdr:cNvPr id="7867" name="Dot330215"/>
        <xdr:cNvSpPr/>
      </xdr:nvSpPr>
      <xdr:spPr>
        <a:xfrm>
          <a:off x="4381500" y="292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17</xdr:row>
      <xdr:rowOff>152400</xdr:rowOff>
    </xdr:from>
    <xdr:to>
      <xdr:col>7</xdr:col>
      <xdr:colOff>419100</xdr:colOff>
      <xdr:row>18</xdr:row>
      <xdr:rowOff>0</xdr:rowOff>
    </xdr:to>
    <xdr:sp macro="" textlink="">
      <xdr:nvSpPr>
        <xdr:cNvPr id="7868" name="Dot330255"/>
        <xdr:cNvSpPr/>
      </xdr:nvSpPr>
      <xdr:spPr>
        <a:xfrm>
          <a:off x="4381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20</xdr:row>
      <xdr:rowOff>88900</xdr:rowOff>
    </xdr:from>
    <xdr:to>
      <xdr:col>7</xdr:col>
      <xdr:colOff>419100</xdr:colOff>
      <xdr:row>20</xdr:row>
      <xdr:rowOff>127000</xdr:rowOff>
    </xdr:to>
    <xdr:sp macro="" textlink="">
      <xdr:nvSpPr>
        <xdr:cNvPr id="7869" name="Dot330295"/>
        <xdr:cNvSpPr/>
      </xdr:nvSpPr>
      <xdr:spPr>
        <a:xfrm>
          <a:off x="4381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23</xdr:row>
      <xdr:rowOff>25400</xdr:rowOff>
    </xdr:from>
    <xdr:to>
      <xdr:col>7</xdr:col>
      <xdr:colOff>419100</xdr:colOff>
      <xdr:row>23</xdr:row>
      <xdr:rowOff>63500</xdr:rowOff>
    </xdr:to>
    <xdr:sp macro="" textlink="">
      <xdr:nvSpPr>
        <xdr:cNvPr id="7870" name="Dot330335"/>
        <xdr:cNvSpPr/>
      </xdr:nvSpPr>
      <xdr:spPr>
        <a:xfrm>
          <a:off x="4381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25</xdr:row>
      <xdr:rowOff>152400</xdr:rowOff>
    </xdr:from>
    <xdr:to>
      <xdr:col>7</xdr:col>
      <xdr:colOff>419100</xdr:colOff>
      <xdr:row>26</xdr:row>
      <xdr:rowOff>0</xdr:rowOff>
    </xdr:to>
    <xdr:sp macro="" textlink="">
      <xdr:nvSpPr>
        <xdr:cNvPr id="7871" name="Dot330375"/>
        <xdr:cNvSpPr/>
      </xdr:nvSpPr>
      <xdr:spPr>
        <a:xfrm>
          <a:off x="4381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508000</xdr:colOff>
      <xdr:row>2</xdr:row>
      <xdr:rowOff>0</xdr:rowOff>
    </xdr:from>
    <xdr:to>
      <xdr:col>7</xdr:col>
      <xdr:colOff>546100</xdr:colOff>
      <xdr:row>2</xdr:row>
      <xdr:rowOff>38100</xdr:rowOff>
    </xdr:to>
    <xdr:sp macro="" textlink="">
      <xdr:nvSpPr>
        <xdr:cNvPr id="7872" name="Dot34015"/>
        <xdr:cNvSpPr/>
      </xdr:nvSpPr>
      <xdr:spPr>
        <a:xfrm>
          <a:off x="4508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508000</xdr:colOff>
      <xdr:row>5</xdr:row>
      <xdr:rowOff>63500</xdr:rowOff>
    </xdr:from>
    <xdr:to>
      <xdr:col>7</xdr:col>
      <xdr:colOff>546100</xdr:colOff>
      <xdr:row>5</xdr:row>
      <xdr:rowOff>101600</xdr:rowOff>
    </xdr:to>
    <xdr:sp macro="" textlink="">
      <xdr:nvSpPr>
        <xdr:cNvPr id="7873" name="Dot34065"/>
        <xdr:cNvSpPr/>
      </xdr:nvSpPr>
      <xdr:spPr>
        <a:xfrm>
          <a:off x="4508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508000</xdr:colOff>
      <xdr:row>8</xdr:row>
      <xdr:rowOff>0</xdr:rowOff>
    </xdr:from>
    <xdr:to>
      <xdr:col>7</xdr:col>
      <xdr:colOff>546100</xdr:colOff>
      <xdr:row>8</xdr:row>
      <xdr:rowOff>38100</xdr:rowOff>
    </xdr:to>
    <xdr:sp macro="" textlink="">
      <xdr:nvSpPr>
        <xdr:cNvPr id="7874" name="Dot340105"/>
        <xdr:cNvSpPr/>
      </xdr:nvSpPr>
      <xdr:spPr>
        <a:xfrm>
          <a:off x="4508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508000</xdr:colOff>
      <xdr:row>10</xdr:row>
      <xdr:rowOff>107950</xdr:rowOff>
    </xdr:from>
    <xdr:to>
      <xdr:col>7</xdr:col>
      <xdr:colOff>546100</xdr:colOff>
      <xdr:row>10</xdr:row>
      <xdr:rowOff>146050</xdr:rowOff>
    </xdr:to>
    <xdr:sp macro="" textlink="">
      <xdr:nvSpPr>
        <xdr:cNvPr id="7875" name="Dot340145"/>
        <xdr:cNvSpPr/>
      </xdr:nvSpPr>
      <xdr:spPr>
        <a:xfrm>
          <a:off x="4508500" y="203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508000</xdr:colOff>
      <xdr:row>15</xdr:row>
      <xdr:rowOff>25400</xdr:rowOff>
    </xdr:from>
    <xdr:to>
      <xdr:col>7</xdr:col>
      <xdr:colOff>546100</xdr:colOff>
      <xdr:row>15</xdr:row>
      <xdr:rowOff>63500</xdr:rowOff>
    </xdr:to>
    <xdr:sp macro="" textlink="">
      <xdr:nvSpPr>
        <xdr:cNvPr id="7876" name="Dot340215"/>
        <xdr:cNvSpPr/>
      </xdr:nvSpPr>
      <xdr:spPr>
        <a:xfrm>
          <a:off x="4508500" y="292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508000</xdr:colOff>
      <xdr:row>17</xdr:row>
      <xdr:rowOff>152400</xdr:rowOff>
    </xdr:from>
    <xdr:to>
      <xdr:col>7</xdr:col>
      <xdr:colOff>546100</xdr:colOff>
      <xdr:row>18</xdr:row>
      <xdr:rowOff>0</xdr:rowOff>
    </xdr:to>
    <xdr:sp macro="" textlink="">
      <xdr:nvSpPr>
        <xdr:cNvPr id="7877" name="Dot340255"/>
        <xdr:cNvSpPr/>
      </xdr:nvSpPr>
      <xdr:spPr>
        <a:xfrm>
          <a:off x="4508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508000</xdr:colOff>
      <xdr:row>20</xdr:row>
      <xdr:rowOff>88900</xdr:rowOff>
    </xdr:from>
    <xdr:to>
      <xdr:col>7</xdr:col>
      <xdr:colOff>546100</xdr:colOff>
      <xdr:row>20</xdr:row>
      <xdr:rowOff>127000</xdr:rowOff>
    </xdr:to>
    <xdr:sp macro="" textlink="">
      <xdr:nvSpPr>
        <xdr:cNvPr id="7878" name="Dot340295"/>
        <xdr:cNvSpPr/>
      </xdr:nvSpPr>
      <xdr:spPr>
        <a:xfrm>
          <a:off x="4508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508000</xdr:colOff>
      <xdr:row>23</xdr:row>
      <xdr:rowOff>25400</xdr:rowOff>
    </xdr:from>
    <xdr:to>
      <xdr:col>7</xdr:col>
      <xdr:colOff>546100</xdr:colOff>
      <xdr:row>23</xdr:row>
      <xdr:rowOff>63500</xdr:rowOff>
    </xdr:to>
    <xdr:sp macro="" textlink="">
      <xdr:nvSpPr>
        <xdr:cNvPr id="7879" name="Dot340335"/>
        <xdr:cNvSpPr/>
      </xdr:nvSpPr>
      <xdr:spPr>
        <a:xfrm>
          <a:off x="4508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508000</xdr:colOff>
      <xdr:row>25</xdr:row>
      <xdr:rowOff>152400</xdr:rowOff>
    </xdr:from>
    <xdr:to>
      <xdr:col>7</xdr:col>
      <xdr:colOff>546100</xdr:colOff>
      <xdr:row>26</xdr:row>
      <xdr:rowOff>0</xdr:rowOff>
    </xdr:to>
    <xdr:sp macro="" textlink="">
      <xdr:nvSpPr>
        <xdr:cNvPr id="7880" name="Dot340375"/>
        <xdr:cNvSpPr/>
      </xdr:nvSpPr>
      <xdr:spPr>
        <a:xfrm>
          <a:off x="4508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25400</xdr:colOff>
      <xdr:row>2</xdr:row>
      <xdr:rowOff>0</xdr:rowOff>
    </xdr:from>
    <xdr:to>
      <xdr:col>8</xdr:col>
      <xdr:colOff>63500</xdr:colOff>
      <xdr:row>2</xdr:row>
      <xdr:rowOff>38100</xdr:rowOff>
    </xdr:to>
    <xdr:sp macro="" textlink="">
      <xdr:nvSpPr>
        <xdr:cNvPr id="7881" name="Dot35015"/>
        <xdr:cNvSpPr/>
      </xdr:nvSpPr>
      <xdr:spPr>
        <a:xfrm>
          <a:off x="4635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25400</xdr:colOff>
      <xdr:row>5</xdr:row>
      <xdr:rowOff>63500</xdr:rowOff>
    </xdr:from>
    <xdr:to>
      <xdr:col>8</xdr:col>
      <xdr:colOff>63500</xdr:colOff>
      <xdr:row>5</xdr:row>
      <xdr:rowOff>101600</xdr:rowOff>
    </xdr:to>
    <xdr:sp macro="" textlink="">
      <xdr:nvSpPr>
        <xdr:cNvPr id="7882" name="Dot35065"/>
        <xdr:cNvSpPr/>
      </xdr:nvSpPr>
      <xdr:spPr>
        <a:xfrm>
          <a:off x="4635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25400</xdr:colOff>
      <xdr:row>8</xdr:row>
      <xdr:rowOff>0</xdr:rowOff>
    </xdr:from>
    <xdr:to>
      <xdr:col>8</xdr:col>
      <xdr:colOff>63500</xdr:colOff>
      <xdr:row>8</xdr:row>
      <xdr:rowOff>38100</xdr:rowOff>
    </xdr:to>
    <xdr:sp macro="" textlink="">
      <xdr:nvSpPr>
        <xdr:cNvPr id="7883" name="Dot350105"/>
        <xdr:cNvSpPr/>
      </xdr:nvSpPr>
      <xdr:spPr>
        <a:xfrm>
          <a:off x="4635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25400</xdr:colOff>
      <xdr:row>10</xdr:row>
      <xdr:rowOff>107950</xdr:rowOff>
    </xdr:from>
    <xdr:to>
      <xdr:col>8</xdr:col>
      <xdr:colOff>63500</xdr:colOff>
      <xdr:row>10</xdr:row>
      <xdr:rowOff>146050</xdr:rowOff>
    </xdr:to>
    <xdr:sp macro="" textlink="">
      <xdr:nvSpPr>
        <xdr:cNvPr id="7884" name="Dot350145"/>
        <xdr:cNvSpPr/>
      </xdr:nvSpPr>
      <xdr:spPr>
        <a:xfrm>
          <a:off x="4635500" y="203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25400</xdr:colOff>
      <xdr:row>15</xdr:row>
      <xdr:rowOff>25400</xdr:rowOff>
    </xdr:from>
    <xdr:to>
      <xdr:col>8</xdr:col>
      <xdr:colOff>63500</xdr:colOff>
      <xdr:row>15</xdr:row>
      <xdr:rowOff>63500</xdr:rowOff>
    </xdr:to>
    <xdr:sp macro="" textlink="">
      <xdr:nvSpPr>
        <xdr:cNvPr id="7885" name="Dot350215"/>
        <xdr:cNvSpPr/>
      </xdr:nvSpPr>
      <xdr:spPr>
        <a:xfrm>
          <a:off x="4635500" y="292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25400</xdr:colOff>
      <xdr:row>17</xdr:row>
      <xdr:rowOff>152400</xdr:rowOff>
    </xdr:from>
    <xdr:to>
      <xdr:col>8</xdr:col>
      <xdr:colOff>63500</xdr:colOff>
      <xdr:row>18</xdr:row>
      <xdr:rowOff>0</xdr:rowOff>
    </xdr:to>
    <xdr:sp macro="" textlink="">
      <xdr:nvSpPr>
        <xdr:cNvPr id="7886" name="Dot350255"/>
        <xdr:cNvSpPr/>
      </xdr:nvSpPr>
      <xdr:spPr>
        <a:xfrm>
          <a:off x="4635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25400</xdr:colOff>
      <xdr:row>20</xdr:row>
      <xdr:rowOff>88900</xdr:rowOff>
    </xdr:from>
    <xdr:to>
      <xdr:col>8</xdr:col>
      <xdr:colOff>63500</xdr:colOff>
      <xdr:row>20</xdr:row>
      <xdr:rowOff>127000</xdr:rowOff>
    </xdr:to>
    <xdr:sp macro="" textlink="">
      <xdr:nvSpPr>
        <xdr:cNvPr id="7887" name="Dot350295"/>
        <xdr:cNvSpPr/>
      </xdr:nvSpPr>
      <xdr:spPr>
        <a:xfrm>
          <a:off x="4635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25400</xdr:colOff>
      <xdr:row>23</xdr:row>
      <xdr:rowOff>25400</xdr:rowOff>
    </xdr:from>
    <xdr:to>
      <xdr:col>8</xdr:col>
      <xdr:colOff>63500</xdr:colOff>
      <xdr:row>23</xdr:row>
      <xdr:rowOff>63500</xdr:rowOff>
    </xdr:to>
    <xdr:sp macro="" textlink="">
      <xdr:nvSpPr>
        <xdr:cNvPr id="7888" name="Dot350335"/>
        <xdr:cNvSpPr/>
      </xdr:nvSpPr>
      <xdr:spPr>
        <a:xfrm>
          <a:off x="4635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25400</xdr:colOff>
      <xdr:row>25</xdr:row>
      <xdr:rowOff>152400</xdr:rowOff>
    </xdr:from>
    <xdr:to>
      <xdr:col>8</xdr:col>
      <xdr:colOff>63500</xdr:colOff>
      <xdr:row>26</xdr:row>
      <xdr:rowOff>0</xdr:rowOff>
    </xdr:to>
    <xdr:sp macro="" textlink="">
      <xdr:nvSpPr>
        <xdr:cNvPr id="7889" name="Dot350375"/>
        <xdr:cNvSpPr/>
      </xdr:nvSpPr>
      <xdr:spPr>
        <a:xfrm>
          <a:off x="4635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152400</xdr:colOff>
      <xdr:row>2</xdr:row>
      <xdr:rowOff>0</xdr:rowOff>
    </xdr:from>
    <xdr:to>
      <xdr:col>8</xdr:col>
      <xdr:colOff>190500</xdr:colOff>
      <xdr:row>2</xdr:row>
      <xdr:rowOff>38100</xdr:rowOff>
    </xdr:to>
    <xdr:sp macro="" textlink="">
      <xdr:nvSpPr>
        <xdr:cNvPr id="7890" name="Dot36015"/>
        <xdr:cNvSpPr/>
      </xdr:nvSpPr>
      <xdr:spPr>
        <a:xfrm>
          <a:off x="4762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152400</xdr:colOff>
      <xdr:row>5</xdr:row>
      <xdr:rowOff>63500</xdr:rowOff>
    </xdr:from>
    <xdr:to>
      <xdr:col>8</xdr:col>
      <xdr:colOff>190500</xdr:colOff>
      <xdr:row>5</xdr:row>
      <xdr:rowOff>101600</xdr:rowOff>
    </xdr:to>
    <xdr:sp macro="" textlink="">
      <xdr:nvSpPr>
        <xdr:cNvPr id="7891" name="Dot36065"/>
        <xdr:cNvSpPr/>
      </xdr:nvSpPr>
      <xdr:spPr>
        <a:xfrm>
          <a:off x="4762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152400</xdr:colOff>
      <xdr:row>8</xdr:row>
      <xdr:rowOff>0</xdr:rowOff>
    </xdr:from>
    <xdr:to>
      <xdr:col>8</xdr:col>
      <xdr:colOff>190500</xdr:colOff>
      <xdr:row>8</xdr:row>
      <xdr:rowOff>38100</xdr:rowOff>
    </xdr:to>
    <xdr:sp macro="" textlink="">
      <xdr:nvSpPr>
        <xdr:cNvPr id="7892" name="Dot360105"/>
        <xdr:cNvSpPr/>
      </xdr:nvSpPr>
      <xdr:spPr>
        <a:xfrm>
          <a:off x="4762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152400</xdr:colOff>
      <xdr:row>10</xdr:row>
      <xdr:rowOff>107950</xdr:rowOff>
    </xdr:from>
    <xdr:to>
      <xdr:col>8</xdr:col>
      <xdr:colOff>190500</xdr:colOff>
      <xdr:row>10</xdr:row>
      <xdr:rowOff>146050</xdr:rowOff>
    </xdr:to>
    <xdr:sp macro="" textlink="">
      <xdr:nvSpPr>
        <xdr:cNvPr id="7893" name="Dot360145"/>
        <xdr:cNvSpPr/>
      </xdr:nvSpPr>
      <xdr:spPr>
        <a:xfrm>
          <a:off x="4762500" y="203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152400</xdr:colOff>
      <xdr:row>15</xdr:row>
      <xdr:rowOff>25400</xdr:rowOff>
    </xdr:from>
    <xdr:to>
      <xdr:col>8</xdr:col>
      <xdr:colOff>190500</xdr:colOff>
      <xdr:row>15</xdr:row>
      <xdr:rowOff>63500</xdr:rowOff>
    </xdr:to>
    <xdr:sp macro="" textlink="">
      <xdr:nvSpPr>
        <xdr:cNvPr id="7894" name="Dot360215"/>
        <xdr:cNvSpPr/>
      </xdr:nvSpPr>
      <xdr:spPr>
        <a:xfrm>
          <a:off x="4762500" y="292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152400</xdr:colOff>
      <xdr:row>17</xdr:row>
      <xdr:rowOff>152400</xdr:rowOff>
    </xdr:from>
    <xdr:to>
      <xdr:col>8</xdr:col>
      <xdr:colOff>190500</xdr:colOff>
      <xdr:row>18</xdr:row>
      <xdr:rowOff>0</xdr:rowOff>
    </xdr:to>
    <xdr:sp macro="" textlink="">
      <xdr:nvSpPr>
        <xdr:cNvPr id="7895" name="Dot360255"/>
        <xdr:cNvSpPr/>
      </xdr:nvSpPr>
      <xdr:spPr>
        <a:xfrm>
          <a:off x="4762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152400</xdr:colOff>
      <xdr:row>20</xdr:row>
      <xdr:rowOff>88900</xdr:rowOff>
    </xdr:from>
    <xdr:to>
      <xdr:col>8</xdr:col>
      <xdr:colOff>190500</xdr:colOff>
      <xdr:row>20</xdr:row>
      <xdr:rowOff>127000</xdr:rowOff>
    </xdr:to>
    <xdr:sp macro="" textlink="">
      <xdr:nvSpPr>
        <xdr:cNvPr id="7896" name="Dot360295"/>
        <xdr:cNvSpPr/>
      </xdr:nvSpPr>
      <xdr:spPr>
        <a:xfrm>
          <a:off x="4762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152400</xdr:colOff>
      <xdr:row>23</xdr:row>
      <xdr:rowOff>25400</xdr:rowOff>
    </xdr:from>
    <xdr:to>
      <xdr:col>8</xdr:col>
      <xdr:colOff>190500</xdr:colOff>
      <xdr:row>23</xdr:row>
      <xdr:rowOff>63500</xdr:rowOff>
    </xdr:to>
    <xdr:sp macro="" textlink="">
      <xdr:nvSpPr>
        <xdr:cNvPr id="7897" name="Dot360335"/>
        <xdr:cNvSpPr/>
      </xdr:nvSpPr>
      <xdr:spPr>
        <a:xfrm>
          <a:off x="4762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152400</xdr:colOff>
      <xdr:row>25</xdr:row>
      <xdr:rowOff>152400</xdr:rowOff>
    </xdr:from>
    <xdr:to>
      <xdr:col>8</xdr:col>
      <xdr:colOff>190500</xdr:colOff>
      <xdr:row>26</xdr:row>
      <xdr:rowOff>0</xdr:rowOff>
    </xdr:to>
    <xdr:sp macro="" textlink="">
      <xdr:nvSpPr>
        <xdr:cNvPr id="7898" name="Dot360375"/>
        <xdr:cNvSpPr/>
      </xdr:nvSpPr>
      <xdr:spPr>
        <a:xfrm>
          <a:off x="4762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2</xdr:row>
      <xdr:rowOff>0</xdr:rowOff>
    </xdr:from>
    <xdr:to>
      <xdr:col>8</xdr:col>
      <xdr:colOff>317500</xdr:colOff>
      <xdr:row>2</xdr:row>
      <xdr:rowOff>38100</xdr:rowOff>
    </xdr:to>
    <xdr:sp macro="" textlink="">
      <xdr:nvSpPr>
        <xdr:cNvPr id="7899" name="Dot37015"/>
        <xdr:cNvSpPr/>
      </xdr:nvSpPr>
      <xdr:spPr>
        <a:xfrm>
          <a:off x="4889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5</xdr:row>
      <xdr:rowOff>63500</xdr:rowOff>
    </xdr:from>
    <xdr:to>
      <xdr:col>8</xdr:col>
      <xdr:colOff>317500</xdr:colOff>
      <xdr:row>5</xdr:row>
      <xdr:rowOff>101600</xdr:rowOff>
    </xdr:to>
    <xdr:sp macro="" textlink="">
      <xdr:nvSpPr>
        <xdr:cNvPr id="7900" name="Dot37065"/>
        <xdr:cNvSpPr/>
      </xdr:nvSpPr>
      <xdr:spPr>
        <a:xfrm>
          <a:off x="4889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6</xdr:row>
      <xdr:rowOff>0</xdr:rowOff>
    </xdr:from>
    <xdr:to>
      <xdr:col>8</xdr:col>
      <xdr:colOff>317500</xdr:colOff>
      <xdr:row>6</xdr:row>
      <xdr:rowOff>38100</xdr:rowOff>
    </xdr:to>
    <xdr:sp macro="" textlink="">
      <xdr:nvSpPr>
        <xdr:cNvPr id="7901" name="Dot37075"/>
        <xdr:cNvSpPr/>
      </xdr:nvSpPr>
      <xdr:spPr>
        <a:xfrm>
          <a:off x="4889500" y="114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6</xdr:row>
      <xdr:rowOff>127000</xdr:rowOff>
    </xdr:from>
    <xdr:to>
      <xdr:col>8</xdr:col>
      <xdr:colOff>317500</xdr:colOff>
      <xdr:row>6</xdr:row>
      <xdr:rowOff>165100</xdr:rowOff>
    </xdr:to>
    <xdr:sp macro="" textlink="">
      <xdr:nvSpPr>
        <xdr:cNvPr id="7902" name="Dot37085"/>
        <xdr:cNvSpPr/>
      </xdr:nvSpPr>
      <xdr:spPr>
        <a:xfrm>
          <a:off x="4889500" y="1270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7</xdr:row>
      <xdr:rowOff>63500</xdr:rowOff>
    </xdr:from>
    <xdr:to>
      <xdr:col>8</xdr:col>
      <xdr:colOff>317500</xdr:colOff>
      <xdr:row>7</xdr:row>
      <xdr:rowOff>101600</xdr:rowOff>
    </xdr:to>
    <xdr:sp macro="" textlink="">
      <xdr:nvSpPr>
        <xdr:cNvPr id="7903" name="Dot37095"/>
        <xdr:cNvSpPr/>
      </xdr:nvSpPr>
      <xdr:spPr>
        <a:xfrm>
          <a:off x="4889500" y="139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8</xdr:row>
      <xdr:rowOff>0</xdr:rowOff>
    </xdr:from>
    <xdr:to>
      <xdr:col>8</xdr:col>
      <xdr:colOff>317500</xdr:colOff>
      <xdr:row>8</xdr:row>
      <xdr:rowOff>38100</xdr:rowOff>
    </xdr:to>
    <xdr:sp macro="" textlink="">
      <xdr:nvSpPr>
        <xdr:cNvPr id="7904" name="Dot370105"/>
        <xdr:cNvSpPr/>
      </xdr:nvSpPr>
      <xdr:spPr>
        <a:xfrm>
          <a:off x="4889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10</xdr:row>
      <xdr:rowOff>107950</xdr:rowOff>
    </xdr:from>
    <xdr:to>
      <xdr:col>8</xdr:col>
      <xdr:colOff>317500</xdr:colOff>
      <xdr:row>10</xdr:row>
      <xdr:rowOff>146050</xdr:rowOff>
    </xdr:to>
    <xdr:sp macro="" textlink="">
      <xdr:nvSpPr>
        <xdr:cNvPr id="7905" name="Dot370145"/>
        <xdr:cNvSpPr/>
      </xdr:nvSpPr>
      <xdr:spPr>
        <a:xfrm>
          <a:off x="4889500" y="203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11</xdr:row>
      <xdr:rowOff>44450</xdr:rowOff>
    </xdr:from>
    <xdr:to>
      <xdr:col>8</xdr:col>
      <xdr:colOff>317500</xdr:colOff>
      <xdr:row>11</xdr:row>
      <xdr:rowOff>82550</xdr:rowOff>
    </xdr:to>
    <xdr:sp macro="" textlink="">
      <xdr:nvSpPr>
        <xdr:cNvPr id="7906" name="Dot370155"/>
        <xdr:cNvSpPr/>
      </xdr:nvSpPr>
      <xdr:spPr>
        <a:xfrm>
          <a:off x="4889500" y="215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11</xdr:row>
      <xdr:rowOff>171450</xdr:rowOff>
    </xdr:from>
    <xdr:to>
      <xdr:col>8</xdr:col>
      <xdr:colOff>317500</xdr:colOff>
      <xdr:row>12</xdr:row>
      <xdr:rowOff>9525</xdr:rowOff>
    </xdr:to>
    <xdr:sp macro="" textlink="">
      <xdr:nvSpPr>
        <xdr:cNvPr id="7907" name="Dot370165"/>
        <xdr:cNvSpPr/>
      </xdr:nvSpPr>
      <xdr:spPr>
        <a:xfrm>
          <a:off x="4889500" y="228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12</xdr:row>
      <xdr:rowOff>98425</xdr:rowOff>
    </xdr:from>
    <xdr:to>
      <xdr:col>8</xdr:col>
      <xdr:colOff>317500</xdr:colOff>
      <xdr:row>12</xdr:row>
      <xdr:rowOff>136525</xdr:rowOff>
    </xdr:to>
    <xdr:sp macro="" textlink="">
      <xdr:nvSpPr>
        <xdr:cNvPr id="7908" name="Dot370175"/>
        <xdr:cNvSpPr/>
      </xdr:nvSpPr>
      <xdr:spPr>
        <a:xfrm>
          <a:off x="4889500" y="241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13</xdr:row>
      <xdr:rowOff>25400</xdr:rowOff>
    </xdr:from>
    <xdr:to>
      <xdr:col>8</xdr:col>
      <xdr:colOff>317500</xdr:colOff>
      <xdr:row>13</xdr:row>
      <xdr:rowOff>63500</xdr:rowOff>
    </xdr:to>
    <xdr:sp macro="" textlink="">
      <xdr:nvSpPr>
        <xdr:cNvPr id="7909" name="Dot370185"/>
        <xdr:cNvSpPr/>
      </xdr:nvSpPr>
      <xdr:spPr>
        <a:xfrm>
          <a:off x="4889500" y="2540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13</xdr:row>
      <xdr:rowOff>152400</xdr:rowOff>
    </xdr:from>
    <xdr:to>
      <xdr:col>8</xdr:col>
      <xdr:colOff>317500</xdr:colOff>
      <xdr:row>14</xdr:row>
      <xdr:rowOff>0</xdr:rowOff>
    </xdr:to>
    <xdr:sp macro="" textlink="">
      <xdr:nvSpPr>
        <xdr:cNvPr id="7910" name="Dot370195"/>
        <xdr:cNvSpPr/>
      </xdr:nvSpPr>
      <xdr:spPr>
        <a:xfrm>
          <a:off x="4889500" y="266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14</xdr:row>
      <xdr:rowOff>88900</xdr:rowOff>
    </xdr:from>
    <xdr:to>
      <xdr:col>8</xdr:col>
      <xdr:colOff>317500</xdr:colOff>
      <xdr:row>14</xdr:row>
      <xdr:rowOff>127000</xdr:rowOff>
    </xdr:to>
    <xdr:sp macro="" textlink="">
      <xdr:nvSpPr>
        <xdr:cNvPr id="7911" name="Dot370205"/>
        <xdr:cNvSpPr/>
      </xdr:nvSpPr>
      <xdr:spPr>
        <a:xfrm>
          <a:off x="4889500" y="279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15</xdr:row>
      <xdr:rowOff>25400</xdr:rowOff>
    </xdr:from>
    <xdr:to>
      <xdr:col>8</xdr:col>
      <xdr:colOff>317500</xdr:colOff>
      <xdr:row>15</xdr:row>
      <xdr:rowOff>63500</xdr:rowOff>
    </xdr:to>
    <xdr:sp macro="" textlink="">
      <xdr:nvSpPr>
        <xdr:cNvPr id="7912" name="Dot370215"/>
        <xdr:cNvSpPr/>
      </xdr:nvSpPr>
      <xdr:spPr>
        <a:xfrm>
          <a:off x="4889500" y="292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15</xdr:row>
      <xdr:rowOff>152400</xdr:rowOff>
    </xdr:from>
    <xdr:to>
      <xdr:col>8</xdr:col>
      <xdr:colOff>317500</xdr:colOff>
      <xdr:row>16</xdr:row>
      <xdr:rowOff>0</xdr:rowOff>
    </xdr:to>
    <xdr:sp macro="" textlink="">
      <xdr:nvSpPr>
        <xdr:cNvPr id="7913" name="Dot370225"/>
        <xdr:cNvSpPr/>
      </xdr:nvSpPr>
      <xdr:spPr>
        <a:xfrm>
          <a:off x="4889500" y="3048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16</xdr:row>
      <xdr:rowOff>88900</xdr:rowOff>
    </xdr:from>
    <xdr:to>
      <xdr:col>8</xdr:col>
      <xdr:colOff>317500</xdr:colOff>
      <xdr:row>16</xdr:row>
      <xdr:rowOff>127000</xdr:rowOff>
    </xdr:to>
    <xdr:sp macro="" textlink="">
      <xdr:nvSpPr>
        <xdr:cNvPr id="7914" name="Dot370235"/>
        <xdr:cNvSpPr/>
      </xdr:nvSpPr>
      <xdr:spPr>
        <a:xfrm>
          <a:off x="4889500" y="317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17</xdr:row>
      <xdr:rowOff>25400</xdr:rowOff>
    </xdr:from>
    <xdr:to>
      <xdr:col>8</xdr:col>
      <xdr:colOff>317500</xdr:colOff>
      <xdr:row>17</xdr:row>
      <xdr:rowOff>63500</xdr:rowOff>
    </xdr:to>
    <xdr:sp macro="" textlink="">
      <xdr:nvSpPr>
        <xdr:cNvPr id="7915" name="Dot370245"/>
        <xdr:cNvSpPr/>
      </xdr:nvSpPr>
      <xdr:spPr>
        <a:xfrm>
          <a:off x="4889500" y="330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17</xdr:row>
      <xdr:rowOff>152400</xdr:rowOff>
    </xdr:from>
    <xdr:to>
      <xdr:col>8</xdr:col>
      <xdr:colOff>317500</xdr:colOff>
      <xdr:row>18</xdr:row>
      <xdr:rowOff>0</xdr:rowOff>
    </xdr:to>
    <xdr:sp macro="" textlink="">
      <xdr:nvSpPr>
        <xdr:cNvPr id="7916" name="Dot370255"/>
        <xdr:cNvSpPr/>
      </xdr:nvSpPr>
      <xdr:spPr>
        <a:xfrm>
          <a:off x="4889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20</xdr:row>
      <xdr:rowOff>88900</xdr:rowOff>
    </xdr:from>
    <xdr:to>
      <xdr:col>8</xdr:col>
      <xdr:colOff>317500</xdr:colOff>
      <xdr:row>20</xdr:row>
      <xdr:rowOff>127000</xdr:rowOff>
    </xdr:to>
    <xdr:sp macro="" textlink="">
      <xdr:nvSpPr>
        <xdr:cNvPr id="7917" name="Dot370295"/>
        <xdr:cNvSpPr/>
      </xdr:nvSpPr>
      <xdr:spPr>
        <a:xfrm>
          <a:off x="4889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21</xdr:row>
      <xdr:rowOff>25400</xdr:rowOff>
    </xdr:from>
    <xdr:to>
      <xdr:col>8</xdr:col>
      <xdr:colOff>317500</xdr:colOff>
      <xdr:row>21</xdr:row>
      <xdr:rowOff>63500</xdr:rowOff>
    </xdr:to>
    <xdr:sp macro="" textlink="">
      <xdr:nvSpPr>
        <xdr:cNvPr id="7918" name="Dot370305"/>
        <xdr:cNvSpPr/>
      </xdr:nvSpPr>
      <xdr:spPr>
        <a:xfrm>
          <a:off x="4889500" y="406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21</xdr:row>
      <xdr:rowOff>152400</xdr:rowOff>
    </xdr:from>
    <xdr:to>
      <xdr:col>8</xdr:col>
      <xdr:colOff>317500</xdr:colOff>
      <xdr:row>22</xdr:row>
      <xdr:rowOff>0</xdr:rowOff>
    </xdr:to>
    <xdr:sp macro="" textlink="">
      <xdr:nvSpPr>
        <xdr:cNvPr id="7919" name="Dot370315"/>
        <xdr:cNvSpPr/>
      </xdr:nvSpPr>
      <xdr:spPr>
        <a:xfrm>
          <a:off x="4889500" y="419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22</xdr:row>
      <xdr:rowOff>88900</xdr:rowOff>
    </xdr:from>
    <xdr:to>
      <xdr:col>8</xdr:col>
      <xdr:colOff>317500</xdr:colOff>
      <xdr:row>22</xdr:row>
      <xdr:rowOff>127000</xdr:rowOff>
    </xdr:to>
    <xdr:sp macro="" textlink="">
      <xdr:nvSpPr>
        <xdr:cNvPr id="7920" name="Dot370325"/>
        <xdr:cNvSpPr/>
      </xdr:nvSpPr>
      <xdr:spPr>
        <a:xfrm>
          <a:off x="4889500" y="4318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23</xdr:row>
      <xdr:rowOff>25400</xdr:rowOff>
    </xdr:from>
    <xdr:to>
      <xdr:col>8</xdr:col>
      <xdr:colOff>317500</xdr:colOff>
      <xdr:row>23</xdr:row>
      <xdr:rowOff>63500</xdr:rowOff>
    </xdr:to>
    <xdr:sp macro="" textlink="">
      <xdr:nvSpPr>
        <xdr:cNvPr id="7921" name="Dot370335"/>
        <xdr:cNvSpPr/>
      </xdr:nvSpPr>
      <xdr:spPr>
        <a:xfrm>
          <a:off x="4889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279400</xdr:colOff>
      <xdr:row>25</xdr:row>
      <xdr:rowOff>152400</xdr:rowOff>
    </xdr:from>
    <xdr:to>
      <xdr:col>8</xdr:col>
      <xdr:colOff>317500</xdr:colOff>
      <xdr:row>26</xdr:row>
      <xdr:rowOff>0</xdr:rowOff>
    </xdr:to>
    <xdr:sp macro="" textlink="">
      <xdr:nvSpPr>
        <xdr:cNvPr id="7922" name="Dot370375"/>
        <xdr:cNvSpPr/>
      </xdr:nvSpPr>
      <xdr:spPr>
        <a:xfrm>
          <a:off x="4889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406400</xdr:colOff>
      <xdr:row>2</xdr:row>
      <xdr:rowOff>0</xdr:rowOff>
    </xdr:from>
    <xdr:to>
      <xdr:col>8</xdr:col>
      <xdr:colOff>444500</xdr:colOff>
      <xdr:row>2</xdr:row>
      <xdr:rowOff>38100</xdr:rowOff>
    </xdr:to>
    <xdr:sp macro="" textlink="">
      <xdr:nvSpPr>
        <xdr:cNvPr id="7923" name="Dot38015"/>
        <xdr:cNvSpPr/>
      </xdr:nvSpPr>
      <xdr:spPr>
        <a:xfrm>
          <a:off x="5016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406400</xdr:colOff>
      <xdr:row>5</xdr:row>
      <xdr:rowOff>63500</xdr:rowOff>
    </xdr:from>
    <xdr:to>
      <xdr:col>8</xdr:col>
      <xdr:colOff>444500</xdr:colOff>
      <xdr:row>5</xdr:row>
      <xdr:rowOff>101600</xdr:rowOff>
    </xdr:to>
    <xdr:sp macro="" textlink="">
      <xdr:nvSpPr>
        <xdr:cNvPr id="7924" name="Dot38065"/>
        <xdr:cNvSpPr/>
      </xdr:nvSpPr>
      <xdr:spPr>
        <a:xfrm>
          <a:off x="5016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406400</xdr:colOff>
      <xdr:row>13</xdr:row>
      <xdr:rowOff>25400</xdr:rowOff>
    </xdr:from>
    <xdr:to>
      <xdr:col>8</xdr:col>
      <xdr:colOff>444500</xdr:colOff>
      <xdr:row>13</xdr:row>
      <xdr:rowOff>63500</xdr:rowOff>
    </xdr:to>
    <xdr:sp macro="" textlink="">
      <xdr:nvSpPr>
        <xdr:cNvPr id="7925" name="Dot380185"/>
        <xdr:cNvSpPr/>
      </xdr:nvSpPr>
      <xdr:spPr>
        <a:xfrm>
          <a:off x="5016500" y="2540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406400</xdr:colOff>
      <xdr:row>17</xdr:row>
      <xdr:rowOff>152400</xdr:rowOff>
    </xdr:from>
    <xdr:to>
      <xdr:col>8</xdr:col>
      <xdr:colOff>444500</xdr:colOff>
      <xdr:row>18</xdr:row>
      <xdr:rowOff>0</xdr:rowOff>
    </xdr:to>
    <xdr:sp macro="" textlink="">
      <xdr:nvSpPr>
        <xdr:cNvPr id="7926" name="Dot380255"/>
        <xdr:cNvSpPr/>
      </xdr:nvSpPr>
      <xdr:spPr>
        <a:xfrm>
          <a:off x="5016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406400</xdr:colOff>
      <xdr:row>20</xdr:row>
      <xdr:rowOff>88900</xdr:rowOff>
    </xdr:from>
    <xdr:to>
      <xdr:col>8</xdr:col>
      <xdr:colOff>444500</xdr:colOff>
      <xdr:row>20</xdr:row>
      <xdr:rowOff>127000</xdr:rowOff>
    </xdr:to>
    <xdr:sp macro="" textlink="">
      <xdr:nvSpPr>
        <xdr:cNvPr id="7927" name="Dot380295"/>
        <xdr:cNvSpPr/>
      </xdr:nvSpPr>
      <xdr:spPr>
        <a:xfrm>
          <a:off x="5016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406400</xdr:colOff>
      <xdr:row>25</xdr:row>
      <xdr:rowOff>152400</xdr:rowOff>
    </xdr:from>
    <xdr:to>
      <xdr:col>8</xdr:col>
      <xdr:colOff>444500</xdr:colOff>
      <xdr:row>26</xdr:row>
      <xdr:rowOff>0</xdr:rowOff>
    </xdr:to>
    <xdr:sp macro="" textlink="">
      <xdr:nvSpPr>
        <xdr:cNvPr id="7928" name="Dot380375"/>
        <xdr:cNvSpPr/>
      </xdr:nvSpPr>
      <xdr:spPr>
        <a:xfrm>
          <a:off x="5016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2</xdr:row>
      <xdr:rowOff>0</xdr:rowOff>
    </xdr:from>
    <xdr:to>
      <xdr:col>8</xdr:col>
      <xdr:colOff>571500</xdr:colOff>
      <xdr:row>2</xdr:row>
      <xdr:rowOff>38100</xdr:rowOff>
    </xdr:to>
    <xdr:sp macro="" textlink="">
      <xdr:nvSpPr>
        <xdr:cNvPr id="7929" name="Dot39015"/>
        <xdr:cNvSpPr/>
      </xdr:nvSpPr>
      <xdr:spPr>
        <a:xfrm>
          <a:off x="5143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5</xdr:row>
      <xdr:rowOff>63500</xdr:rowOff>
    </xdr:from>
    <xdr:to>
      <xdr:col>8</xdr:col>
      <xdr:colOff>571500</xdr:colOff>
      <xdr:row>5</xdr:row>
      <xdr:rowOff>101600</xdr:rowOff>
    </xdr:to>
    <xdr:sp macro="" textlink="">
      <xdr:nvSpPr>
        <xdr:cNvPr id="7930" name="Dot39065"/>
        <xdr:cNvSpPr/>
      </xdr:nvSpPr>
      <xdr:spPr>
        <a:xfrm>
          <a:off x="5143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13</xdr:row>
      <xdr:rowOff>25400</xdr:rowOff>
    </xdr:from>
    <xdr:to>
      <xdr:col>8</xdr:col>
      <xdr:colOff>571500</xdr:colOff>
      <xdr:row>13</xdr:row>
      <xdr:rowOff>63500</xdr:rowOff>
    </xdr:to>
    <xdr:sp macro="" textlink="">
      <xdr:nvSpPr>
        <xdr:cNvPr id="7931" name="Dot390185"/>
        <xdr:cNvSpPr/>
      </xdr:nvSpPr>
      <xdr:spPr>
        <a:xfrm>
          <a:off x="5143500" y="2540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17</xdr:row>
      <xdr:rowOff>152400</xdr:rowOff>
    </xdr:from>
    <xdr:to>
      <xdr:col>8</xdr:col>
      <xdr:colOff>571500</xdr:colOff>
      <xdr:row>18</xdr:row>
      <xdr:rowOff>0</xdr:rowOff>
    </xdr:to>
    <xdr:sp macro="" textlink="">
      <xdr:nvSpPr>
        <xdr:cNvPr id="7932" name="Dot390255"/>
        <xdr:cNvSpPr/>
      </xdr:nvSpPr>
      <xdr:spPr>
        <a:xfrm>
          <a:off x="5143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20</xdr:row>
      <xdr:rowOff>88900</xdr:rowOff>
    </xdr:from>
    <xdr:to>
      <xdr:col>8</xdr:col>
      <xdr:colOff>571500</xdr:colOff>
      <xdr:row>20</xdr:row>
      <xdr:rowOff>127000</xdr:rowOff>
    </xdr:to>
    <xdr:sp macro="" textlink="">
      <xdr:nvSpPr>
        <xdr:cNvPr id="7933" name="Dot390295"/>
        <xdr:cNvSpPr/>
      </xdr:nvSpPr>
      <xdr:spPr>
        <a:xfrm>
          <a:off x="5143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25</xdr:row>
      <xdr:rowOff>152400</xdr:rowOff>
    </xdr:from>
    <xdr:to>
      <xdr:col>8</xdr:col>
      <xdr:colOff>571500</xdr:colOff>
      <xdr:row>26</xdr:row>
      <xdr:rowOff>0</xdr:rowOff>
    </xdr:to>
    <xdr:sp macro="" textlink="">
      <xdr:nvSpPr>
        <xdr:cNvPr id="7934" name="Dot390375"/>
        <xdr:cNvSpPr/>
      </xdr:nvSpPr>
      <xdr:spPr>
        <a:xfrm>
          <a:off x="5143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50800</xdr:colOff>
      <xdr:row>2</xdr:row>
      <xdr:rowOff>0</xdr:rowOff>
    </xdr:from>
    <xdr:to>
      <xdr:col>9</xdr:col>
      <xdr:colOff>88900</xdr:colOff>
      <xdr:row>2</xdr:row>
      <xdr:rowOff>38100</xdr:rowOff>
    </xdr:to>
    <xdr:sp macro="" textlink="">
      <xdr:nvSpPr>
        <xdr:cNvPr id="7935" name="Dot40015"/>
        <xdr:cNvSpPr/>
      </xdr:nvSpPr>
      <xdr:spPr>
        <a:xfrm>
          <a:off x="5270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50800</xdr:colOff>
      <xdr:row>5</xdr:row>
      <xdr:rowOff>63500</xdr:rowOff>
    </xdr:from>
    <xdr:to>
      <xdr:col>9</xdr:col>
      <xdr:colOff>88900</xdr:colOff>
      <xdr:row>5</xdr:row>
      <xdr:rowOff>101600</xdr:rowOff>
    </xdr:to>
    <xdr:sp macro="" textlink="">
      <xdr:nvSpPr>
        <xdr:cNvPr id="7936" name="Dot40065"/>
        <xdr:cNvSpPr/>
      </xdr:nvSpPr>
      <xdr:spPr>
        <a:xfrm>
          <a:off x="5270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50800</xdr:colOff>
      <xdr:row>13</xdr:row>
      <xdr:rowOff>25400</xdr:rowOff>
    </xdr:from>
    <xdr:to>
      <xdr:col>9</xdr:col>
      <xdr:colOff>88900</xdr:colOff>
      <xdr:row>13</xdr:row>
      <xdr:rowOff>63500</xdr:rowOff>
    </xdr:to>
    <xdr:sp macro="" textlink="">
      <xdr:nvSpPr>
        <xdr:cNvPr id="7937" name="Dot400185"/>
        <xdr:cNvSpPr/>
      </xdr:nvSpPr>
      <xdr:spPr>
        <a:xfrm>
          <a:off x="5270500" y="2540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50800</xdr:colOff>
      <xdr:row>17</xdr:row>
      <xdr:rowOff>152400</xdr:rowOff>
    </xdr:from>
    <xdr:to>
      <xdr:col>9</xdr:col>
      <xdr:colOff>88900</xdr:colOff>
      <xdr:row>18</xdr:row>
      <xdr:rowOff>0</xdr:rowOff>
    </xdr:to>
    <xdr:sp macro="" textlink="">
      <xdr:nvSpPr>
        <xdr:cNvPr id="7938" name="Dot400255"/>
        <xdr:cNvSpPr/>
      </xdr:nvSpPr>
      <xdr:spPr>
        <a:xfrm>
          <a:off x="5270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50800</xdr:colOff>
      <xdr:row>20</xdr:row>
      <xdr:rowOff>88900</xdr:rowOff>
    </xdr:from>
    <xdr:to>
      <xdr:col>9</xdr:col>
      <xdr:colOff>88900</xdr:colOff>
      <xdr:row>20</xdr:row>
      <xdr:rowOff>127000</xdr:rowOff>
    </xdr:to>
    <xdr:sp macro="" textlink="">
      <xdr:nvSpPr>
        <xdr:cNvPr id="7939" name="Dot400295"/>
        <xdr:cNvSpPr/>
      </xdr:nvSpPr>
      <xdr:spPr>
        <a:xfrm>
          <a:off x="5270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50800</xdr:colOff>
      <xdr:row>25</xdr:row>
      <xdr:rowOff>152400</xdr:rowOff>
    </xdr:from>
    <xdr:to>
      <xdr:col>9</xdr:col>
      <xdr:colOff>88900</xdr:colOff>
      <xdr:row>26</xdr:row>
      <xdr:rowOff>0</xdr:rowOff>
    </xdr:to>
    <xdr:sp macro="" textlink="">
      <xdr:nvSpPr>
        <xdr:cNvPr id="7940" name="Dot400375"/>
        <xdr:cNvSpPr/>
      </xdr:nvSpPr>
      <xdr:spPr>
        <a:xfrm>
          <a:off x="5270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177800</xdr:colOff>
      <xdr:row>2</xdr:row>
      <xdr:rowOff>0</xdr:rowOff>
    </xdr:from>
    <xdr:to>
      <xdr:col>9</xdr:col>
      <xdr:colOff>215900</xdr:colOff>
      <xdr:row>2</xdr:row>
      <xdr:rowOff>38100</xdr:rowOff>
    </xdr:to>
    <xdr:sp macro="" textlink="">
      <xdr:nvSpPr>
        <xdr:cNvPr id="7941" name="Dot41015"/>
        <xdr:cNvSpPr/>
      </xdr:nvSpPr>
      <xdr:spPr>
        <a:xfrm>
          <a:off x="5397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177800</xdr:colOff>
      <xdr:row>5</xdr:row>
      <xdr:rowOff>63500</xdr:rowOff>
    </xdr:from>
    <xdr:to>
      <xdr:col>9</xdr:col>
      <xdr:colOff>215900</xdr:colOff>
      <xdr:row>5</xdr:row>
      <xdr:rowOff>101600</xdr:rowOff>
    </xdr:to>
    <xdr:sp macro="" textlink="">
      <xdr:nvSpPr>
        <xdr:cNvPr id="7942" name="Dot41065"/>
        <xdr:cNvSpPr/>
      </xdr:nvSpPr>
      <xdr:spPr>
        <a:xfrm>
          <a:off x="5397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177800</xdr:colOff>
      <xdr:row>13</xdr:row>
      <xdr:rowOff>25400</xdr:rowOff>
    </xdr:from>
    <xdr:to>
      <xdr:col>9</xdr:col>
      <xdr:colOff>215900</xdr:colOff>
      <xdr:row>13</xdr:row>
      <xdr:rowOff>63500</xdr:rowOff>
    </xdr:to>
    <xdr:sp macro="" textlink="">
      <xdr:nvSpPr>
        <xdr:cNvPr id="7943" name="Dot410185"/>
        <xdr:cNvSpPr/>
      </xdr:nvSpPr>
      <xdr:spPr>
        <a:xfrm>
          <a:off x="5397500" y="2540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177800</xdr:colOff>
      <xdr:row>17</xdr:row>
      <xdr:rowOff>152400</xdr:rowOff>
    </xdr:from>
    <xdr:to>
      <xdr:col>9</xdr:col>
      <xdr:colOff>215900</xdr:colOff>
      <xdr:row>18</xdr:row>
      <xdr:rowOff>0</xdr:rowOff>
    </xdr:to>
    <xdr:sp macro="" textlink="">
      <xdr:nvSpPr>
        <xdr:cNvPr id="7944" name="Dot410255"/>
        <xdr:cNvSpPr/>
      </xdr:nvSpPr>
      <xdr:spPr>
        <a:xfrm>
          <a:off x="5397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177800</xdr:colOff>
      <xdr:row>20</xdr:row>
      <xdr:rowOff>88900</xdr:rowOff>
    </xdr:from>
    <xdr:to>
      <xdr:col>9</xdr:col>
      <xdr:colOff>215900</xdr:colOff>
      <xdr:row>20</xdr:row>
      <xdr:rowOff>127000</xdr:rowOff>
    </xdr:to>
    <xdr:sp macro="" textlink="">
      <xdr:nvSpPr>
        <xdr:cNvPr id="7945" name="Dot410295"/>
        <xdr:cNvSpPr/>
      </xdr:nvSpPr>
      <xdr:spPr>
        <a:xfrm>
          <a:off x="5397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177800</xdr:colOff>
      <xdr:row>25</xdr:row>
      <xdr:rowOff>152400</xdr:rowOff>
    </xdr:from>
    <xdr:to>
      <xdr:col>9</xdr:col>
      <xdr:colOff>215900</xdr:colOff>
      <xdr:row>26</xdr:row>
      <xdr:rowOff>0</xdr:rowOff>
    </xdr:to>
    <xdr:sp macro="" textlink="">
      <xdr:nvSpPr>
        <xdr:cNvPr id="7946" name="Dot410375"/>
        <xdr:cNvSpPr/>
      </xdr:nvSpPr>
      <xdr:spPr>
        <a:xfrm>
          <a:off x="5397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</xdr:row>
      <xdr:rowOff>0</xdr:rowOff>
    </xdr:from>
    <xdr:to>
      <xdr:col>9</xdr:col>
      <xdr:colOff>338667</xdr:colOff>
      <xdr:row>2</xdr:row>
      <xdr:rowOff>38100</xdr:rowOff>
    </xdr:to>
    <xdr:sp macro="" textlink="">
      <xdr:nvSpPr>
        <xdr:cNvPr id="7947" name="Dot42015"/>
        <xdr:cNvSpPr/>
      </xdr:nvSpPr>
      <xdr:spPr>
        <a:xfrm>
          <a:off x="5524500" y="381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</xdr:row>
      <xdr:rowOff>127000</xdr:rowOff>
    </xdr:from>
    <xdr:to>
      <xdr:col>9</xdr:col>
      <xdr:colOff>338667</xdr:colOff>
      <xdr:row>2</xdr:row>
      <xdr:rowOff>165100</xdr:rowOff>
    </xdr:to>
    <xdr:sp macro="" textlink="">
      <xdr:nvSpPr>
        <xdr:cNvPr id="7948" name="Dot42025"/>
        <xdr:cNvSpPr/>
      </xdr:nvSpPr>
      <xdr:spPr>
        <a:xfrm>
          <a:off x="5524500" y="508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</xdr:row>
      <xdr:rowOff>63500</xdr:rowOff>
    </xdr:from>
    <xdr:to>
      <xdr:col>9</xdr:col>
      <xdr:colOff>338667</xdr:colOff>
      <xdr:row>3</xdr:row>
      <xdr:rowOff>101600</xdr:rowOff>
    </xdr:to>
    <xdr:sp macro="" textlink="">
      <xdr:nvSpPr>
        <xdr:cNvPr id="7949" name="Dot42035"/>
        <xdr:cNvSpPr/>
      </xdr:nvSpPr>
      <xdr:spPr>
        <a:xfrm>
          <a:off x="5524500" y="635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</xdr:row>
      <xdr:rowOff>0</xdr:rowOff>
    </xdr:from>
    <xdr:to>
      <xdr:col>9</xdr:col>
      <xdr:colOff>338667</xdr:colOff>
      <xdr:row>4</xdr:row>
      <xdr:rowOff>38100</xdr:rowOff>
    </xdr:to>
    <xdr:sp macro="" textlink="">
      <xdr:nvSpPr>
        <xdr:cNvPr id="7950" name="Dot42045"/>
        <xdr:cNvSpPr/>
      </xdr:nvSpPr>
      <xdr:spPr>
        <a:xfrm>
          <a:off x="5524500" y="762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</xdr:row>
      <xdr:rowOff>127000</xdr:rowOff>
    </xdr:from>
    <xdr:to>
      <xdr:col>9</xdr:col>
      <xdr:colOff>338667</xdr:colOff>
      <xdr:row>4</xdr:row>
      <xdr:rowOff>165100</xdr:rowOff>
    </xdr:to>
    <xdr:sp macro="" textlink="">
      <xdr:nvSpPr>
        <xdr:cNvPr id="7951" name="Dot42055"/>
        <xdr:cNvSpPr/>
      </xdr:nvSpPr>
      <xdr:spPr>
        <a:xfrm>
          <a:off x="5524500" y="889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</xdr:row>
      <xdr:rowOff>63500</xdr:rowOff>
    </xdr:from>
    <xdr:to>
      <xdr:col>9</xdr:col>
      <xdr:colOff>338667</xdr:colOff>
      <xdr:row>5</xdr:row>
      <xdr:rowOff>101600</xdr:rowOff>
    </xdr:to>
    <xdr:sp macro="" textlink="">
      <xdr:nvSpPr>
        <xdr:cNvPr id="7952" name="Dot42065"/>
        <xdr:cNvSpPr/>
      </xdr:nvSpPr>
      <xdr:spPr>
        <a:xfrm>
          <a:off x="5524500" y="1016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6</xdr:row>
      <xdr:rowOff>0</xdr:rowOff>
    </xdr:from>
    <xdr:to>
      <xdr:col>9</xdr:col>
      <xdr:colOff>338667</xdr:colOff>
      <xdr:row>6</xdr:row>
      <xdr:rowOff>38100</xdr:rowOff>
    </xdr:to>
    <xdr:sp macro="" textlink="">
      <xdr:nvSpPr>
        <xdr:cNvPr id="7953" name="Dot42075"/>
        <xdr:cNvSpPr/>
      </xdr:nvSpPr>
      <xdr:spPr>
        <a:xfrm>
          <a:off x="5524500" y="1143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6</xdr:row>
      <xdr:rowOff>127000</xdr:rowOff>
    </xdr:from>
    <xdr:to>
      <xdr:col>9</xdr:col>
      <xdr:colOff>338667</xdr:colOff>
      <xdr:row>6</xdr:row>
      <xdr:rowOff>165100</xdr:rowOff>
    </xdr:to>
    <xdr:sp macro="" textlink="">
      <xdr:nvSpPr>
        <xdr:cNvPr id="7954" name="Dot42085"/>
        <xdr:cNvSpPr/>
      </xdr:nvSpPr>
      <xdr:spPr>
        <a:xfrm>
          <a:off x="5524500" y="1270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7</xdr:row>
      <xdr:rowOff>63500</xdr:rowOff>
    </xdr:from>
    <xdr:to>
      <xdr:col>9</xdr:col>
      <xdr:colOff>338667</xdr:colOff>
      <xdr:row>7</xdr:row>
      <xdr:rowOff>101600</xdr:rowOff>
    </xdr:to>
    <xdr:sp macro="" textlink="">
      <xdr:nvSpPr>
        <xdr:cNvPr id="7955" name="Dot42095"/>
        <xdr:cNvSpPr/>
      </xdr:nvSpPr>
      <xdr:spPr>
        <a:xfrm>
          <a:off x="5524500" y="1397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8</xdr:row>
      <xdr:rowOff>0</xdr:rowOff>
    </xdr:from>
    <xdr:to>
      <xdr:col>9</xdr:col>
      <xdr:colOff>338667</xdr:colOff>
      <xdr:row>8</xdr:row>
      <xdr:rowOff>38100</xdr:rowOff>
    </xdr:to>
    <xdr:sp macro="" textlink="">
      <xdr:nvSpPr>
        <xdr:cNvPr id="7956" name="Dot420105"/>
        <xdr:cNvSpPr/>
      </xdr:nvSpPr>
      <xdr:spPr>
        <a:xfrm>
          <a:off x="5524500" y="1524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8</xdr:row>
      <xdr:rowOff>127000</xdr:rowOff>
    </xdr:from>
    <xdr:to>
      <xdr:col>9</xdr:col>
      <xdr:colOff>338667</xdr:colOff>
      <xdr:row>8</xdr:row>
      <xdr:rowOff>165100</xdr:rowOff>
    </xdr:to>
    <xdr:sp macro="" textlink="">
      <xdr:nvSpPr>
        <xdr:cNvPr id="7957" name="Dot420115"/>
        <xdr:cNvSpPr/>
      </xdr:nvSpPr>
      <xdr:spPr>
        <a:xfrm>
          <a:off x="5524500" y="1651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9</xdr:row>
      <xdr:rowOff>63500</xdr:rowOff>
    </xdr:from>
    <xdr:to>
      <xdr:col>9</xdr:col>
      <xdr:colOff>338667</xdr:colOff>
      <xdr:row>9</xdr:row>
      <xdr:rowOff>101600</xdr:rowOff>
    </xdr:to>
    <xdr:sp macro="" textlink="">
      <xdr:nvSpPr>
        <xdr:cNvPr id="7958" name="Dot420125"/>
        <xdr:cNvSpPr/>
      </xdr:nvSpPr>
      <xdr:spPr>
        <a:xfrm>
          <a:off x="5524500" y="1778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9</xdr:row>
      <xdr:rowOff>190500</xdr:rowOff>
    </xdr:from>
    <xdr:to>
      <xdr:col>9</xdr:col>
      <xdr:colOff>338667</xdr:colOff>
      <xdr:row>10</xdr:row>
      <xdr:rowOff>19050</xdr:rowOff>
    </xdr:to>
    <xdr:sp macro="" textlink="">
      <xdr:nvSpPr>
        <xdr:cNvPr id="7959" name="Dot420135"/>
        <xdr:cNvSpPr/>
      </xdr:nvSpPr>
      <xdr:spPr>
        <a:xfrm>
          <a:off x="5524500" y="1905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10</xdr:row>
      <xdr:rowOff>107950</xdr:rowOff>
    </xdr:from>
    <xdr:to>
      <xdr:col>9</xdr:col>
      <xdr:colOff>338667</xdr:colOff>
      <xdr:row>10</xdr:row>
      <xdr:rowOff>146050</xdr:rowOff>
    </xdr:to>
    <xdr:sp macro="" textlink="">
      <xdr:nvSpPr>
        <xdr:cNvPr id="7960" name="Dot420145"/>
        <xdr:cNvSpPr/>
      </xdr:nvSpPr>
      <xdr:spPr>
        <a:xfrm>
          <a:off x="5524500" y="2032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11</xdr:row>
      <xdr:rowOff>44450</xdr:rowOff>
    </xdr:from>
    <xdr:to>
      <xdr:col>9</xdr:col>
      <xdr:colOff>338667</xdr:colOff>
      <xdr:row>11</xdr:row>
      <xdr:rowOff>82550</xdr:rowOff>
    </xdr:to>
    <xdr:sp macro="" textlink="">
      <xdr:nvSpPr>
        <xdr:cNvPr id="7961" name="Dot420155"/>
        <xdr:cNvSpPr/>
      </xdr:nvSpPr>
      <xdr:spPr>
        <a:xfrm>
          <a:off x="5524500" y="2159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11</xdr:row>
      <xdr:rowOff>171450</xdr:rowOff>
    </xdr:from>
    <xdr:to>
      <xdr:col>9</xdr:col>
      <xdr:colOff>338667</xdr:colOff>
      <xdr:row>12</xdr:row>
      <xdr:rowOff>9525</xdr:rowOff>
    </xdr:to>
    <xdr:sp macro="" textlink="">
      <xdr:nvSpPr>
        <xdr:cNvPr id="7962" name="Dot420165"/>
        <xdr:cNvSpPr/>
      </xdr:nvSpPr>
      <xdr:spPr>
        <a:xfrm>
          <a:off x="5524500" y="2286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12</xdr:row>
      <xdr:rowOff>98425</xdr:rowOff>
    </xdr:from>
    <xdr:to>
      <xdr:col>9</xdr:col>
      <xdr:colOff>338667</xdr:colOff>
      <xdr:row>12</xdr:row>
      <xdr:rowOff>136525</xdr:rowOff>
    </xdr:to>
    <xdr:sp macro="" textlink="">
      <xdr:nvSpPr>
        <xdr:cNvPr id="7963" name="Dot420175"/>
        <xdr:cNvSpPr/>
      </xdr:nvSpPr>
      <xdr:spPr>
        <a:xfrm>
          <a:off x="5524500" y="2413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13</xdr:row>
      <xdr:rowOff>25400</xdr:rowOff>
    </xdr:from>
    <xdr:to>
      <xdr:col>9</xdr:col>
      <xdr:colOff>338667</xdr:colOff>
      <xdr:row>13</xdr:row>
      <xdr:rowOff>63500</xdr:rowOff>
    </xdr:to>
    <xdr:sp macro="" textlink="">
      <xdr:nvSpPr>
        <xdr:cNvPr id="7964" name="Dot420185"/>
        <xdr:cNvSpPr/>
      </xdr:nvSpPr>
      <xdr:spPr>
        <a:xfrm>
          <a:off x="5524500" y="2540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13</xdr:row>
      <xdr:rowOff>152400</xdr:rowOff>
    </xdr:from>
    <xdr:to>
      <xdr:col>9</xdr:col>
      <xdr:colOff>338667</xdr:colOff>
      <xdr:row>14</xdr:row>
      <xdr:rowOff>0</xdr:rowOff>
    </xdr:to>
    <xdr:sp macro="" textlink="">
      <xdr:nvSpPr>
        <xdr:cNvPr id="7965" name="Dot420195"/>
        <xdr:cNvSpPr/>
      </xdr:nvSpPr>
      <xdr:spPr>
        <a:xfrm>
          <a:off x="5524500" y="2667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14</xdr:row>
      <xdr:rowOff>88900</xdr:rowOff>
    </xdr:from>
    <xdr:to>
      <xdr:col>9</xdr:col>
      <xdr:colOff>338667</xdr:colOff>
      <xdr:row>14</xdr:row>
      <xdr:rowOff>127000</xdr:rowOff>
    </xdr:to>
    <xdr:sp macro="" textlink="">
      <xdr:nvSpPr>
        <xdr:cNvPr id="7966" name="Dot420205"/>
        <xdr:cNvSpPr/>
      </xdr:nvSpPr>
      <xdr:spPr>
        <a:xfrm>
          <a:off x="5524500" y="2794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15</xdr:row>
      <xdr:rowOff>25400</xdr:rowOff>
    </xdr:from>
    <xdr:to>
      <xdr:col>9</xdr:col>
      <xdr:colOff>338667</xdr:colOff>
      <xdr:row>15</xdr:row>
      <xdr:rowOff>63500</xdr:rowOff>
    </xdr:to>
    <xdr:sp macro="" textlink="">
      <xdr:nvSpPr>
        <xdr:cNvPr id="7967" name="Dot420215"/>
        <xdr:cNvSpPr/>
      </xdr:nvSpPr>
      <xdr:spPr>
        <a:xfrm>
          <a:off x="5524500" y="2921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15</xdr:row>
      <xdr:rowOff>152400</xdr:rowOff>
    </xdr:from>
    <xdr:to>
      <xdr:col>9</xdr:col>
      <xdr:colOff>338667</xdr:colOff>
      <xdr:row>16</xdr:row>
      <xdr:rowOff>0</xdr:rowOff>
    </xdr:to>
    <xdr:sp macro="" textlink="">
      <xdr:nvSpPr>
        <xdr:cNvPr id="7968" name="Dot420225"/>
        <xdr:cNvSpPr/>
      </xdr:nvSpPr>
      <xdr:spPr>
        <a:xfrm>
          <a:off x="5524500" y="3048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16</xdr:row>
      <xdr:rowOff>88900</xdr:rowOff>
    </xdr:from>
    <xdr:to>
      <xdr:col>9</xdr:col>
      <xdr:colOff>338667</xdr:colOff>
      <xdr:row>16</xdr:row>
      <xdr:rowOff>127000</xdr:rowOff>
    </xdr:to>
    <xdr:sp macro="" textlink="">
      <xdr:nvSpPr>
        <xdr:cNvPr id="7969" name="Dot420235"/>
        <xdr:cNvSpPr/>
      </xdr:nvSpPr>
      <xdr:spPr>
        <a:xfrm>
          <a:off x="5524500" y="3175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17</xdr:row>
      <xdr:rowOff>25400</xdr:rowOff>
    </xdr:from>
    <xdr:to>
      <xdr:col>9</xdr:col>
      <xdr:colOff>338667</xdr:colOff>
      <xdr:row>17</xdr:row>
      <xdr:rowOff>63500</xdr:rowOff>
    </xdr:to>
    <xdr:sp macro="" textlink="">
      <xdr:nvSpPr>
        <xdr:cNvPr id="7970" name="Dot420245"/>
        <xdr:cNvSpPr/>
      </xdr:nvSpPr>
      <xdr:spPr>
        <a:xfrm>
          <a:off x="5524500" y="3302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17</xdr:row>
      <xdr:rowOff>152400</xdr:rowOff>
    </xdr:from>
    <xdr:to>
      <xdr:col>9</xdr:col>
      <xdr:colOff>338667</xdr:colOff>
      <xdr:row>18</xdr:row>
      <xdr:rowOff>0</xdr:rowOff>
    </xdr:to>
    <xdr:sp macro="" textlink="">
      <xdr:nvSpPr>
        <xdr:cNvPr id="7971" name="Dot420255"/>
        <xdr:cNvSpPr/>
      </xdr:nvSpPr>
      <xdr:spPr>
        <a:xfrm>
          <a:off x="5524500" y="3429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18</xdr:row>
      <xdr:rowOff>88900</xdr:rowOff>
    </xdr:from>
    <xdr:to>
      <xdr:col>9</xdr:col>
      <xdr:colOff>338667</xdr:colOff>
      <xdr:row>18</xdr:row>
      <xdr:rowOff>127000</xdr:rowOff>
    </xdr:to>
    <xdr:sp macro="" textlink="">
      <xdr:nvSpPr>
        <xdr:cNvPr id="7972" name="Dot420265"/>
        <xdr:cNvSpPr/>
      </xdr:nvSpPr>
      <xdr:spPr>
        <a:xfrm>
          <a:off x="5524500" y="3556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19</xdr:row>
      <xdr:rowOff>25400</xdr:rowOff>
    </xdr:from>
    <xdr:to>
      <xdr:col>9</xdr:col>
      <xdr:colOff>338667</xdr:colOff>
      <xdr:row>19</xdr:row>
      <xdr:rowOff>63500</xdr:rowOff>
    </xdr:to>
    <xdr:sp macro="" textlink="">
      <xdr:nvSpPr>
        <xdr:cNvPr id="7973" name="Dot420275"/>
        <xdr:cNvSpPr/>
      </xdr:nvSpPr>
      <xdr:spPr>
        <a:xfrm>
          <a:off x="5524500" y="3683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19</xdr:row>
      <xdr:rowOff>152400</xdr:rowOff>
    </xdr:from>
    <xdr:to>
      <xdr:col>9</xdr:col>
      <xdr:colOff>338667</xdr:colOff>
      <xdr:row>20</xdr:row>
      <xdr:rowOff>0</xdr:rowOff>
    </xdr:to>
    <xdr:sp macro="" textlink="">
      <xdr:nvSpPr>
        <xdr:cNvPr id="7974" name="Dot420285"/>
        <xdr:cNvSpPr/>
      </xdr:nvSpPr>
      <xdr:spPr>
        <a:xfrm>
          <a:off x="5524500" y="3810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20</xdr:row>
      <xdr:rowOff>88900</xdr:rowOff>
    </xdr:from>
    <xdr:to>
      <xdr:col>9</xdr:col>
      <xdr:colOff>338667</xdr:colOff>
      <xdr:row>20</xdr:row>
      <xdr:rowOff>127000</xdr:rowOff>
    </xdr:to>
    <xdr:sp macro="" textlink="">
      <xdr:nvSpPr>
        <xdr:cNvPr id="7975" name="Dot420295"/>
        <xdr:cNvSpPr/>
      </xdr:nvSpPr>
      <xdr:spPr>
        <a:xfrm>
          <a:off x="5524500" y="3937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21</xdr:row>
      <xdr:rowOff>25400</xdr:rowOff>
    </xdr:from>
    <xdr:to>
      <xdr:col>9</xdr:col>
      <xdr:colOff>338667</xdr:colOff>
      <xdr:row>21</xdr:row>
      <xdr:rowOff>63500</xdr:rowOff>
    </xdr:to>
    <xdr:sp macro="" textlink="">
      <xdr:nvSpPr>
        <xdr:cNvPr id="7976" name="Dot420305"/>
        <xdr:cNvSpPr/>
      </xdr:nvSpPr>
      <xdr:spPr>
        <a:xfrm>
          <a:off x="5524500" y="4064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21</xdr:row>
      <xdr:rowOff>152400</xdr:rowOff>
    </xdr:from>
    <xdr:to>
      <xdr:col>9</xdr:col>
      <xdr:colOff>338667</xdr:colOff>
      <xdr:row>22</xdr:row>
      <xdr:rowOff>0</xdr:rowOff>
    </xdr:to>
    <xdr:sp macro="" textlink="">
      <xdr:nvSpPr>
        <xdr:cNvPr id="7977" name="Dot420315"/>
        <xdr:cNvSpPr/>
      </xdr:nvSpPr>
      <xdr:spPr>
        <a:xfrm>
          <a:off x="5524500" y="4191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22</xdr:row>
      <xdr:rowOff>88900</xdr:rowOff>
    </xdr:from>
    <xdr:to>
      <xdr:col>9</xdr:col>
      <xdr:colOff>338667</xdr:colOff>
      <xdr:row>22</xdr:row>
      <xdr:rowOff>127000</xdr:rowOff>
    </xdr:to>
    <xdr:sp macro="" textlink="">
      <xdr:nvSpPr>
        <xdr:cNvPr id="7978" name="Dot420325"/>
        <xdr:cNvSpPr/>
      </xdr:nvSpPr>
      <xdr:spPr>
        <a:xfrm>
          <a:off x="5524500" y="4318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23</xdr:row>
      <xdr:rowOff>25400</xdr:rowOff>
    </xdr:from>
    <xdr:to>
      <xdr:col>9</xdr:col>
      <xdr:colOff>338667</xdr:colOff>
      <xdr:row>23</xdr:row>
      <xdr:rowOff>63500</xdr:rowOff>
    </xdr:to>
    <xdr:sp macro="" textlink="">
      <xdr:nvSpPr>
        <xdr:cNvPr id="7979" name="Dot420335"/>
        <xdr:cNvSpPr/>
      </xdr:nvSpPr>
      <xdr:spPr>
        <a:xfrm>
          <a:off x="5524500" y="4445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25</xdr:row>
      <xdr:rowOff>152400</xdr:rowOff>
    </xdr:from>
    <xdr:to>
      <xdr:col>9</xdr:col>
      <xdr:colOff>338667</xdr:colOff>
      <xdr:row>26</xdr:row>
      <xdr:rowOff>0</xdr:rowOff>
    </xdr:to>
    <xdr:sp macro="" textlink="">
      <xdr:nvSpPr>
        <xdr:cNvPr id="7980" name="Dot420375"/>
        <xdr:cNvSpPr/>
      </xdr:nvSpPr>
      <xdr:spPr>
        <a:xfrm>
          <a:off x="5524500" y="4953000"/>
          <a:ext cx="33867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431800</xdr:colOff>
      <xdr:row>2</xdr:row>
      <xdr:rowOff>0</xdr:rowOff>
    </xdr:from>
    <xdr:to>
      <xdr:col>9</xdr:col>
      <xdr:colOff>469900</xdr:colOff>
      <xdr:row>2</xdr:row>
      <xdr:rowOff>38100</xdr:rowOff>
    </xdr:to>
    <xdr:sp macro="" textlink="">
      <xdr:nvSpPr>
        <xdr:cNvPr id="7981" name="Dot43015"/>
        <xdr:cNvSpPr/>
      </xdr:nvSpPr>
      <xdr:spPr>
        <a:xfrm>
          <a:off x="5651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431800</xdr:colOff>
      <xdr:row>5</xdr:row>
      <xdr:rowOff>63500</xdr:rowOff>
    </xdr:from>
    <xdr:to>
      <xdr:col>9</xdr:col>
      <xdr:colOff>469900</xdr:colOff>
      <xdr:row>5</xdr:row>
      <xdr:rowOff>101600</xdr:rowOff>
    </xdr:to>
    <xdr:sp macro="" textlink="">
      <xdr:nvSpPr>
        <xdr:cNvPr id="7982" name="Dot43065"/>
        <xdr:cNvSpPr/>
      </xdr:nvSpPr>
      <xdr:spPr>
        <a:xfrm>
          <a:off x="5651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431800</xdr:colOff>
      <xdr:row>8</xdr:row>
      <xdr:rowOff>0</xdr:rowOff>
    </xdr:from>
    <xdr:to>
      <xdr:col>9</xdr:col>
      <xdr:colOff>469900</xdr:colOff>
      <xdr:row>8</xdr:row>
      <xdr:rowOff>38100</xdr:rowOff>
    </xdr:to>
    <xdr:sp macro="" textlink="">
      <xdr:nvSpPr>
        <xdr:cNvPr id="7983" name="Dot430105"/>
        <xdr:cNvSpPr/>
      </xdr:nvSpPr>
      <xdr:spPr>
        <a:xfrm>
          <a:off x="5651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431800</xdr:colOff>
      <xdr:row>17</xdr:row>
      <xdr:rowOff>152400</xdr:rowOff>
    </xdr:from>
    <xdr:to>
      <xdr:col>9</xdr:col>
      <xdr:colOff>469900</xdr:colOff>
      <xdr:row>18</xdr:row>
      <xdr:rowOff>0</xdr:rowOff>
    </xdr:to>
    <xdr:sp macro="" textlink="">
      <xdr:nvSpPr>
        <xdr:cNvPr id="7984" name="Dot430255"/>
        <xdr:cNvSpPr/>
      </xdr:nvSpPr>
      <xdr:spPr>
        <a:xfrm>
          <a:off x="5651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431800</xdr:colOff>
      <xdr:row>23</xdr:row>
      <xdr:rowOff>25400</xdr:rowOff>
    </xdr:from>
    <xdr:to>
      <xdr:col>9</xdr:col>
      <xdr:colOff>469900</xdr:colOff>
      <xdr:row>23</xdr:row>
      <xdr:rowOff>63500</xdr:rowOff>
    </xdr:to>
    <xdr:sp macro="" textlink="">
      <xdr:nvSpPr>
        <xdr:cNvPr id="7985" name="Dot430335"/>
        <xdr:cNvSpPr/>
      </xdr:nvSpPr>
      <xdr:spPr>
        <a:xfrm>
          <a:off x="5651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431800</xdr:colOff>
      <xdr:row>25</xdr:row>
      <xdr:rowOff>152400</xdr:rowOff>
    </xdr:from>
    <xdr:to>
      <xdr:col>9</xdr:col>
      <xdr:colOff>469900</xdr:colOff>
      <xdr:row>26</xdr:row>
      <xdr:rowOff>0</xdr:rowOff>
    </xdr:to>
    <xdr:sp macro="" textlink="">
      <xdr:nvSpPr>
        <xdr:cNvPr id="7986" name="Dot430375"/>
        <xdr:cNvSpPr/>
      </xdr:nvSpPr>
      <xdr:spPr>
        <a:xfrm>
          <a:off x="5651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558800</xdr:colOff>
      <xdr:row>2</xdr:row>
      <xdr:rowOff>0</xdr:rowOff>
    </xdr:from>
    <xdr:to>
      <xdr:col>9</xdr:col>
      <xdr:colOff>596900</xdr:colOff>
      <xdr:row>2</xdr:row>
      <xdr:rowOff>38100</xdr:rowOff>
    </xdr:to>
    <xdr:sp macro="" textlink="">
      <xdr:nvSpPr>
        <xdr:cNvPr id="7987" name="Dot44015"/>
        <xdr:cNvSpPr/>
      </xdr:nvSpPr>
      <xdr:spPr>
        <a:xfrm>
          <a:off x="5778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558800</xdr:colOff>
      <xdr:row>5</xdr:row>
      <xdr:rowOff>63500</xdr:rowOff>
    </xdr:from>
    <xdr:to>
      <xdr:col>9</xdr:col>
      <xdr:colOff>596900</xdr:colOff>
      <xdr:row>5</xdr:row>
      <xdr:rowOff>101600</xdr:rowOff>
    </xdr:to>
    <xdr:sp macro="" textlink="">
      <xdr:nvSpPr>
        <xdr:cNvPr id="7988" name="Dot44065"/>
        <xdr:cNvSpPr/>
      </xdr:nvSpPr>
      <xdr:spPr>
        <a:xfrm>
          <a:off x="5778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558800</xdr:colOff>
      <xdr:row>8</xdr:row>
      <xdr:rowOff>0</xdr:rowOff>
    </xdr:from>
    <xdr:to>
      <xdr:col>9</xdr:col>
      <xdr:colOff>596900</xdr:colOff>
      <xdr:row>8</xdr:row>
      <xdr:rowOff>38100</xdr:rowOff>
    </xdr:to>
    <xdr:sp macro="" textlink="">
      <xdr:nvSpPr>
        <xdr:cNvPr id="7989" name="Dot440105"/>
        <xdr:cNvSpPr/>
      </xdr:nvSpPr>
      <xdr:spPr>
        <a:xfrm>
          <a:off x="5778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558800</xdr:colOff>
      <xdr:row>17</xdr:row>
      <xdr:rowOff>152400</xdr:rowOff>
    </xdr:from>
    <xdr:to>
      <xdr:col>9</xdr:col>
      <xdr:colOff>596900</xdr:colOff>
      <xdr:row>18</xdr:row>
      <xdr:rowOff>0</xdr:rowOff>
    </xdr:to>
    <xdr:sp macro="" textlink="">
      <xdr:nvSpPr>
        <xdr:cNvPr id="7990" name="Dot440255"/>
        <xdr:cNvSpPr/>
      </xdr:nvSpPr>
      <xdr:spPr>
        <a:xfrm>
          <a:off x="5778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558800</xdr:colOff>
      <xdr:row>23</xdr:row>
      <xdr:rowOff>25400</xdr:rowOff>
    </xdr:from>
    <xdr:to>
      <xdr:col>9</xdr:col>
      <xdr:colOff>596900</xdr:colOff>
      <xdr:row>23</xdr:row>
      <xdr:rowOff>63500</xdr:rowOff>
    </xdr:to>
    <xdr:sp macro="" textlink="">
      <xdr:nvSpPr>
        <xdr:cNvPr id="7991" name="Dot440335"/>
        <xdr:cNvSpPr/>
      </xdr:nvSpPr>
      <xdr:spPr>
        <a:xfrm>
          <a:off x="5778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558800</xdr:colOff>
      <xdr:row>25</xdr:row>
      <xdr:rowOff>152400</xdr:rowOff>
    </xdr:from>
    <xdr:to>
      <xdr:col>9</xdr:col>
      <xdr:colOff>596900</xdr:colOff>
      <xdr:row>26</xdr:row>
      <xdr:rowOff>0</xdr:rowOff>
    </xdr:to>
    <xdr:sp macro="" textlink="">
      <xdr:nvSpPr>
        <xdr:cNvPr id="7992" name="Dot440375"/>
        <xdr:cNvSpPr/>
      </xdr:nvSpPr>
      <xdr:spPr>
        <a:xfrm>
          <a:off x="5778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76200</xdr:colOff>
      <xdr:row>2</xdr:row>
      <xdr:rowOff>0</xdr:rowOff>
    </xdr:from>
    <xdr:to>
      <xdr:col>10</xdr:col>
      <xdr:colOff>114300</xdr:colOff>
      <xdr:row>2</xdr:row>
      <xdr:rowOff>38100</xdr:rowOff>
    </xdr:to>
    <xdr:sp macro="" textlink="">
      <xdr:nvSpPr>
        <xdr:cNvPr id="7993" name="Dot45015"/>
        <xdr:cNvSpPr/>
      </xdr:nvSpPr>
      <xdr:spPr>
        <a:xfrm>
          <a:off x="5905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76200</xdr:colOff>
      <xdr:row>5</xdr:row>
      <xdr:rowOff>63500</xdr:rowOff>
    </xdr:from>
    <xdr:to>
      <xdr:col>10</xdr:col>
      <xdr:colOff>114300</xdr:colOff>
      <xdr:row>5</xdr:row>
      <xdr:rowOff>101600</xdr:rowOff>
    </xdr:to>
    <xdr:sp macro="" textlink="">
      <xdr:nvSpPr>
        <xdr:cNvPr id="7994" name="Dot45065"/>
        <xdr:cNvSpPr/>
      </xdr:nvSpPr>
      <xdr:spPr>
        <a:xfrm>
          <a:off x="5905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76200</xdr:colOff>
      <xdr:row>8</xdr:row>
      <xdr:rowOff>0</xdr:rowOff>
    </xdr:from>
    <xdr:to>
      <xdr:col>10</xdr:col>
      <xdr:colOff>114300</xdr:colOff>
      <xdr:row>8</xdr:row>
      <xdr:rowOff>38100</xdr:rowOff>
    </xdr:to>
    <xdr:sp macro="" textlink="">
      <xdr:nvSpPr>
        <xdr:cNvPr id="7995" name="Dot450105"/>
        <xdr:cNvSpPr/>
      </xdr:nvSpPr>
      <xdr:spPr>
        <a:xfrm>
          <a:off x="5905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76200</xdr:colOff>
      <xdr:row>17</xdr:row>
      <xdr:rowOff>152400</xdr:rowOff>
    </xdr:from>
    <xdr:to>
      <xdr:col>10</xdr:col>
      <xdr:colOff>114300</xdr:colOff>
      <xdr:row>18</xdr:row>
      <xdr:rowOff>0</xdr:rowOff>
    </xdr:to>
    <xdr:sp macro="" textlink="">
      <xdr:nvSpPr>
        <xdr:cNvPr id="7996" name="Dot450255"/>
        <xdr:cNvSpPr/>
      </xdr:nvSpPr>
      <xdr:spPr>
        <a:xfrm>
          <a:off x="5905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76200</xdr:colOff>
      <xdr:row>23</xdr:row>
      <xdr:rowOff>25400</xdr:rowOff>
    </xdr:from>
    <xdr:to>
      <xdr:col>10</xdr:col>
      <xdr:colOff>114300</xdr:colOff>
      <xdr:row>23</xdr:row>
      <xdr:rowOff>63500</xdr:rowOff>
    </xdr:to>
    <xdr:sp macro="" textlink="">
      <xdr:nvSpPr>
        <xdr:cNvPr id="7997" name="Dot450335"/>
        <xdr:cNvSpPr/>
      </xdr:nvSpPr>
      <xdr:spPr>
        <a:xfrm>
          <a:off x="5905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76200</xdr:colOff>
      <xdr:row>25</xdr:row>
      <xdr:rowOff>152400</xdr:rowOff>
    </xdr:from>
    <xdr:to>
      <xdr:col>10</xdr:col>
      <xdr:colOff>114300</xdr:colOff>
      <xdr:row>26</xdr:row>
      <xdr:rowOff>0</xdr:rowOff>
    </xdr:to>
    <xdr:sp macro="" textlink="">
      <xdr:nvSpPr>
        <xdr:cNvPr id="7998" name="Dot450375"/>
        <xdr:cNvSpPr/>
      </xdr:nvSpPr>
      <xdr:spPr>
        <a:xfrm>
          <a:off x="5905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203200</xdr:colOff>
      <xdr:row>2</xdr:row>
      <xdr:rowOff>0</xdr:rowOff>
    </xdr:from>
    <xdr:to>
      <xdr:col>10</xdr:col>
      <xdr:colOff>241300</xdr:colOff>
      <xdr:row>2</xdr:row>
      <xdr:rowOff>38100</xdr:rowOff>
    </xdr:to>
    <xdr:sp macro="" textlink="">
      <xdr:nvSpPr>
        <xdr:cNvPr id="7999" name="Dot46015"/>
        <xdr:cNvSpPr/>
      </xdr:nvSpPr>
      <xdr:spPr>
        <a:xfrm>
          <a:off x="6032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203200</xdr:colOff>
      <xdr:row>5</xdr:row>
      <xdr:rowOff>63500</xdr:rowOff>
    </xdr:from>
    <xdr:to>
      <xdr:col>10</xdr:col>
      <xdr:colOff>241300</xdr:colOff>
      <xdr:row>5</xdr:row>
      <xdr:rowOff>101600</xdr:rowOff>
    </xdr:to>
    <xdr:sp macro="" textlink="">
      <xdr:nvSpPr>
        <xdr:cNvPr id="8000" name="Dot46065"/>
        <xdr:cNvSpPr/>
      </xdr:nvSpPr>
      <xdr:spPr>
        <a:xfrm>
          <a:off x="6032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203200</xdr:colOff>
      <xdr:row>8</xdr:row>
      <xdr:rowOff>0</xdr:rowOff>
    </xdr:from>
    <xdr:to>
      <xdr:col>10</xdr:col>
      <xdr:colOff>241300</xdr:colOff>
      <xdr:row>8</xdr:row>
      <xdr:rowOff>38100</xdr:rowOff>
    </xdr:to>
    <xdr:sp macro="" textlink="">
      <xdr:nvSpPr>
        <xdr:cNvPr id="8001" name="Dot460105"/>
        <xdr:cNvSpPr/>
      </xdr:nvSpPr>
      <xdr:spPr>
        <a:xfrm>
          <a:off x="6032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203200</xdr:colOff>
      <xdr:row>17</xdr:row>
      <xdr:rowOff>152400</xdr:rowOff>
    </xdr:from>
    <xdr:to>
      <xdr:col>10</xdr:col>
      <xdr:colOff>241300</xdr:colOff>
      <xdr:row>18</xdr:row>
      <xdr:rowOff>0</xdr:rowOff>
    </xdr:to>
    <xdr:sp macro="" textlink="">
      <xdr:nvSpPr>
        <xdr:cNvPr id="8002" name="Dot460255"/>
        <xdr:cNvSpPr/>
      </xdr:nvSpPr>
      <xdr:spPr>
        <a:xfrm>
          <a:off x="6032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203200</xdr:colOff>
      <xdr:row>23</xdr:row>
      <xdr:rowOff>25400</xdr:rowOff>
    </xdr:from>
    <xdr:to>
      <xdr:col>10</xdr:col>
      <xdr:colOff>241300</xdr:colOff>
      <xdr:row>23</xdr:row>
      <xdr:rowOff>63500</xdr:rowOff>
    </xdr:to>
    <xdr:sp macro="" textlink="">
      <xdr:nvSpPr>
        <xdr:cNvPr id="8003" name="Dot460335"/>
        <xdr:cNvSpPr/>
      </xdr:nvSpPr>
      <xdr:spPr>
        <a:xfrm>
          <a:off x="6032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203200</xdr:colOff>
      <xdr:row>25</xdr:row>
      <xdr:rowOff>152400</xdr:rowOff>
    </xdr:from>
    <xdr:to>
      <xdr:col>10</xdr:col>
      <xdr:colOff>241300</xdr:colOff>
      <xdr:row>26</xdr:row>
      <xdr:rowOff>0</xdr:rowOff>
    </xdr:to>
    <xdr:sp macro="" textlink="">
      <xdr:nvSpPr>
        <xdr:cNvPr id="8004" name="Dot460375"/>
        <xdr:cNvSpPr/>
      </xdr:nvSpPr>
      <xdr:spPr>
        <a:xfrm>
          <a:off x="6032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330200</xdr:colOff>
      <xdr:row>2</xdr:row>
      <xdr:rowOff>0</xdr:rowOff>
    </xdr:from>
    <xdr:to>
      <xdr:col>10</xdr:col>
      <xdr:colOff>368300</xdr:colOff>
      <xdr:row>2</xdr:row>
      <xdr:rowOff>38100</xdr:rowOff>
    </xdr:to>
    <xdr:sp macro="" textlink="">
      <xdr:nvSpPr>
        <xdr:cNvPr id="8005" name="Dot47015"/>
        <xdr:cNvSpPr/>
      </xdr:nvSpPr>
      <xdr:spPr>
        <a:xfrm>
          <a:off x="6159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330200</xdr:colOff>
      <xdr:row>5</xdr:row>
      <xdr:rowOff>63500</xdr:rowOff>
    </xdr:from>
    <xdr:to>
      <xdr:col>10</xdr:col>
      <xdr:colOff>368300</xdr:colOff>
      <xdr:row>5</xdr:row>
      <xdr:rowOff>101600</xdr:rowOff>
    </xdr:to>
    <xdr:sp macro="" textlink="">
      <xdr:nvSpPr>
        <xdr:cNvPr id="8006" name="Dot47065"/>
        <xdr:cNvSpPr/>
      </xdr:nvSpPr>
      <xdr:spPr>
        <a:xfrm>
          <a:off x="6159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330200</xdr:colOff>
      <xdr:row>8</xdr:row>
      <xdr:rowOff>0</xdr:rowOff>
    </xdr:from>
    <xdr:to>
      <xdr:col>10</xdr:col>
      <xdr:colOff>368300</xdr:colOff>
      <xdr:row>8</xdr:row>
      <xdr:rowOff>38100</xdr:rowOff>
    </xdr:to>
    <xdr:sp macro="" textlink="">
      <xdr:nvSpPr>
        <xdr:cNvPr id="8007" name="Dot470105"/>
        <xdr:cNvSpPr/>
      </xdr:nvSpPr>
      <xdr:spPr>
        <a:xfrm>
          <a:off x="6159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330200</xdr:colOff>
      <xdr:row>17</xdr:row>
      <xdr:rowOff>152400</xdr:rowOff>
    </xdr:from>
    <xdr:to>
      <xdr:col>10</xdr:col>
      <xdr:colOff>368300</xdr:colOff>
      <xdr:row>18</xdr:row>
      <xdr:rowOff>0</xdr:rowOff>
    </xdr:to>
    <xdr:sp macro="" textlink="">
      <xdr:nvSpPr>
        <xdr:cNvPr id="8008" name="Dot470255"/>
        <xdr:cNvSpPr/>
      </xdr:nvSpPr>
      <xdr:spPr>
        <a:xfrm>
          <a:off x="6159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330200</xdr:colOff>
      <xdr:row>20</xdr:row>
      <xdr:rowOff>88900</xdr:rowOff>
    </xdr:from>
    <xdr:to>
      <xdr:col>10</xdr:col>
      <xdr:colOff>368300</xdr:colOff>
      <xdr:row>20</xdr:row>
      <xdr:rowOff>127000</xdr:rowOff>
    </xdr:to>
    <xdr:sp macro="" textlink="">
      <xdr:nvSpPr>
        <xdr:cNvPr id="8009" name="Dot470295"/>
        <xdr:cNvSpPr/>
      </xdr:nvSpPr>
      <xdr:spPr>
        <a:xfrm>
          <a:off x="6159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330200</xdr:colOff>
      <xdr:row>21</xdr:row>
      <xdr:rowOff>25400</xdr:rowOff>
    </xdr:from>
    <xdr:to>
      <xdr:col>10</xdr:col>
      <xdr:colOff>368300</xdr:colOff>
      <xdr:row>21</xdr:row>
      <xdr:rowOff>63500</xdr:rowOff>
    </xdr:to>
    <xdr:sp macro="" textlink="">
      <xdr:nvSpPr>
        <xdr:cNvPr id="8010" name="Dot470305"/>
        <xdr:cNvSpPr/>
      </xdr:nvSpPr>
      <xdr:spPr>
        <a:xfrm>
          <a:off x="6159500" y="406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330200</xdr:colOff>
      <xdr:row>21</xdr:row>
      <xdr:rowOff>152400</xdr:rowOff>
    </xdr:from>
    <xdr:to>
      <xdr:col>10</xdr:col>
      <xdr:colOff>368300</xdr:colOff>
      <xdr:row>22</xdr:row>
      <xdr:rowOff>0</xdr:rowOff>
    </xdr:to>
    <xdr:sp macro="" textlink="">
      <xdr:nvSpPr>
        <xdr:cNvPr id="8011" name="Dot470315"/>
        <xdr:cNvSpPr/>
      </xdr:nvSpPr>
      <xdr:spPr>
        <a:xfrm>
          <a:off x="6159500" y="419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330200</xdr:colOff>
      <xdr:row>22</xdr:row>
      <xdr:rowOff>88900</xdr:rowOff>
    </xdr:from>
    <xdr:to>
      <xdr:col>10</xdr:col>
      <xdr:colOff>368300</xdr:colOff>
      <xdr:row>22</xdr:row>
      <xdr:rowOff>127000</xdr:rowOff>
    </xdr:to>
    <xdr:sp macro="" textlink="">
      <xdr:nvSpPr>
        <xdr:cNvPr id="8012" name="Dot470325"/>
        <xdr:cNvSpPr/>
      </xdr:nvSpPr>
      <xdr:spPr>
        <a:xfrm>
          <a:off x="6159500" y="4318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330200</xdr:colOff>
      <xdr:row>23</xdr:row>
      <xdr:rowOff>25400</xdr:rowOff>
    </xdr:from>
    <xdr:to>
      <xdr:col>10</xdr:col>
      <xdr:colOff>368300</xdr:colOff>
      <xdr:row>23</xdr:row>
      <xdr:rowOff>63500</xdr:rowOff>
    </xdr:to>
    <xdr:sp macro="" textlink="">
      <xdr:nvSpPr>
        <xdr:cNvPr id="8013" name="Dot470335"/>
        <xdr:cNvSpPr/>
      </xdr:nvSpPr>
      <xdr:spPr>
        <a:xfrm>
          <a:off x="6159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330200</xdr:colOff>
      <xdr:row>25</xdr:row>
      <xdr:rowOff>152400</xdr:rowOff>
    </xdr:from>
    <xdr:to>
      <xdr:col>10</xdr:col>
      <xdr:colOff>368300</xdr:colOff>
      <xdr:row>26</xdr:row>
      <xdr:rowOff>0</xdr:rowOff>
    </xdr:to>
    <xdr:sp macro="" textlink="">
      <xdr:nvSpPr>
        <xdr:cNvPr id="8014" name="Dot470375"/>
        <xdr:cNvSpPr/>
      </xdr:nvSpPr>
      <xdr:spPr>
        <a:xfrm>
          <a:off x="6159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457200</xdr:colOff>
      <xdr:row>2</xdr:row>
      <xdr:rowOff>0</xdr:rowOff>
    </xdr:from>
    <xdr:to>
      <xdr:col>10</xdr:col>
      <xdr:colOff>495300</xdr:colOff>
      <xdr:row>2</xdr:row>
      <xdr:rowOff>38100</xdr:rowOff>
    </xdr:to>
    <xdr:sp macro="" textlink="">
      <xdr:nvSpPr>
        <xdr:cNvPr id="8015" name="Dot48015"/>
        <xdr:cNvSpPr/>
      </xdr:nvSpPr>
      <xdr:spPr>
        <a:xfrm>
          <a:off x="6286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457200</xdr:colOff>
      <xdr:row>5</xdr:row>
      <xdr:rowOff>63500</xdr:rowOff>
    </xdr:from>
    <xdr:to>
      <xdr:col>10</xdr:col>
      <xdr:colOff>495300</xdr:colOff>
      <xdr:row>5</xdr:row>
      <xdr:rowOff>101600</xdr:rowOff>
    </xdr:to>
    <xdr:sp macro="" textlink="">
      <xdr:nvSpPr>
        <xdr:cNvPr id="8016" name="Dot48065"/>
        <xdr:cNvSpPr/>
      </xdr:nvSpPr>
      <xdr:spPr>
        <a:xfrm>
          <a:off x="6286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457200</xdr:colOff>
      <xdr:row>8</xdr:row>
      <xdr:rowOff>0</xdr:rowOff>
    </xdr:from>
    <xdr:to>
      <xdr:col>10</xdr:col>
      <xdr:colOff>495300</xdr:colOff>
      <xdr:row>8</xdr:row>
      <xdr:rowOff>38100</xdr:rowOff>
    </xdr:to>
    <xdr:sp macro="" textlink="">
      <xdr:nvSpPr>
        <xdr:cNvPr id="8017" name="Dot480105"/>
        <xdr:cNvSpPr/>
      </xdr:nvSpPr>
      <xdr:spPr>
        <a:xfrm>
          <a:off x="6286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457200</xdr:colOff>
      <xdr:row>17</xdr:row>
      <xdr:rowOff>152400</xdr:rowOff>
    </xdr:from>
    <xdr:to>
      <xdr:col>10</xdr:col>
      <xdr:colOff>495300</xdr:colOff>
      <xdr:row>18</xdr:row>
      <xdr:rowOff>0</xdr:rowOff>
    </xdr:to>
    <xdr:sp macro="" textlink="">
      <xdr:nvSpPr>
        <xdr:cNvPr id="8018" name="Dot480255"/>
        <xdr:cNvSpPr/>
      </xdr:nvSpPr>
      <xdr:spPr>
        <a:xfrm>
          <a:off x="6286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457200</xdr:colOff>
      <xdr:row>20</xdr:row>
      <xdr:rowOff>88900</xdr:rowOff>
    </xdr:from>
    <xdr:to>
      <xdr:col>10</xdr:col>
      <xdr:colOff>495300</xdr:colOff>
      <xdr:row>20</xdr:row>
      <xdr:rowOff>127000</xdr:rowOff>
    </xdr:to>
    <xdr:sp macro="" textlink="">
      <xdr:nvSpPr>
        <xdr:cNvPr id="8019" name="Dot480295"/>
        <xdr:cNvSpPr/>
      </xdr:nvSpPr>
      <xdr:spPr>
        <a:xfrm>
          <a:off x="6286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457200</xdr:colOff>
      <xdr:row>23</xdr:row>
      <xdr:rowOff>25400</xdr:rowOff>
    </xdr:from>
    <xdr:to>
      <xdr:col>10</xdr:col>
      <xdr:colOff>495300</xdr:colOff>
      <xdr:row>23</xdr:row>
      <xdr:rowOff>63500</xdr:rowOff>
    </xdr:to>
    <xdr:sp macro="" textlink="">
      <xdr:nvSpPr>
        <xdr:cNvPr id="8020" name="Dot480335"/>
        <xdr:cNvSpPr/>
      </xdr:nvSpPr>
      <xdr:spPr>
        <a:xfrm>
          <a:off x="6286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457200</xdr:colOff>
      <xdr:row>25</xdr:row>
      <xdr:rowOff>152400</xdr:rowOff>
    </xdr:from>
    <xdr:to>
      <xdr:col>10</xdr:col>
      <xdr:colOff>495300</xdr:colOff>
      <xdr:row>26</xdr:row>
      <xdr:rowOff>0</xdr:rowOff>
    </xdr:to>
    <xdr:sp macro="" textlink="">
      <xdr:nvSpPr>
        <xdr:cNvPr id="8021" name="Dot480375"/>
        <xdr:cNvSpPr/>
      </xdr:nvSpPr>
      <xdr:spPr>
        <a:xfrm>
          <a:off x="6286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584200</xdr:colOff>
      <xdr:row>2</xdr:row>
      <xdr:rowOff>0</xdr:rowOff>
    </xdr:from>
    <xdr:to>
      <xdr:col>11</xdr:col>
      <xdr:colOff>12700</xdr:colOff>
      <xdr:row>2</xdr:row>
      <xdr:rowOff>38100</xdr:rowOff>
    </xdr:to>
    <xdr:sp macro="" textlink="">
      <xdr:nvSpPr>
        <xdr:cNvPr id="8022" name="Dot49015"/>
        <xdr:cNvSpPr/>
      </xdr:nvSpPr>
      <xdr:spPr>
        <a:xfrm>
          <a:off x="6413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584200</xdr:colOff>
      <xdr:row>5</xdr:row>
      <xdr:rowOff>63500</xdr:rowOff>
    </xdr:from>
    <xdr:to>
      <xdr:col>11</xdr:col>
      <xdr:colOff>12700</xdr:colOff>
      <xdr:row>5</xdr:row>
      <xdr:rowOff>101600</xdr:rowOff>
    </xdr:to>
    <xdr:sp macro="" textlink="">
      <xdr:nvSpPr>
        <xdr:cNvPr id="8023" name="Dot49065"/>
        <xdr:cNvSpPr/>
      </xdr:nvSpPr>
      <xdr:spPr>
        <a:xfrm>
          <a:off x="6413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584200</xdr:colOff>
      <xdr:row>8</xdr:row>
      <xdr:rowOff>0</xdr:rowOff>
    </xdr:from>
    <xdr:to>
      <xdr:col>11</xdr:col>
      <xdr:colOff>12700</xdr:colOff>
      <xdr:row>8</xdr:row>
      <xdr:rowOff>38100</xdr:rowOff>
    </xdr:to>
    <xdr:sp macro="" textlink="">
      <xdr:nvSpPr>
        <xdr:cNvPr id="8024" name="Dot490105"/>
        <xdr:cNvSpPr/>
      </xdr:nvSpPr>
      <xdr:spPr>
        <a:xfrm>
          <a:off x="6413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584200</xdr:colOff>
      <xdr:row>17</xdr:row>
      <xdr:rowOff>152400</xdr:rowOff>
    </xdr:from>
    <xdr:to>
      <xdr:col>11</xdr:col>
      <xdr:colOff>12700</xdr:colOff>
      <xdr:row>18</xdr:row>
      <xdr:rowOff>0</xdr:rowOff>
    </xdr:to>
    <xdr:sp macro="" textlink="">
      <xdr:nvSpPr>
        <xdr:cNvPr id="8025" name="Dot490255"/>
        <xdr:cNvSpPr/>
      </xdr:nvSpPr>
      <xdr:spPr>
        <a:xfrm>
          <a:off x="6413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584200</xdr:colOff>
      <xdr:row>20</xdr:row>
      <xdr:rowOff>88900</xdr:rowOff>
    </xdr:from>
    <xdr:to>
      <xdr:col>11</xdr:col>
      <xdr:colOff>12700</xdr:colOff>
      <xdr:row>20</xdr:row>
      <xdr:rowOff>127000</xdr:rowOff>
    </xdr:to>
    <xdr:sp macro="" textlink="">
      <xdr:nvSpPr>
        <xdr:cNvPr id="8026" name="Dot490295"/>
        <xdr:cNvSpPr/>
      </xdr:nvSpPr>
      <xdr:spPr>
        <a:xfrm>
          <a:off x="6413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584200</xdr:colOff>
      <xdr:row>23</xdr:row>
      <xdr:rowOff>25400</xdr:rowOff>
    </xdr:from>
    <xdr:to>
      <xdr:col>11</xdr:col>
      <xdr:colOff>12700</xdr:colOff>
      <xdr:row>23</xdr:row>
      <xdr:rowOff>63500</xdr:rowOff>
    </xdr:to>
    <xdr:sp macro="" textlink="">
      <xdr:nvSpPr>
        <xdr:cNvPr id="8027" name="Dot490335"/>
        <xdr:cNvSpPr/>
      </xdr:nvSpPr>
      <xdr:spPr>
        <a:xfrm>
          <a:off x="6413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584200</xdr:colOff>
      <xdr:row>25</xdr:row>
      <xdr:rowOff>152400</xdr:rowOff>
    </xdr:from>
    <xdr:to>
      <xdr:col>11</xdr:col>
      <xdr:colOff>12700</xdr:colOff>
      <xdr:row>26</xdr:row>
      <xdr:rowOff>0</xdr:rowOff>
    </xdr:to>
    <xdr:sp macro="" textlink="">
      <xdr:nvSpPr>
        <xdr:cNvPr id="8028" name="Dot490375"/>
        <xdr:cNvSpPr/>
      </xdr:nvSpPr>
      <xdr:spPr>
        <a:xfrm>
          <a:off x="6413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101600</xdr:colOff>
      <xdr:row>2</xdr:row>
      <xdr:rowOff>0</xdr:rowOff>
    </xdr:from>
    <xdr:to>
      <xdr:col>11</xdr:col>
      <xdr:colOff>139700</xdr:colOff>
      <xdr:row>2</xdr:row>
      <xdr:rowOff>38100</xdr:rowOff>
    </xdr:to>
    <xdr:sp macro="" textlink="">
      <xdr:nvSpPr>
        <xdr:cNvPr id="8029" name="Dot50015"/>
        <xdr:cNvSpPr/>
      </xdr:nvSpPr>
      <xdr:spPr>
        <a:xfrm>
          <a:off x="6540500" y="381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101600</xdr:colOff>
      <xdr:row>2</xdr:row>
      <xdr:rowOff>127000</xdr:rowOff>
    </xdr:from>
    <xdr:to>
      <xdr:col>11</xdr:col>
      <xdr:colOff>139700</xdr:colOff>
      <xdr:row>2</xdr:row>
      <xdr:rowOff>165100</xdr:rowOff>
    </xdr:to>
    <xdr:sp macro="" textlink="">
      <xdr:nvSpPr>
        <xdr:cNvPr id="8030" name="Dot50025"/>
        <xdr:cNvSpPr/>
      </xdr:nvSpPr>
      <xdr:spPr>
        <a:xfrm>
          <a:off x="6540500" y="508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101600</xdr:colOff>
      <xdr:row>3</xdr:row>
      <xdr:rowOff>63500</xdr:rowOff>
    </xdr:from>
    <xdr:to>
      <xdr:col>11</xdr:col>
      <xdr:colOff>203200</xdr:colOff>
      <xdr:row>3</xdr:row>
      <xdr:rowOff>165100</xdr:rowOff>
    </xdr:to>
    <xdr:sp macro="" textlink="">
      <xdr:nvSpPr>
        <xdr:cNvPr id="8031" name="Dot50035"/>
        <xdr:cNvSpPr/>
      </xdr:nvSpPr>
      <xdr:spPr>
        <a:xfrm>
          <a:off x="6540500" y="635000"/>
          <a:ext cx="101600" cy="1016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101600</xdr:colOff>
      <xdr:row>4</xdr:row>
      <xdr:rowOff>0</xdr:rowOff>
    </xdr:from>
    <xdr:to>
      <xdr:col>11</xdr:col>
      <xdr:colOff>139700</xdr:colOff>
      <xdr:row>4</xdr:row>
      <xdr:rowOff>38100</xdr:rowOff>
    </xdr:to>
    <xdr:sp macro="" textlink="">
      <xdr:nvSpPr>
        <xdr:cNvPr id="8032" name="Dot50045"/>
        <xdr:cNvSpPr/>
      </xdr:nvSpPr>
      <xdr:spPr>
        <a:xfrm>
          <a:off x="6540500" y="76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101600</xdr:colOff>
      <xdr:row>4</xdr:row>
      <xdr:rowOff>127000</xdr:rowOff>
    </xdr:from>
    <xdr:to>
      <xdr:col>11</xdr:col>
      <xdr:colOff>139700</xdr:colOff>
      <xdr:row>4</xdr:row>
      <xdr:rowOff>165100</xdr:rowOff>
    </xdr:to>
    <xdr:sp macro="" textlink="">
      <xdr:nvSpPr>
        <xdr:cNvPr id="8033" name="Dot50055"/>
        <xdr:cNvSpPr/>
      </xdr:nvSpPr>
      <xdr:spPr>
        <a:xfrm>
          <a:off x="6540500" y="88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101600</xdr:colOff>
      <xdr:row>5</xdr:row>
      <xdr:rowOff>63500</xdr:rowOff>
    </xdr:from>
    <xdr:to>
      <xdr:col>11</xdr:col>
      <xdr:colOff>139700</xdr:colOff>
      <xdr:row>5</xdr:row>
      <xdr:rowOff>101600</xdr:rowOff>
    </xdr:to>
    <xdr:sp macro="" textlink="">
      <xdr:nvSpPr>
        <xdr:cNvPr id="8034" name="Dot50065"/>
        <xdr:cNvSpPr/>
      </xdr:nvSpPr>
      <xdr:spPr>
        <a:xfrm>
          <a:off x="6540500" y="101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101600</xdr:colOff>
      <xdr:row>6</xdr:row>
      <xdr:rowOff>0</xdr:rowOff>
    </xdr:from>
    <xdr:to>
      <xdr:col>11</xdr:col>
      <xdr:colOff>139700</xdr:colOff>
      <xdr:row>6</xdr:row>
      <xdr:rowOff>38100</xdr:rowOff>
    </xdr:to>
    <xdr:sp macro="" textlink="">
      <xdr:nvSpPr>
        <xdr:cNvPr id="8035" name="Dot50075"/>
        <xdr:cNvSpPr/>
      </xdr:nvSpPr>
      <xdr:spPr>
        <a:xfrm>
          <a:off x="6540500" y="114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101600</xdr:colOff>
      <xdr:row>6</xdr:row>
      <xdr:rowOff>127000</xdr:rowOff>
    </xdr:from>
    <xdr:to>
      <xdr:col>11</xdr:col>
      <xdr:colOff>139700</xdr:colOff>
      <xdr:row>6</xdr:row>
      <xdr:rowOff>165100</xdr:rowOff>
    </xdr:to>
    <xdr:sp macro="" textlink="">
      <xdr:nvSpPr>
        <xdr:cNvPr id="8036" name="Dot50085"/>
        <xdr:cNvSpPr/>
      </xdr:nvSpPr>
      <xdr:spPr>
        <a:xfrm>
          <a:off x="6540500" y="1270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101600</xdr:colOff>
      <xdr:row>7</xdr:row>
      <xdr:rowOff>63500</xdr:rowOff>
    </xdr:from>
    <xdr:to>
      <xdr:col>11</xdr:col>
      <xdr:colOff>139700</xdr:colOff>
      <xdr:row>7</xdr:row>
      <xdr:rowOff>101600</xdr:rowOff>
    </xdr:to>
    <xdr:sp macro="" textlink="">
      <xdr:nvSpPr>
        <xdr:cNvPr id="8037" name="Dot50095"/>
        <xdr:cNvSpPr/>
      </xdr:nvSpPr>
      <xdr:spPr>
        <a:xfrm>
          <a:off x="6540500" y="139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101600</xdr:colOff>
      <xdr:row>8</xdr:row>
      <xdr:rowOff>0</xdr:rowOff>
    </xdr:from>
    <xdr:to>
      <xdr:col>11</xdr:col>
      <xdr:colOff>139700</xdr:colOff>
      <xdr:row>8</xdr:row>
      <xdr:rowOff>38100</xdr:rowOff>
    </xdr:to>
    <xdr:sp macro="" textlink="">
      <xdr:nvSpPr>
        <xdr:cNvPr id="8038" name="Dot500105"/>
        <xdr:cNvSpPr/>
      </xdr:nvSpPr>
      <xdr:spPr>
        <a:xfrm>
          <a:off x="6540500" y="1524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101600</xdr:colOff>
      <xdr:row>17</xdr:row>
      <xdr:rowOff>152400</xdr:rowOff>
    </xdr:from>
    <xdr:to>
      <xdr:col>11</xdr:col>
      <xdr:colOff>139700</xdr:colOff>
      <xdr:row>18</xdr:row>
      <xdr:rowOff>0</xdr:rowOff>
    </xdr:to>
    <xdr:sp macro="" textlink="">
      <xdr:nvSpPr>
        <xdr:cNvPr id="8039" name="Dot500255"/>
        <xdr:cNvSpPr/>
      </xdr:nvSpPr>
      <xdr:spPr>
        <a:xfrm>
          <a:off x="6540500" y="342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101600</xdr:colOff>
      <xdr:row>18</xdr:row>
      <xdr:rowOff>88900</xdr:rowOff>
    </xdr:from>
    <xdr:to>
      <xdr:col>11</xdr:col>
      <xdr:colOff>139700</xdr:colOff>
      <xdr:row>18</xdr:row>
      <xdr:rowOff>127000</xdr:rowOff>
    </xdr:to>
    <xdr:sp macro="" textlink="">
      <xdr:nvSpPr>
        <xdr:cNvPr id="8040" name="Dot500265"/>
        <xdr:cNvSpPr/>
      </xdr:nvSpPr>
      <xdr:spPr>
        <a:xfrm>
          <a:off x="6540500" y="355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101600</xdr:colOff>
      <xdr:row>19</xdr:row>
      <xdr:rowOff>25400</xdr:rowOff>
    </xdr:from>
    <xdr:to>
      <xdr:col>11</xdr:col>
      <xdr:colOff>203200</xdr:colOff>
      <xdr:row>19</xdr:row>
      <xdr:rowOff>127000</xdr:rowOff>
    </xdr:to>
    <xdr:sp macro="" textlink="">
      <xdr:nvSpPr>
        <xdr:cNvPr id="8041" name="Dot500275"/>
        <xdr:cNvSpPr/>
      </xdr:nvSpPr>
      <xdr:spPr>
        <a:xfrm>
          <a:off x="6540500" y="3683000"/>
          <a:ext cx="101600" cy="1016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101600</xdr:colOff>
      <xdr:row>19</xdr:row>
      <xdr:rowOff>152400</xdr:rowOff>
    </xdr:from>
    <xdr:to>
      <xdr:col>11</xdr:col>
      <xdr:colOff>139700</xdr:colOff>
      <xdr:row>20</xdr:row>
      <xdr:rowOff>0</xdr:rowOff>
    </xdr:to>
    <xdr:sp macro="" textlink="">
      <xdr:nvSpPr>
        <xdr:cNvPr id="8042" name="Dot500285"/>
        <xdr:cNvSpPr/>
      </xdr:nvSpPr>
      <xdr:spPr>
        <a:xfrm>
          <a:off x="6540500" y="3810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101600</xdr:colOff>
      <xdr:row>20</xdr:row>
      <xdr:rowOff>88900</xdr:rowOff>
    </xdr:from>
    <xdr:to>
      <xdr:col>11</xdr:col>
      <xdr:colOff>139700</xdr:colOff>
      <xdr:row>20</xdr:row>
      <xdr:rowOff>127000</xdr:rowOff>
    </xdr:to>
    <xdr:sp macro="" textlink="">
      <xdr:nvSpPr>
        <xdr:cNvPr id="8043" name="Dot500295"/>
        <xdr:cNvSpPr/>
      </xdr:nvSpPr>
      <xdr:spPr>
        <a:xfrm>
          <a:off x="6540500" y="3937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101600</xdr:colOff>
      <xdr:row>23</xdr:row>
      <xdr:rowOff>25400</xdr:rowOff>
    </xdr:from>
    <xdr:to>
      <xdr:col>11</xdr:col>
      <xdr:colOff>139700</xdr:colOff>
      <xdr:row>23</xdr:row>
      <xdr:rowOff>63500</xdr:rowOff>
    </xdr:to>
    <xdr:sp macro="" textlink="">
      <xdr:nvSpPr>
        <xdr:cNvPr id="8044" name="Dot500335"/>
        <xdr:cNvSpPr/>
      </xdr:nvSpPr>
      <xdr:spPr>
        <a:xfrm>
          <a:off x="6540500" y="4445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101600</xdr:colOff>
      <xdr:row>23</xdr:row>
      <xdr:rowOff>152400</xdr:rowOff>
    </xdr:from>
    <xdr:to>
      <xdr:col>11</xdr:col>
      <xdr:colOff>139700</xdr:colOff>
      <xdr:row>24</xdr:row>
      <xdr:rowOff>0</xdr:rowOff>
    </xdr:to>
    <xdr:sp macro="" textlink="">
      <xdr:nvSpPr>
        <xdr:cNvPr id="8045" name="Dot500345"/>
        <xdr:cNvSpPr/>
      </xdr:nvSpPr>
      <xdr:spPr>
        <a:xfrm>
          <a:off x="6540500" y="4572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101600</xdr:colOff>
      <xdr:row>24</xdr:row>
      <xdr:rowOff>88900</xdr:rowOff>
    </xdr:from>
    <xdr:to>
      <xdr:col>11</xdr:col>
      <xdr:colOff>139700</xdr:colOff>
      <xdr:row>24</xdr:row>
      <xdr:rowOff>127000</xdr:rowOff>
    </xdr:to>
    <xdr:sp macro="" textlink="">
      <xdr:nvSpPr>
        <xdr:cNvPr id="8046" name="Dot500355"/>
        <xdr:cNvSpPr/>
      </xdr:nvSpPr>
      <xdr:spPr>
        <a:xfrm>
          <a:off x="6540500" y="4699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101600</xdr:colOff>
      <xdr:row>25</xdr:row>
      <xdr:rowOff>25400</xdr:rowOff>
    </xdr:from>
    <xdr:to>
      <xdr:col>11</xdr:col>
      <xdr:colOff>139700</xdr:colOff>
      <xdr:row>25</xdr:row>
      <xdr:rowOff>63500</xdr:rowOff>
    </xdr:to>
    <xdr:sp macro="" textlink="">
      <xdr:nvSpPr>
        <xdr:cNvPr id="8047" name="Dot500365"/>
        <xdr:cNvSpPr/>
      </xdr:nvSpPr>
      <xdr:spPr>
        <a:xfrm>
          <a:off x="6540500" y="4826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101600</xdr:colOff>
      <xdr:row>25</xdr:row>
      <xdr:rowOff>152400</xdr:rowOff>
    </xdr:from>
    <xdr:to>
      <xdr:col>11</xdr:col>
      <xdr:colOff>139700</xdr:colOff>
      <xdr:row>26</xdr:row>
      <xdr:rowOff>0</xdr:rowOff>
    </xdr:to>
    <xdr:sp macro="" textlink="">
      <xdr:nvSpPr>
        <xdr:cNvPr id="8048" name="Dot500375"/>
        <xdr:cNvSpPr/>
      </xdr:nvSpPr>
      <xdr:spPr>
        <a:xfrm>
          <a:off x="6540500" y="4953000"/>
          <a:ext cx="38100" cy="3810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</xdr:colOff>
      <xdr:row>12</xdr:row>
      <xdr:rowOff>34925</xdr:rowOff>
    </xdr:from>
    <xdr:to>
      <xdr:col>6</xdr:col>
      <xdr:colOff>292100</xdr:colOff>
      <xdr:row>13</xdr:row>
      <xdr:rowOff>88900</xdr:rowOff>
    </xdr:to>
    <xdr:grpSp>
      <xdr:nvGrpSpPr>
        <xdr:cNvPr id="5985" name="GhBR" hidden="1"/>
        <xdr:cNvGrpSpPr/>
      </xdr:nvGrpSpPr>
      <xdr:grpSpPr>
        <a:xfrm>
          <a:off x="3445933" y="2352675"/>
          <a:ext cx="254000" cy="255058"/>
          <a:chOff x="11984566" y="1464734"/>
          <a:chExt cx="1524000" cy="1846048"/>
        </a:xfrm>
      </xdr:grpSpPr>
      <xdr:sp macro="" textlink="">
        <xdr:nvSpPr>
          <xdr:cNvPr id="5980" name="Freeform 5979" hidden="1"/>
          <xdr:cNvSpPr/>
        </xdr:nvSpPr>
        <xdr:spPr>
          <a:xfrm>
            <a:off x="11984566" y="1464734"/>
            <a:ext cx="1524000" cy="1846048"/>
          </a:xfrm>
          <a:custGeom>
            <a:avLst/>
            <a:gdLst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42334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1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272814 h 1352314"/>
              <a:gd name="connsiteX1" fmla="*/ 1524000 w 1524000"/>
              <a:gd name="connsiteY1" fmla="*/ 272814 h 1352314"/>
              <a:gd name="connsiteX2" fmla="*/ 1524000 w 1524000"/>
              <a:gd name="connsiteY2" fmla="*/ 1341731 h 1352314"/>
              <a:gd name="connsiteX3" fmla="*/ 1 w 1524000"/>
              <a:gd name="connsiteY3" fmla="*/ 1352314 h 1352314"/>
              <a:gd name="connsiteX4" fmla="*/ 0 w 1524000"/>
              <a:gd name="connsiteY4" fmla="*/ 272814 h 1352314"/>
              <a:gd name="connsiteX0" fmla="*/ 0 w 1524000"/>
              <a:gd name="connsiteY0" fmla="*/ 440754 h 1520254"/>
              <a:gd name="connsiteX1" fmla="*/ 1524000 w 1524000"/>
              <a:gd name="connsiteY1" fmla="*/ 440754 h 1520254"/>
              <a:gd name="connsiteX2" fmla="*/ 1524000 w 1524000"/>
              <a:gd name="connsiteY2" fmla="*/ 1509671 h 1520254"/>
              <a:gd name="connsiteX3" fmla="*/ 1 w 1524000"/>
              <a:gd name="connsiteY3" fmla="*/ 1520254 h 1520254"/>
              <a:gd name="connsiteX4" fmla="*/ 0 w 1524000"/>
              <a:gd name="connsiteY4" fmla="*/ 440754 h 1520254"/>
              <a:gd name="connsiteX0" fmla="*/ 0 w 1524000"/>
              <a:gd name="connsiteY0" fmla="*/ 444818 h 1524318"/>
              <a:gd name="connsiteX1" fmla="*/ 1524000 w 1524000"/>
              <a:gd name="connsiteY1" fmla="*/ 444818 h 1524318"/>
              <a:gd name="connsiteX2" fmla="*/ 1524000 w 1524000"/>
              <a:gd name="connsiteY2" fmla="*/ 1513735 h 1524318"/>
              <a:gd name="connsiteX3" fmla="*/ 1 w 1524000"/>
              <a:gd name="connsiteY3" fmla="*/ 1524318 h 1524318"/>
              <a:gd name="connsiteX4" fmla="*/ 0 w 1524000"/>
              <a:gd name="connsiteY4" fmla="*/ 444818 h 1524318"/>
              <a:gd name="connsiteX0" fmla="*/ 0 w 1524000"/>
              <a:gd name="connsiteY0" fmla="*/ 670105 h 1749605"/>
              <a:gd name="connsiteX1" fmla="*/ 1524000 w 1524000"/>
              <a:gd name="connsiteY1" fmla="*/ 670105 h 1749605"/>
              <a:gd name="connsiteX2" fmla="*/ 1524000 w 1524000"/>
              <a:gd name="connsiteY2" fmla="*/ 1739022 h 1749605"/>
              <a:gd name="connsiteX3" fmla="*/ 1 w 1524000"/>
              <a:gd name="connsiteY3" fmla="*/ 1749605 h 1749605"/>
              <a:gd name="connsiteX4" fmla="*/ 0 w 1524000"/>
              <a:gd name="connsiteY4" fmla="*/ 670105 h 1749605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1 w 1524000"/>
              <a:gd name="connsiteY3" fmla="*/ 1909769 h 1909769"/>
              <a:gd name="connsiteX4" fmla="*/ 0 w 1524000"/>
              <a:gd name="connsiteY4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33917 w 1524000"/>
              <a:gd name="connsiteY3" fmla="*/ 1899187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02167 w 1524000"/>
              <a:gd name="connsiteY3" fmla="*/ 1285354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65297"/>
              <a:gd name="connsiteX1" fmla="*/ 1524000 w 1524000"/>
              <a:gd name="connsiteY1" fmla="*/ 830269 h 1965297"/>
              <a:gd name="connsiteX2" fmla="*/ 1524000 w 1524000"/>
              <a:gd name="connsiteY2" fmla="*/ 1899186 h 1965297"/>
              <a:gd name="connsiteX3" fmla="*/ 582084 w 1524000"/>
              <a:gd name="connsiteY3" fmla="*/ 1930937 h 1965297"/>
              <a:gd name="connsiteX4" fmla="*/ 402167 w 1524000"/>
              <a:gd name="connsiteY4" fmla="*/ 1285354 h 1965297"/>
              <a:gd name="connsiteX5" fmla="*/ 1 w 1524000"/>
              <a:gd name="connsiteY5" fmla="*/ 1909769 h 1965297"/>
              <a:gd name="connsiteX6" fmla="*/ 0 w 1524000"/>
              <a:gd name="connsiteY6" fmla="*/ 830269 h 1965297"/>
              <a:gd name="connsiteX0" fmla="*/ 0 w 1524000"/>
              <a:gd name="connsiteY0" fmla="*/ 830269 h 1944723"/>
              <a:gd name="connsiteX1" fmla="*/ 1524000 w 1524000"/>
              <a:gd name="connsiteY1" fmla="*/ 830269 h 1944723"/>
              <a:gd name="connsiteX2" fmla="*/ 1524000 w 1524000"/>
              <a:gd name="connsiteY2" fmla="*/ 1899186 h 1944723"/>
              <a:gd name="connsiteX3" fmla="*/ 1047750 w 1524000"/>
              <a:gd name="connsiteY3" fmla="*/ 1475854 h 1944723"/>
              <a:gd name="connsiteX4" fmla="*/ 582084 w 1524000"/>
              <a:gd name="connsiteY4" fmla="*/ 1930937 h 1944723"/>
              <a:gd name="connsiteX5" fmla="*/ 402167 w 1524000"/>
              <a:gd name="connsiteY5" fmla="*/ 1285354 h 1944723"/>
              <a:gd name="connsiteX6" fmla="*/ 1 w 1524000"/>
              <a:gd name="connsiteY6" fmla="*/ 1909769 h 1944723"/>
              <a:gd name="connsiteX7" fmla="*/ 0 w 1524000"/>
              <a:gd name="connsiteY7" fmla="*/ 830269 h 1944723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402167 w 1524000"/>
              <a:gd name="connsiteY5" fmla="*/ 1285354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12008"/>
              <a:gd name="connsiteX1" fmla="*/ 1524000 w 1524000"/>
              <a:gd name="connsiteY1" fmla="*/ 830269 h 2012008"/>
              <a:gd name="connsiteX2" fmla="*/ 1524000 w 1524000"/>
              <a:gd name="connsiteY2" fmla="*/ 1899186 h 2012008"/>
              <a:gd name="connsiteX3" fmla="*/ 1047750 w 1524000"/>
              <a:gd name="connsiteY3" fmla="*/ 1475854 h 2012008"/>
              <a:gd name="connsiteX4" fmla="*/ 709084 w 1524000"/>
              <a:gd name="connsiteY4" fmla="*/ 1983854 h 2012008"/>
              <a:gd name="connsiteX5" fmla="*/ 359833 w 1524000"/>
              <a:gd name="connsiteY5" fmla="*/ 1465271 h 2012008"/>
              <a:gd name="connsiteX6" fmla="*/ 1 w 1524000"/>
              <a:gd name="connsiteY6" fmla="*/ 1909769 h 2012008"/>
              <a:gd name="connsiteX7" fmla="*/ 0 w 1524000"/>
              <a:gd name="connsiteY7" fmla="*/ 830269 h 2012008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08176"/>
              <a:gd name="connsiteX1" fmla="*/ 1524000 w 1524000"/>
              <a:gd name="connsiteY1" fmla="*/ 830269 h 2008176"/>
              <a:gd name="connsiteX2" fmla="*/ 1524000 w 1524000"/>
              <a:gd name="connsiteY2" fmla="*/ 1899186 h 2008176"/>
              <a:gd name="connsiteX3" fmla="*/ 1047750 w 1524000"/>
              <a:gd name="connsiteY3" fmla="*/ 1475854 h 2008176"/>
              <a:gd name="connsiteX4" fmla="*/ 709084 w 1524000"/>
              <a:gd name="connsiteY4" fmla="*/ 1983854 h 2008176"/>
              <a:gd name="connsiteX5" fmla="*/ 359833 w 1524000"/>
              <a:gd name="connsiteY5" fmla="*/ 1465271 h 2008176"/>
              <a:gd name="connsiteX6" fmla="*/ 1 w 1524000"/>
              <a:gd name="connsiteY6" fmla="*/ 1909769 h 2008176"/>
              <a:gd name="connsiteX7" fmla="*/ 0 w 1524000"/>
              <a:gd name="connsiteY7" fmla="*/ 830269 h 2008176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79500 w 1524000"/>
              <a:gd name="connsiteY3" fmla="*/ 167693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90083 w 1524000"/>
              <a:gd name="connsiteY3" fmla="*/ 170868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524000" h="2051901">
                <a:moveTo>
                  <a:pt x="0" y="830269"/>
                </a:moveTo>
                <a:cubicBezTo>
                  <a:pt x="0" y="-344482"/>
                  <a:pt x="1524000" y="-206897"/>
                  <a:pt x="1524000" y="830269"/>
                </a:cubicBezTo>
                <a:lnTo>
                  <a:pt x="1524000" y="1899186"/>
                </a:lnTo>
                <a:cubicBezTo>
                  <a:pt x="1307042" y="2260783"/>
                  <a:pt x="1213555" y="1691048"/>
                  <a:pt x="1090083" y="1708687"/>
                </a:cubicBezTo>
                <a:cubicBezTo>
                  <a:pt x="966611" y="1726326"/>
                  <a:pt x="894292" y="2003257"/>
                  <a:pt x="783167" y="2005021"/>
                </a:cubicBezTo>
                <a:cubicBezTo>
                  <a:pt x="672042" y="2006785"/>
                  <a:pt x="553861" y="1735146"/>
                  <a:pt x="423333" y="1719271"/>
                </a:cubicBezTo>
                <a:cubicBezTo>
                  <a:pt x="292805" y="1703396"/>
                  <a:pt x="345723" y="2322520"/>
                  <a:pt x="1" y="1909769"/>
                </a:cubicBezTo>
                <a:cubicBezTo>
                  <a:pt x="1" y="1549936"/>
                  <a:pt x="0" y="1190102"/>
                  <a:pt x="0" y="830269"/>
                </a:cubicBezTo>
                <a:close/>
              </a:path>
            </a:pathLst>
          </a:cu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81" name="Oval 5980" hidden="1"/>
          <xdr:cNvSpPr/>
        </xdr:nvSpPr>
        <xdr:spPr>
          <a:xfrm>
            <a:off x="12365567" y="1877483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82" name="Oval 5981" hidden="1"/>
          <xdr:cNvSpPr/>
        </xdr:nvSpPr>
        <xdr:spPr>
          <a:xfrm>
            <a:off x="12926483" y="1856318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83" name="Oval 5982" hidden="1"/>
          <xdr:cNvSpPr/>
        </xdr:nvSpPr>
        <xdr:spPr>
          <a:xfrm>
            <a:off x="12608983" y="2015066"/>
            <a:ext cx="243417" cy="296333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84" name="Oval 5983" hidden="1"/>
          <xdr:cNvSpPr/>
        </xdr:nvSpPr>
        <xdr:spPr>
          <a:xfrm>
            <a:off x="13180483" y="1993901"/>
            <a:ext cx="243417" cy="296333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6</xdr:col>
      <xdr:colOff>38100</xdr:colOff>
      <xdr:row>12</xdr:row>
      <xdr:rowOff>34925</xdr:rowOff>
    </xdr:from>
    <xdr:to>
      <xdr:col>6</xdr:col>
      <xdr:colOff>292100</xdr:colOff>
      <xdr:row>13</xdr:row>
      <xdr:rowOff>88900</xdr:rowOff>
    </xdr:to>
    <xdr:grpSp>
      <xdr:nvGrpSpPr>
        <xdr:cNvPr id="6005" name="GhBU" hidden="1"/>
        <xdr:cNvGrpSpPr/>
      </xdr:nvGrpSpPr>
      <xdr:grpSpPr>
        <a:xfrm>
          <a:off x="3445933" y="2352675"/>
          <a:ext cx="254000" cy="255058"/>
          <a:chOff x="10318749" y="1449917"/>
          <a:chExt cx="1524000" cy="1846048"/>
        </a:xfrm>
      </xdr:grpSpPr>
      <xdr:sp macro="" textlink="">
        <xdr:nvSpPr>
          <xdr:cNvPr id="6006" name="Freeform 6005" hidden="1"/>
          <xdr:cNvSpPr/>
        </xdr:nvSpPr>
        <xdr:spPr>
          <a:xfrm>
            <a:off x="10318749" y="1449917"/>
            <a:ext cx="1524000" cy="1846048"/>
          </a:xfrm>
          <a:custGeom>
            <a:avLst/>
            <a:gdLst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42334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1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272814 h 1352314"/>
              <a:gd name="connsiteX1" fmla="*/ 1524000 w 1524000"/>
              <a:gd name="connsiteY1" fmla="*/ 272814 h 1352314"/>
              <a:gd name="connsiteX2" fmla="*/ 1524000 w 1524000"/>
              <a:gd name="connsiteY2" fmla="*/ 1341731 h 1352314"/>
              <a:gd name="connsiteX3" fmla="*/ 1 w 1524000"/>
              <a:gd name="connsiteY3" fmla="*/ 1352314 h 1352314"/>
              <a:gd name="connsiteX4" fmla="*/ 0 w 1524000"/>
              <a:gd name="connsiteY4" fmla="*/ 272814 h 1352314"/>
              <a:gd name="connsiteX0" fmla="*/ 0 w 1524000"/>
              <a:gd name="connsiteY0" fmla="*/ 440754 h 1520254"/>
              <a:gd name="connsiteX1" fmla="*/ 1524000 w 1524000"/>
              <a:gd name="connsiteY1" fmla="*/ 440754 h 1520254"/>
              <a:gd name="connsiteX2" fmla="*/ 1524000 w 1524000"/>
              <a:gd name="connsiteY2" fmla="*/ 1509671 h 1520254"/>
              <a:gd name="connsiteX3" fmla="*/ 1 w 1524000"/>
              <a:gd name="connsiteY3" fmla="*/ 1520254 h 1520254"/>
              <a:gd name="connsiteX4" fmla="*/ 0 w 1524000"/>
              <a:gd name="connsiteY4" fmla="*/ 440754 h 1520254"/>
              <a:gd name="connsiteX0" fmla="*/ 0 w 1524000"/>
              <a:gd name="connsiteY0" fmla="*/ 444818 h 1524318"/>
              <a:gd name="connsiteX1" fmla="*/ 1524000 w 1524000"/>
              <a:gd name="connsiteY1" fmla="*/ 444818 h 1524318"/>
              <a:gd name="connsiteX2" fmla="*/ 1524000 w 1524000"/>
              <a:gd name="connsiteY2" fmla="*/ 1513735 h 1524318"/>
              <a:gd name="connsiteX3" fmla="*/ 1 w 1524000"/>
              <a:gd name="connsiteY3" fmla="*/ 1524318 h 1524318"/>
              <a:gd name="connsiteX4" fmla="*/ 0 w 1524000"/>
              <a:gd name="connsiteY4" fmla="*/ 444818 h 1524318"/>
              <a:gd name="connsiteX0" fmla="*/ 0 w 1524000"/>
              <a:gd name="connsiteY0" fmla="*/ 670105 h 1749605"/>
              <a:gd name="connsiteX1" fmla="*/ 1524000 w 1524000"/>
              <a:gd name="connsiteY1" fmla="*/ 670105 h 1749605"/>
              <a:gd name="connsiteX2" fmla="*/ 1524000 w 1524000"/>
              <a:gd name="connsiteY2" fmla="*/ 1739022 h 1749605"/>
              <a:gd name="connsiteX3" fmla="*/ 1 w 1524000"/>
              <a:gd name="connsiteY3" fmla="*/ 1749605 h 1749605"/>
              <a:gd name="connsiteX4" fmla="*/ 0 w 1524000"/>
              <a:gd name="connsiteY4" fmla="*/ 670105 h 1749605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1 w 1524000"/>
              <a:gd name="connsiteY3" fmla="*/ 1909769 h 1909769"/>
              <a:gd name="connsiteX4" fmla="*/ 0 w 1524000"/>
              <a:gd name="connsiteY4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33917 w 1524000"/>
              <a:gd name="connsiteY3" fmla="*/ 1899187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02167 w 1524000"/>
              <a:gd name="connsiteY3" fmla="*/ 1285354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65297"/>
              <a:gd name="connsiteX1" fmla="*/ 1524000 w 1524000"/>
              <a:gd name="connsiteY1" fmla="*/ 830269 h 1965297"/>
              <a:gd name="connsiteX2" fmla="*/ 1524000 w 1524000"/>
              <a:gd name="connsiteY2" fmla="*/ 1899186 h 1965297"/>
              <a:gd name="connsiteX3" fmla="*/ 582084 w 1524000"/>
              <a:gd name="connsiteY3" fmla="*/ 1930937 h 1965297"/>
              <a:gd name="connsiteX4" fmla="*/ 402167 w 1524000"/>
              <a:gd name="connsiteY4" fmla="*/ 1285354 h 1965297"/>
              <a:gd name="connsiteX5" fmla="*/ 1 w 1524000"/>
              <a:gd name="connsiteY5" fmla="*/ 1909769 h 1965297"/>
              <a:gd name="connsiteX6" fmla="*/ 0 w 1524000"/>
              <a:gd name="connsiteY6" fmla="*/ 830269 h 1965297"/>
              <a:gd name="connsiteX0" fmla="*/ 0 w 1524000"/>
              <a:gd name="connsiteY0" fmla="*/ 830269 h 1944723"/>
              <a:gd name="connsiteX1" fmla="*/ 1524000 w 1524000"/>
              <a:gd name="connsiteY1" fmla="*/ 830269 h 1944723"/>
              <a:gd name="connsiteX2" fmla="*/ 1524000 w 1524000"/>
              <a:gd name="connsiteY2" fmla="*/ 1899186 h 1944723"/>
              <a:gd name="connsiteX3" fmla="*/ 1047750 w 1524000"/>
              <a:gd name="connsiteY3" fmla="*/ 1475854 h 1944723"/>
              <a:gd name="connsiteX4" fmla="*/ 582084 w 1524000"/>
              <a:gd name="connsiteY4" fmla="*/ 1930937 h 1944723"/>
              <a:gd name="connsiteX5" fmla="*/ 402167 w 1524000"/>
              <a:gd name="connsiteY5" fmla="*/ 1285354 h 1944723"/>
              <a:gd name="connsiteX6" fmla="*/ 1 w 1524000"/>
              <a:gd name="connsiteY6" fmla="*/ 1909769 h 1944723"/>
              <a:gd name="connsiteX7" fmla="*/ 0 w 1524000"/>
              <a:gd name="connsiteY7" fmla="*/ 830269 h 1944723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402167 w 1524000"/>
              <a:gd name="connsiteY5" fmla="*/ 1285354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12008"/>
              <a:gd name="connsiteX1" fmla="*/ 1524000 w 1524000"/>
              <a:gd name="connsiteY1" fmla="*/ 830269 h 2012008"/>
              <a:gd name="connsiteX2" fmla="*/ 1524000 w 1524000"/>
              <a:gd name="connsiteY2" fmla="*/ 1899186 h 2012008"/>
              <a:gd name="connsiteX3" fmla="*/ 1047750 w 1524000"/>
              <a:gd name="connsiteY3" fmla="*/ 1475854 h 2012008"/>
              <a:gd name="connsiteX4" fmla="*/ 709084 w 1524000"/>
              <a:gd name="connsiteY4" fmla="*/ 1983854 h 2012008"/>
              <a:gd name="connsiteX5" fmla="*/ 359833 w 1524000"/>
              <a:gd name="connsiteY5" fmla="*/ 1465271 h 2012008"/>
              <a:gd name="connsiteX6" fmla="*/ 1 w 1524000"/>
              <a:gd name="connsiteY6" fmla="*/ 1909769 h 2012008"/>
              <a:gd name="connsiteX7" fmla="*/ 0 w 1524000"/>
              <a:gd name="connsiteY7" fmla="*/ 830269 h 2012008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08176"/>
              <a:gd name="connsiteX1" fmla="*/ 1524000 w 1524000"/>
              <a:gd name="connsiteY1" fmla="*/ 830269 h 2008176"/>
              <a:gd name="connsiteX2" fmla="*/ 1524000 w 1524000"/>
              <a:gd name="connsiteY2" fmla="*/ 1899186 h 2008176"/>
              <a:gd name="connsiteX3" fmla="*/ 1047750 w 1524000"/>
              <a:gd name="connsiteY3" fmla="*/ 1475854 h 2008176"/>
              <a:gd name="connsiteX4" fmla="*/ 709084 w 1524000"/>
              <a:gd name="connsiteY4" fmla="*/ 1983854 h 2008176"/>
              <a:gd name="connsiteX5" fmla="*/ 359833 w 1524000"/>
              <a:gd name="connsiteY5" fmla="*/ 1465271 h 2008176"/>
              <a:gd name="connsiteX6" fmla="*/ 1 w 1524000"/>
              <a:gd name="connsiteY6" fmla="*/ 1909769 h 2008176"/>
              <a:gd name="connsiteX7" fmla="*/ 0 w 1524000"/>
              <a:gd name="connsiteY7" fmla="*/ 830269 h 2008176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79500 w 1524000"/>
              <a:gd name="connsiteY3" fmla="*/ 167693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90083 w 1524000"/>
              <a:gd name="connsiteY3" fmla="*/ 170868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524000" h="2051901">
                <a:moveTo>
                  <a:pt x="0" y="830269"/>
                </a:moveTo>
                <a:cubicBezTo>
                  <a:pt x="0" y="-344482"/>
                  <a:pt x="1524000" y="-206897"/>
                  <a:pt x="1524000" y="830269"/>
                </a:cubicBezTo>
                <a:lnTo>
                  <a:pt x="1524000" y="1899186"/>
                </a:lnTo>
                <a:cubicBezTo>
                  <a:pt x="1307042" y="2260783"/>
                  <a:pt x="1213555" y="1691048"/>
                  <a:pt x="1090083" y="1708687"/>
                </a:cubicBezTo>
                <a:cubicBezTo>
                  <a:pt x="966611" y="1726326"/>
                  <a:pt x="894292" y="2003257"/>
                  <a:pt x="783167" y="2005021"/>
                </a:cubicBezTo>
                <a:cubicBezTo>
                  <a:pt x="672042" y="2006785"/>
                  <a:pt x="553861" y="1735146"/>
                  <a:pt x="423333" y="1719271"/>
                </a:cubicBezTo>
                <a:cubicBezTo>
                  <a:pt x="292805" y="1703396"/>
                  <a:pt x="345723" y="2322520"/>
                  <a:pt x="1" y="1909769"/>
                </a:cubicBezTo>
                <a:cubicBezTo>
                  <a:pt x="1" y="1549936"/>
                  <a:pt x="0" y="1190102"/>
                  <a:pt x="0" y="830269"/>
                </a:cubicBezTo>
                <a:close/>
              </a:path>
            </a:pathLst>
          </a:cu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07" name="Oval 6006" hidden="1"/>
          <xdr:cNvSpPr/>
        </xdr:nvSpPr>
        <xdr:spPr>
          <a:xfrm>
            <a:off x="10424584" y="1841500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08" name="Oval 6007" hidden="1"/>
          <xdr:cNvSpPr/>
        </xdr:nvSpPr>
        <xdr:spPr>
          <a:xfrm>
            <a:off x="11133667" y="1841501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09" name="Oval 6008" hidden="1"/>
          <xdr:cNvSpPr/>
        </xdr:nvSpPr>
        <xdr:spPr>
          <a:xfrm>
            <a:off x="10551583" y="1830916"/>
            <a:ext cx="243417" cy="296333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10" name="Oval 6009" hidden="1"/>
          <xdr:cNvSpPr/>
        </xdr:nvSpPr>
        <xdr:spPr>
          <a:xfrm>
            <a:off x="11250084" y="1841500"/>
            <a:ext cx="243417" cy="296333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6</xdr:col>
      <xdr:colOff>38100</xdr:colOff>
      <xdr:row>12</xdr:row>
      <xdr:rowOff>34925</xdr:rowOff>
    </xdr:from>
    <xdr:to>
      <xdr:col>6</xdr:col>
      <xdr:colOff>292100</xdr:colOff>
      <xdr:row>13</xdr:row>
      <xdr:rowOff>88900</xdr:rowOff>
    </xdr:to>
    <xdr:grpSp>
      <xdr:nvGrpSpPr>
        <xdr:cNvPr id="6011" name="GhBD" hidden="1"/>
        <xdr:cNvGrpSpPr/>
      </xdr:nvGrpSpPr>
      <xdr:grpSpPr>
        <a:xfrm>
          <a:off x="3445933" y="2352675"/>
          <a:ext cx="254000" cy="255058"/>
          <a:chOff x="10255249" y="1492250"/>
          <a:chExt cx="1524000" cy="1846048"/>
        </a:xfrm>
      </xdr:grpSpPr>
      <xdr:sp macro="" textlink="">
        <xdr:nvSpPr>
          <xdr:cNvPr id="6012" name="Freeform 6011" hidden="1"/>
          <xdr:cNvSpPr/>
        </xdr:nvSpPr>
        <xdr:spPr>
          <a:xfrm>
            <a:off x="10255249" y="1492250"/>
            <a:ext cx="1524000" cy="1846048"/>
          </a:xfrm>
          <a:custGeom>
            <a:avLst/>
            <a:gdLst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42334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1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272814 h 1352314"/>
              <a:gd name="connsiteX1" fmla="*/ 1524000 w 1524000"/>
              <a:gd name="connsiteY1" fmla="*/ 272814 h 1352314"/>
              <a:gd name="connsiteX2" fmla="*/ 1524000 w 1524000"/>
              <a:gd name="connsiteY2" fmla="*/ 1341731 h 1352314"/>
              <a:gd name="connsiteX3" fmla="*/ 1 w 1524000"/>
              <a:gd name="connsiteY3" fmla="*/ 1352314 h 1352314"/>
              <a:gd name="connsiteX4" fmla="*/ 0 w 1524000"/>
              <a:gd name="connsiteY4" fmla="*/ 272814 h 1352314"/>
              <a:gd name="connsiteX0" fmla="*/ 0 w 1524000"/>
              <a:gd name="connsiteY0" fmla="*/ 440754 h 1520254"/>
              <a:gd name="connsiteX1" fmla="*/ 1524000 w 1524000"/>
              <a:gd name="connsiteY1" fmla="*/ 440754 h 1520254"/>
              <a:gd name="connsiteX2" fmla="*/ 1524000 w 1524000"/>
              <a:gd name="connsiteY2" fmla="*/ 1509671 h 1520254"/>
              <a:gd name="connsiteX3" fmla="*/ 1 w 1524000"/>
              <a:gd name="connsiteY3" fmla="*/ 1520254 h 1520254"/>
              <a:gd name="connsiteX4" fmla="*/ 0 w 1524000"/>
              <a:gd name="connsiteY4" fmla="*/ 440754 h 1520254"/>
              <a:gd name="connsiteX0" fmla="*/ 0 w 1524000"/>
              <a:gd name="connsiteY0" fmla="*/ 444818 h 1524318"/>
              <a:gd name="connsiteX1" fmla="*/ 1524000 w 1524000"/>
              <a:gd name="connsiteY1" fmla="*/ 444818 h 1524318"/>
              <a:gd name="connsiteX2" fmla="*/ 1524000 w 1524000"/>
              <a:gd name="connsiteY2" fmla="*/ 1513735 h 1524318"/>
              <a:gd name="connsiteX3" fmla="*/ 1 w 1524000"/>
              <a:gd name="connsiteY3" fmla="*/ 1524318 h 1524318"/>
              <a:gd name="connsiteX4" fmla="*/ 0 w 1524000"/>
              <a:gd name="connsiteY4" fmla="*/ 444818 h 1524318"/>
              <a:gd name="connsiteX0" fmla="*/ 0 w 1524000"/>
              <a:gd name="connsiteY0" fmla="*/ 670105 h 1749605"/>
              <a:gd name="connsiteX1" fmla="*/ 1524000 w 1524000"/>
              <a:gd name="connsiteY1" fmla="*/ 670105 h 1749605"/>
              <a:gd name="connsiteX2" fmla="*/ 1524000 w 1524000"/>
              <a:gd name="connsiteY2" fmla="*/ 1739022 h 1749605"/>
              <a:gd name="connsiteX3" fmla="*/ 1 w 1524000"/>
              <a:gd name="connsiteY3" fmla="*/ 1749605 h 1749605"/>
              <a:gd name="connsiteX4" fmla="*/ 0 w 1524000"/>
              <a:gd name="connsiteY4" fmla="*/ 670105 h 1749605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1 w 1524000"/>
              <a:gd name="connsiteY3" fmla="*/ 1909769 h 1909769"/>
              <a:gd name="connsiteX4" fmla="*/ 0 w 1524000"/>
              <a:gd name="connsiteY4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33917 w 1524000"/>
              <a:gd name="connsiteY3" fmla="*/ 1899187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02167 w 1524000"/>
              <a:gd name="connsiteY3" fmla="*/ 1285354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65297"/>
              <a:gd name="connsiteX1" fmla="*/ 1524000 w 1524000"/>
              <a:gd name="connsiteY1" fmla="*/ 830269 h 1965297"/>
              <a:gd name="connsiteX2" fmla="*/ 1524000 w 1524000"/>
              <a:gd name="connsiteY2" fmla="*/ 1899186 h 1965297"/>
              <a:gd name="connsiteX3" fmla="*/ 582084 w 1524000"/>
              <a:gd name="connsiteY3" fmla="*/ 1930937 h 1965297"/>
              <a:gd name="connsiteX4" fmla="*/ 402167 w 1524000"/>
              <a:gd name="connsiteY4" fmla="*/ 1285354 h 1965297"/>
              <a:gd name="connsiteX5" fmla="*/ 1 w 1524000"/>
              <a:gd name="connsiteY5" fmla="*/ 1909769 h 1965297"/>
              <a:gd name="connsiteX6" fmla="*/ 0 w 1524000"/>
              <a:gd name="connsiteY6" fmla="*/ 830269 h 1965297"/>
              <a:gd name="connsiteX0" fmla="*/ 0 w 1524000"/>
              <a:gd name="connsiteY0" fmla="*/ 830269 h 1944723"/>
              <a:gd name="connsiteX1" fmla="*/ 1524000 w 1524000"/>
              <a:gd name="connsiteY1" fmla="*/ 830269 h 1944723"/>
              <a:gd name="connsiteX2" fmla="*/ 1524000 w 1524000"/>
              <a:gd name="connsiteY2" fmla="*/ 1899186 h 1944723"/>
              <a:gd name="connsiteX3" fmla="*/ 1047750 w 1524000"/>
              <a:gd name="connsiteY3" fmla="*/ 1475854 h 1944723"/>
              <a:gd name="connsiteX4" fmla="*/ 582084 w 1524000"/>
              <a:gd name="connsiteY4" fmla="*/ 1930937 h 1944723"/>
              <a:gd name="connsiteX5" fmla="*/ 402167 w 1524000"/>
              <a:gd name="connsiteY5" fmla="*/ 1285354 h 1944723"/>
              <a:gd name="connsiteX6" fmla="*/ 1 w 1524000"/>
              <a:gd name="connsiteY6" fmla="*/ 1909769 h 1944723"/>
              <a:gd name="connsiteX7" fmla="*/ 0 w 1524000"/>
              <a:gd name="connsiteY7" fmla="*/ 830269 h 1944723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402167 w 1524000"/>
              <a:gd name="connsiteY5" fmla="*/ 1285354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12008"/>
              <a:gd name="connsiteX1" fmla="*/ 1524000 w 1524000"/>
              <a:gd name="connsiteY1" fmla="*/ 830269 h 2012008"/>
              <a:gd name="connsiteX2" fmla="*/ 1524000 w 1524000"/>
              <a:gd name="connsiteY2" fmla="*/ 1899186 h 2012008"/>
              <a:gd name="connsiteX3" fmla="*/ 1047750 w 1524000"/>
              <a:gd name="connsiteY3" fmla="*/ 1475854 h 2012008"/>
              <a:gd name="connsiteX4" fmla="*/ 709084 w 1524000"/>
              <a:gd name="connsiteY4" fmla="*/ 1983854 h 2012008"/>
              <a:gd name="connsiteX5" fmla="*/ 359833 w 1524000"/>
              <a:gd name="connsiteY5" fmla="*/ 1465271 h 2012008"/>
              <a:gd name="connsiteX6" fmla="*/ 1 w 1524000"/>
              <a:gd name="connsiteY6" fmla="*/ 1909769 h 2012008"/>
              <a:gd name="connsiteX7" fmla="*/ 0 w 1524000"/>
              <a:gd name="connsiteY7" fmla="*/ 830269 h 2012008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08176"/>
              <a:gd name="connsiteX1" fmla="*/ 1524000 w 1524000"/>
              <a:gd name="connsiteY1" fmla="*/ 830269 h 2008176"/>
              <a:gd name="connsiteX2" fmla="*/ 1524000 w 1524000"/>
              <a:gd name="connsiteY2" fmla="*/ 1899186 h 2008176"/>
              <a:gd name="connsiteX3" fmla="*/ 1047750 w 1524000"/>
              <a:gd name="connsiteY3" fmla="*/ 1475854 h 2008176"/>
              <a:gd name="connsiteX4" fmla="*/ 709084 w 1524000"/>
              <a:gd name="connsiteY4" fmla="*/ 1983854 h 2008176"/>
              <a:gd name="connsiteX5" fmla="*/ 359833 w 1524000"/>
              <a:gd name="connsiteY5" fmla="*/ 1465271 h 2008176"/>
              <a:gd name="connsiteX6" fmla="*/ 1 w 1524000"/>
              <a:gd name="connsiteY6" fmla="*/ 1909769 h 2008176"/>
              <a:gd name="connsiteX7" fmla="*/ 0 w 1524000"/>
              <a:gd name="connsiteY7" fmla="*/ 830269 h 2008176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79500 w 1524000"/>
              <a:gd name="connsiteY3" fmla="*/ 167693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90083 w 1524000"/>
              <a:gd name="connsiteY3" fmla="*/ 170868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524000" h="2051901">
                <a:moveTo>
                  <a:pt x="0" y="830269"/>
                </a:moveTo>
                <a:cubicBezTo>
                  <a:pt x="0" y="-344482"/>
                  <a:pt x="1524000" y="-206897"/>
                  <a:pt x="1524000" y="830269"/>
                </a:cubicBezTo>
                <a:lnTo>
                  <a:pt x="1524000" y="1899186"/>
                </a:lnTo>
                <a:cubicBezTo>
                  <a:pt x="1307042" y="2260783"/>
                  <a:pt x="1213555" y="1691048"/>
                  <a:pt x="1090083" y="1708687"/>
                </a:cubicBezTo>
                <a:cubicBezTo>
                  <a:pt x="966611" y="1726326"/>
                  <a:pt x="894292" y="2003257"/>
                  <a:pt x="783167" y="2005021"/>
                </a:cubicBezTo>
                <a:cubicBezTo>
                  <a:pt x="672042" y="2006785"/>
                  <a:pt x="553861" y="1735146"/>
                  <a:pt x="423333" y="1719271"/>
                </a:cubicBezTo>
                <a:cubicBezTo>
                  <a:pt x="292805" y="1703396"/>
                  <a:pt x="345723" y="2322520"/>
                  <a:pt x="1" y="1909769"/>
                </a:cubicBezTo>
                <a:cubicBezTo>
                  <a:pt x="1" y="1549936"/>
                  <a:pt x="0" y="1190102"/>
                  <a:pt x="0" y="830269"/>
                </a:cubicBezTo>
                <a:close/>
              </a:path>
            </a:pathLst>
          </a:cu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13" name="Oval 6012" hidden="1"/>
          <xdr:cNvSpPr/>
        </xdr:nvSpPr>
        <xdr:spPr>
          <a:xfrm>
            <a:off x="10424584" y="1841500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14" name="Oval 6013" hidden="1"/>
          <xdr:cNvSpPr/>
        </xdr:nvSpPr>
        <xdr:spPr>
          <a:xfrm>
            <a:off x="11049000" y="1841501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15" name="Oval 6014" hidden="1"/>
          <xdr:cNvSpPr/>
        </xdr:nvSpPr>
        <xdr:spPr>
          <a:xfrm>
            <a:off x="10562166" y="2106083"/>
            <a:ext cx="243417" cy="296333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16" name="Oval 6015" hidden="1"/>
          <xdr:cNvSpPr/>
        </xdr:nvSpPr>
        <xdr:spPr>
          <a:xfrm>
            <a:off x="11197166" y="2106084"/>
            <a:ext cx="243417" cy="296333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6</xdr:col>
      <xdr:colOff>292100</xdr:colOff>
      <xdr:row>12</xdr:row>
      <xdr:rowOff>34925</xdr:rowOff>
    </xdr:from>
    <xdr:to>
      <xdr:col>6</xdr:col>
      <xdr:colOff>546100</xdr:colOff>
      <xdr:row>13</xdr:row>
      <xdr:rowOff>88900</xdr:rowOff>
    </xdr:to>
    <xdr:grpSp>
      <xdr:nvGrpSpPr>
        <xdr:cNvPr id="6029" name="GhRD" hidden="1"/>
        <xdr:cNvGrpSpPr/>
      </xdr:nvGrpSpPr>
      <xdr:grpSpPr>
        <a:xfrm>
          <a:off x="3699933" y="2352675"/>
          <a:ext cx="254000" cy="255058"/>
          <a:chOff x="10248986" y="1449917"/>
          <a:chExt cx="1524000" cy="1846048"/>
        </a:xfrm>
      </xdr:grpSpPr>
      <xdr:sp macro="" textlink="">
        <xdr:nvSpPr>
          <xdr:cNvPr id="6030" name="Freeform 6029" hidden="1"/>
          <xdr:cNvSpPr/>
        </xdr:nvSpPr>
        <xdr:spPr>
          <a:xfrm>
            <a:off x="10248986" y="1449917"/>
            <a:ext cx="1524000" cy="1846048"/>
          </a:xfrm>
          <a:custGeom>
            <a:avLst/>
            <a:gdLst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42334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1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272814 h 1352314"/>
              <a:gd name="connsiteX1" fmla="*/ 1524000 w 1524000"/>
              <a:gd name="connsiteY1" fmla="*/ 272814 h 1352314"/>
              <a:gd name="connsiteX2" fmla="*/ 1524000 w 1524000"/>
              <a:gd name="connsiteY2" fmla="*/ 1341731 h 1352314"/>
              <a:gd name="connsiteX3" fmla="*/ 1 w 1524000"/>
              <a:gd name="connsiteY3" fmla="*/ 1352314 h 1352314"/>
              <a:gd name="connsiteX4" fmla="*/ 0 w 1524000"/>
              <a:gd name="connsiteY4" fmla="*/ 272814 h 1352314"/>
              <a:gd name="connsiteX0" fmla="*/ 0 w 1524000"/>
              <a:gd name="connsiteY0" fmla="*/ 440754 h 1520254"/>
              <a:gd name="connsiteX1" fmla="*/ 1524000 w 1524000"/>
              <a:gd name="connsiteY1" fmla="*/ 440754 h 1520254"/>
              <a:gd name="connsiteX2" fmla="*/ 1524000 w 1524000"/>
              <a:gd name="connsiteY2" fmla="*/ 1509671 h 1520254"/>
              <a:gd name="connsiteX3" fmla="*/ 1 w 1524000"/>
              <a:gd name="connsiteY3" fmla="*/ 1520254 h 1520254"/>
              <a:gd name="connsiteX4" fmla="*/ 0 w 1524000"/>
              <a:gd name="connsiteY4" fmla="*/ 440754 h 1520254"/>
              <a:gd name="connsiteX0" fmla="*/ 0 w 1524000"/>
              <a:gd name="connsiteY0" fmla="*/ 444818 h 1524318"/>
              <a:gd name="connsiteX1" fmla="*/ 1524000 w 1524000"/>
              <a:gd name="connsiteY1" fmla="*/ 444818 h 1524318"/>
              <a:gd name="connsiteX2" fmla="*/ 1524000 w 1524000"/>
              <a:gd name="connsiteY2" fmla="*/ 1513735 h 1524318"/>
              <a:gd name="connsiteX3" fmla="*/ 1 w 1524000"/>
              <a:gd name="connsiteY3" fmla="*/ 1524318 h 1524318"/>
              <a:gd name="connsiteX4" fmla="*/ 0 w 1524000"/>
              <a:gd name="connsiteY4" fmla="*/ 444818 h 1524318"/>
              <a:gd name="connsiteX0" fmla="*/ 0 w 1524000"/>
              <a:gd name="connsiteY0" fmla="*/ 670105 h 1749605"/>
              <a:gd name="connsiteX1" fmla="*/ 1524000 w 1524000"/>
              <a:gd name="connsiteY1" fmla="*/ 670105 h 1749605"/>
              <a:gd name="connsiteX2" fmla="*/ 1524000 w 1524000"/>
              <a:gd name="connsiteY2" fmla="*/ 1739022 h 1749605"/>
              <a:gd name="connsiteX3" fmla="*/ 1 w 1524000"/>
              <a:gd name="connsiteY3" fmla="*/ 1749605 h 1749605"/>
              <a:gd name="connsiteX4" fmla="*/ 0 w 1524000"/>
              <a:gd name="connsiteY4" fmla="*/ 670105 h 1749605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1 w 1524000"/>
              <a:gd name="connsiteY3" fmla="*/ 1909769 h 1909769"/>
              <a:gd name="connsiteX4" fmla="*/ 0 w 1524000"/>
              <a:gd name="connsiteY4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33917 w 1524000"/>
              <a:gd name="connsiteY3" fmla="*/ 1899187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02167 w 1524000"/>
              <a:gd name="connsiteY3" fmla="*/ 1285354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65297"/>
              <a:gd name="connsiteX1" fmla="*/ 1524000 w 1524000"/>
              <a:gd name="connsiteY1" fmla="*/ 830269 h 1965297"/>
              <a:gd name="connsiteX2" fmla="*/ 1524000 w 1524000"/>
              <a:gd name="connsiteY2" fmla="*/ 1899186 h 1965297"/>
              <a:gd name="connsiteX3" fmla="*/ 582084 w 1524000"/>
              <a:gd name="connsiteY3" fmla="*/ 1930937 h 1965297"/>
              <a:gd name="connsiteX4" fmla="*/ 402167 w 1524000"/>
              <a:gd name="connsiteY4" fmla="*/ 1285354 h 1965297"/>
              <a:gd name="connsiteX5" fmla="*/ 1 w 1524000"/>
              <a:gd name="connsiteY5" fmla="*/ 1909769 h 1965297"/>
              <a:gd name="connsiteX6" fmla="*/ 0 w 1524000"/>
              <a:gd name="connsiteY6" fmla="*/ 830269 h 1965297"/>
              <a:gd name="connsiteX0" fmla="*/ 0 w 1524000"/>
              <a:gd name="connsiteY0" fmla="*/ 830269 h 1944723"/>
              <a:gd name="connsiteX1" fmla="*/ 1524000 w 1524000"/>
              <a:gd name="connsiteY1" fmla="*/ 830269 h 1944723"/>
              <a:gd name="connsiteX2" fmla="*/ 1524000 w 1524000"/>
              <a:gd name="connsiteY2" fmla="*/ 1899186 h 1944723"/>
              <a:gd name="connsiteX3" fmla="*/ 1047750 w 1524000"/>
              <a:gd name="connsiteY3" fmla="*/ 1475854 h 1944723"/>
              <a:gd name="connsiteX4" fmla="*/ 582084 w 1524000"/>
              <a:gd name="connsiteY4" fmla="*/ 1930937 h 1944723"/>
              <a:gd name="connsiteX5" fmla="*/ 402167 w 1524000"/>
              <a:gd name="connsiteY5" fmla="*/ 1285354 h 1944723"/>
              <a:gd name="connsiteX6" fmla="*/ 1 w 1524000"/>
              <a:gd name="connsiteY6" fmla="*/ 1909769 h 1944723"/>
              <a:gd name="connsiteX7" fmla="*/ 0 w 1524000"/>
              <a:gd name="connsiteY7" fmla="*/ 830269 h 1944723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402167 w 1524000"/>
              <a:gd name="connsiteY5" fmla="*/ 1285354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12008"/>
              <a:gd name="connsiteX1" fmla="*/ 1524000 w 1524000"/>
              <a:gd name="connsiteY1" fmla="*/ 830269 h 2012008"/>
              <a:gd name="connsiteX2" fmla="*/ 1524000 w 1524000"/>
              <a:gd name="connsiteY2" fmla="*/ 1899186 h 2012008"/>
              <a:gd name="connsiteX3" fmla="*/ 1047750 w 1524000"/>
              <a:gd name="connsiteY3" fmla="*/ 1475854 h 2012008"/>
              <a:gd name="connsiteX4" fmla="*/ 709084 w 1524000"/>
              <a:gd name="connsiteY4" fmla="*/ 1983854 h 2012008"/>
              <a:gd name="connsiteX5" fmla="*/ 359833 w 1524000"/>
              <a:gd name="connsiteY5" fmla="*/ 1465271 h 2012008"/>
              <a:gd name="connsiteX6" fmla="*/ 1 w 1524000"/>
              <a:gd name="connsiteY6" fmla="*/ 1909769 h 2012008"/>
              <a:gd name="connsiteX7" fmla="*/ 0 w 1524000"/>
              <a:gd name="connsiteY7" fmla="*/ 830269 h 2012008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08176"/>
              <a:gd name="connsiteX1" fmla="*/ 1524000 w 1524000"/>
              <a:gd name="connsiteY1" fmla="*/ 830269 h 2008176"/>
              <a:gd name="connsiteX2" fmla="*/ 1524000 w 1524000"/>
              <a:gd name="connsiteY2" fmla="*/ 1899186 h 2008176"/>
              <a:gd name="connsiteX3" fmla="*/ 1047750 w 1524000"/>
              <a:gd name="connsiteY3" fmla="*/ 1475854 h 2008176"/>
              <a:gd name="connsiteX4" fmla="*/ 709084 w 1524000"/>
              <a:gd name="connsiteY4" fmla="*/ 1983854 h 2008176"/>
              <a:gd name="connsiteX5" fmla="*/ 359833 w 1524000"/>
              <a:gd name="connsiteY5" fmla="*/ 1465271 h 2008176"/>
              <a:gd name="connsiteX6" fmla="*/ 1 w 1524000"/>
              <a:gd name="connsiteY6" fmla="*/ 1909769 h 2008176"/>
              <a:gd name="connsiteX7" fmla="*/ 0 w 1524000"/>
              <a:gd name="connsiteY7" fmla="*/ 830269 h 2008176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79500 w 1524000"/>
              <a:gd name="connsiteY3" fmla="*/ 167693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90083 w 1524000"/>
              <a:gd name="connsiteY3" fmla="*/ 170868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524000" h="2051901">
                <a:moveTo>
                  <a:pt x="0" y="830269"/>
                </a:moveTo>
                <a:cubicBezTo>
                  <a:pt x="0" y="-344482"/>
                  <a:pt x="1524000" y="-206897"/>
                  <a:pt x="1524000" y="830269"/>
                </a:cubicBezTo>
                <a:lnTo>
                  <a:pt x="1524000" y="1899186"/>
                </a:lnTo>
                <a:cubicBezTo>
                  <a:pt x="1307042" y="2260783"/>
                  <a:pt x="1213555" y="1691048"/>
                  <a:pt x="1090083" y="1708687"/>
                </a:cubicBezTo>
                <a:cubicBezTo>
                  <a:pt x="966611" y="1726326"/>
                  <a:pt x="894292" y="2003257"/>
                  <a:pt x="783167" y="2005021"/>
                </a:cubicBezTo>
                <a:cubicBezTo>
                  <a:pt x="672042" y="2006785"/>
                  <a:pt x="553861" y="1735146"/>
                  <a:pt x="423333" y="1719271"/>
                </a:cubicBezTo>
                <a:cubicBezTo>
                  <a:pt x="292805" y="1703396"/>
                  <a:pt x="345723" y="2322520"/>
                  <a:pt x="1" y="1909769"/>
                </a:cubicBezTo>
                <a:cubicBezTo>
                  <a:pt x="1" y="1549936"/>
                  <a:pt x="0" y="1190102"/>
                  <a:pt x="0" y="830269"/>
                </a:cubicBezTo>
                <a:close/>
              </a:path>
            </a:pathLst>
          </a:custGeom>
          <a:solidFill>
            <a:srgbClr val="FF0000"/>
          </a:solidFill>
          <a:ln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31" name="Oval 6030" hidden="1"/>
          <xdr:cNvSpPr/>
        </xdr:nvSpPr>
        <xdr:spPr>
          <a:xfrm>
            <a:off x="10424584" y="1841500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32" name="Oval 6031" hidden="1"/>
          <xdr:cNvSpPr/>
        </xdr:nvSpPr>
        <xdr:spPr>
          <a:xfrm>
            <a:off x="11049000" y="1841501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33" name="Oval 6032" hidden="1"/>
          <xdr:cNvSpPr/>
        </xdr:nvSpPr>
        <xdr:spPr>
          <a:xfrm>
            <a:off x="10585871" y="2110486"/>
            <a:ext cx="243417" cy="296335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34" name="Oval 6033" hidden="1"/>
          <xdr:cNvSpPr/>
        </xdr:nvSpPr>
        <xdr:spPr>
          <a:xfrm>
            <a:off x="11206857" y="2127746"/>
            <a:ext cx="243417" cy="296335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6</xdr:col>
      <xdr:colOff>292100</xdr:colOff>
      <xdr:row>12</xdr:row>
      <xdr:rowOff>34925</xdr:rowOff>
    </xdr:from>
    <xdr:to>
      <xdr:col>6</xdr:col>
      <xdr:colOff>546100</xdr:colOff>
      <xdr:row>13</xdr:row>
      <xdr:rowOff>88900</xdr:rowOff>
    </xdr:to>
    <xdr:grpSp>
      <xdr:nvGrpSpPr>
        <xdr:cNvPr id="6035" name="GhRU" hidden="1"/>
        <xdr:cNvGrpSpPr/>
      </xdr:nvGrpSpPr>
      <xdr:grpSpPr>
        <a:xfrm>
          <a:off x="3699933" y="2352675"/>
          <a:ext cx="254000" cy="255058"/>
          <a:chOff x="10248986" y="1449917"/>
          <a:chExt cx="1524000" cy="1846048"/>
        </a:xfrm>
      </xdr:grpSpPr>
      <xdr:sp macro="" textlink="">
        <xdr:nvSpPr>
          <xdr:cNvPr id="6036" name="Freeform 6035" hidden="1"/>
          <xdr:cNvSpPr/>
        </xdr:nvSpPr>
        <xdr:spPr>
          <a:xfrm>
            <a:off x="10248986" y="1449917"/>
            <a:ext cx="1524000" cy="1846048"/>
          </a:xfrm>
          <a:custGeom>
            <a:avLst/>
            <a:gdLst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42334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1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272814 h 1352314"/>
              <a:gd name="connsiteX1" fmla="*/ 1524000 w 1524000"/>
              <a:gd name="connsiteY1" fmla="*/ 272814 h 1352314"/>
              <a:gd name="connsiteX2" fmla="*/ 1524000 w 1524000"/>
              <a:gd name="connsiteY2" fmla="*/ 1341731 h 1352314"/>
              <a:gd name="connsiteX3" fmla="*/ 1 w 1524000"/>
              <a:gd name="connsiteY3" fmla="*/ 1352314 h 1352314"/>
              <a:gd name="connsiteX4" fmla="*/ 0 w 1524000"/>
              <a:gd name="connsiteY4" fmla="*/ 272814 h 1352314"/>
              <a:gd name="connsiteX0" fmla="*/ 0 w 1524000"/>
              <a:gd name="connsiteY0" fmla="*/ 440754 h 1520254"/>
              <a:gd name="connsiteX1" fmla="*/ 1524000 w 1524000"/>
              <a:gd name="connsiteY1" fmla="*/ 440754 h 1520254"/>
              <a:gd name="connsiteX2" fmla="*/ 1524000 w 1524000"/>
              <a:gd name="connsiteY2" fmla="*/ 1509671 h 1520254"/>
              <a:gd name="connsiteX3" fmla="*/ 1 w 1524000"/>
              <a:gd name="connsiteY3" fmla="*/ 1520254 h 1520254"/>
              <a:gd name="connsiteX4" fmla="*/ 0 w 1524000"/>
              <a:gd name="connsiteY4" fmla="*/ 440754 h 1520254"/>
              <a:gd name="connsiteX0" fmla="*/ 0 w 1524000"/>
              <a:gd name="connsiteY0" fmla="*/ 444818 h 1524318"/>
              <a:gd name="connsiteX1" fmla="*/ 1524000 w 1524000"/>
              <a:gd name="connsiteY1" fmla="*/ 444818 h 1524318"/>
              <a:gd name="connsiteX2" fmla="*/ 1524000 w 1524000"/>
              <a:gd name="connsiteY2" fmla="*/ 1513735 h 1524318"/>
              <a:gd name="connsiteX3" fmla="*/ 1 w 1524000"/>
              <a:gd name="connsiteY3" fmla="*/ 1524318 h 1524318"/>
              <a:gd name="connsiteX4" fmla="*/ 0 w 1524000"/>
              <a:gd name="connsiteY4" fmla="*/ 444818 h 1524318"/>
              <a:gd name="connsiteX0" fmla="*/ 0 w 1524000"/>
              <a:gd name="connsiteY0" fmla="*/ 670105 h 1749605"/>
              <a:gd name="connsiteX1" fmla="*/ 1524000 w 1524000"/>
              <a:gd name="connsiteY1" fmla="*/ 670105 h 1749605"/>
              <a:gd name="connsiteX2" fmla="*/ 1524000 w 1524000"/>
              <a:gd name="connsiteY2" fmla="*/ 1739022 h 1749605"/>
              <a:gd name="connsiteX3" fmla="*/ 1 w 1524000"/>
              <a:gd name="connsiteY3" fmla="*/ 1749605 h 1749605"/>
              <a:gd name="connsiteX4" fmla="*/ 0 w 1524000"/>
              <a:gd name="connsiteY4" fmla="*/ 670105 h 1749605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1 w 1524000"/>
              <a:gd name="connsiteY3" fmla="*/ 1909769 h 1909769"/>
              <a:gd name="connsiteX4" fmla="*/ 0 w 1524000"/>
              <a:gd name="connsiteY4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33917 w 1524000"/>
              <a:gd name="connsiteY3" fmla="*/ 1899187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02167 w 1524000"/>
              <a:gd name="connsiteY3" fmla="*/ 1285354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65297"/>
              <a:gd name="connsiteX1" fmla="*/ 1524000 w 1524000"/>
              <a:gd name="connsiteY1" fmla="*/ 830269 h 1965297"/>
              <a:gd name="connsiteX2" fmla="*/ 1524000 w 1524000"/>
              <a:gd name="connsiteY2" fmla="*/ 1899186 h 1965297"/>
              <a:gd name="connsiteX3" fmla="*/ 582084 w 1524000"/>
              <a:gd name="connsiteY3" fmla="*/ 1930937 h 1965297"/>
              <a:gd name="connsiteX4" fmla="*/ 402167 w 1524000"/>
              <a:gd name="connsiteY4" fmla="*/ 1285354 h 1965297"/>
              <a:gd name="connsiteX5" fmla="*/ 1 w 1524000"/>
              <a:gd name="connsiteY5" fmla="*/ 1909769 h 1965297"/>
              <a:gd name="connsiteX6" fmla="*/ 0 w 1524000"/>
              <a:gd name="connsiteY6" fmla="*/ 830269 h 1965297"/>
              <a:gd name="connsiteX0" fmla="*/ 0 w 1524000"/>
              <a:gd name="connsiteY0" fmla="*/ 830269 h 1944723"/>
              <a:gd name="connsiteX1" fmla="*/ 1524000 w 1524000"/>
              <a:gd name="connsiteY1" fmla="*/ 830269 h 1944723"/>
              <a:gd name="connsiteX2" fmla="*/ 1524000 w 1524000"/>
              <a:gd name="connsiteY2" fmla="*/ 1899186 h 1944723"/>
              <a:gd name="connsiteX3" fmla="*/ 1047750 w 1524000"/>
              <a:gd name="connsiteY3" fmla="*/ 1475854 h 1944723"/>
              <a:gd name="connsiteX4" fmla="*/ 582084 w 1524000"/>
              <a:gd name="connsiteY4" fmla="*/ 1930937 h 1944723"/>
              <a:gd name="connsiteX5" fmla="*/ 402167 w 1524000"/>
              <a:gd name="connsiteY5" fmla="*/ 1285354 h 1944723"/>
              <a:gd name="connsiteX6" fmla="*/ 1 w 1524000"/>
              <a:gd name="connsiteY6" fmla="*/ 1909769 h 1944723"/>
              <a:gd name="connsiteX7" fmla="*/ 0 w 1524000"/>
              <a:gd name="connsiteY7" fmla="*/ 830269 h 1944723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402167 w 1524000"/>
              <a:gd name="connsiteY5" fmla="*/ 1285354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12008"/>
              <a:gd name="connsiteX1" fmla="*/ 1524000 w 1524000"/>
              <a:gd name="connsiteY1" fmla="*/ 830269 h 2012008"/>
              <a:gd name="connsiteX2" fmla="*/ 1524000 w 1524000"/>
              <a:gd name="connsiteY2" fmla="*/ 1899186 h 2012008"/>
              <a:gd name="connsiteX3" fmla="*/ 1047750 w 1524000"/>
              <a:gd name="connsiteY3" fmla="*/ 1475854 h 2012008"/>
              <a:gd name="connsiteX4" fmla="*/ 709084 w 1524000"/>
              <a:gd name="connsiteY4" fmla="*/ 1983854 h 2012008"/>
              <a:gd name="connsiteX5" fmla="*/ 359833 w 1524000"/>
              <a:gd name="connsiteY5" fmla="*/ 1465271 h 2012008"/>
              <a:gd name="connsiteX6" fmla="*/ 1 w 1524000"/>
              <a:gd name="connsiteY6" fmla="*/ 1909769 h 2012008"/>
              <a:gd name="connsiteX7" fmla="*/ 0 w 1524000"/>
              <a:gd name="connsiteY7" fmla="*/ 830269 h 2012008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08176"/>
              <a:gd name="connsiteX1" fmla="*/ 1524000 w 1524000"/>
              <a:gd name="connsiteY1" fmla="*/ 830269 h 2008176"/>
              <a:gd name="connsiteX2" fmla="*/ 1524000 w 1524000"/>
              <a:gd name="connsiteY2" fmla="*/ 1899186 h 2008176"/>
              <a:gd name="connsiteX3" fmla="*/ 1047750 w 1524000"/>
              <a:gd name="connsiteY3" fmla="*/ 1475854 h 2008176"/>
              <a:gd name="connsiteX4" fmla="*/ 709084 w 1524000"/>
              <a:gd name="connsiteY4" fmla="*/ 1983854 h 2008176"/>
              <a:gd name="connsiteX5" fmla="*/ 359833 w 1524000"/>
              <a:gd name="connsiteY5" fmla="*/ 1465271 h 2008176"/>
              <a:gd name="connsiteX6" fmla="*/ 1 w 1524000"/>
              <a:gd name="connsiteY6" fmla="*/ 1909769 h 2008176"/>
              <a:gd name="connsiteX7" fmla="*/ 0 w 1524000"/>
              <a:gd name="connsiteY7" fmla="*/ 830269 h 2008176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79500 w 1524000"/>
              <a:gd name="connsiteY3" fmla="*/ 167693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90083 w 1524000"/>
              <a:gd name="connsiteY3" fmla="*/ 170868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524000" h="2051901">
                <a:moveTo>
                  <a:pt x="0" y="830269"/>
                </a:moveTo>
                <a:cubicBezTo>
                  <a:pt x="0" y="-344482"/>
                  <a:pt x="1524000" y="-206897"/>
                  <a:pt x="1524000" y="830269"/>
                </a:cubicBezTo>
                <a:lnTo>
                  <a:pt x="1524000" y="1899186"/>
                </a:lnTo>
                <a:cubicBezTo>
                  <a:pt x="1307042" y="2260783"/>
                  <a:pt x="1213555" y="1691048"/>
                  <a:pt x="1090083" y="1708687"/>
                </a:cubicBezTo>
                <a:cubicBezTo>
                  <a:pt x="966611" y="1726326"/>
                  <a:pt x="894292" y="2003257"/>
                  <a:pt x="783167" y="2005021"/>
                </a:cubicBezTo>
                <a:cubicBezTo>
                  <a:pt x="672042" y="2006785"/>
                  <a:pt x="553861" y="1735146"/>
                  <a:pt x="423333" y="1719271"/>
                </a:cubicBezTo>
                <a:cubicBezTo>
                  <a:pt x="292805" y="1703396"/>
                  <a:pt x="345723" y="2322520"/>
                  <a:pt x="1" y="1909769"/>
                </a:cubicBezTo>
                <a:cubicBezTo>
                  <a:pt x="1" y="1549936"/>
                  <a:pt x="0" y="1190102"/>
                  <a:pt x="0" y="830269"/>
                </a:cubicBezTo>
                <a:close/>
              </a:path>
            </a:pathLst>
          </a:custGeom>
          <a:solidFill>
            <a:srgbClr val="FF0000"/>
          </a:solidFill>
          <a:ln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37" name="Oval 6036" hidden="1"/>
          <xdr:cNvSpPr/>
        </xdr:nvSpPr>
        <xdr:spPr>
          <a:xfrm>
            <a:off x="10424584" y="1841500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38" name="Oval 6037" hidden="1"/>
          <xdr:cNvSpPr/>
        </xdr:nvSpPr>
        <xdr:spPr>
          <a:xfrm>
            <a:off x="11049000" y="1841501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39" name="Oval 6038" hidden="1"/>
          <xdr:cNvSpPr/>
        </xdr:nvSpPr>
        <xdr:spPr>
          <a:xfrm>
            <a:off x="10543836" y="1834323"/>
            <a:ext cx="243417" cy="296335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40" name="Oval 6039" hidden="1"/>
          <xdr:cNvSpPr/>
        </xdr:nvSpPr>
        <xdr:spPr>
          <a:xfrm>
            <a:off x="11178829" y="1834323"/>
            <a:ext cx="243417" cy="296335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6</xdr:col>
      <xdr:colOff>292100</xdr:colOff>
      <xdr:row>12</xdr:row>
      <xdr:rowOff>34925</xdr:rowOff>
    </xdr:from>
    <xdr:to>
      <xdr:col>6</xdr:col>
      <xdr:colOff>546100</xdr:colOff>
      <xdr:row>13</xdr:row>
      <xdr:rowOff>88900</xdr:rowOff>
    </xdr:to>
    <xdr:grpSp>
      <xdr:nvGrpSpPr>
        <xdr:cNvPr id="6047" name="GhRR" hidden="1"/>
        <xdr:cNvGrpSpPr/>
      </xdr:nvGrpSpPr>
      <xdr:grpSpPr>
        <a:xfrm flipH="1">
          <a:off x="3699933" y="2352675"/>
          <a:ext cx="254000" cy="255058"/>
          <a:chOff x="10361083" y="1449917"/>
          <a:chExt cx="1524000" cy="1846048"/>
        </a:xfrm>
      </xdr:grpSpPr>
      <xdr:sp macro="" textlink="">
        <xdr:nvSpPr>
          <xdr:cNvPr id="6048" name="Freeform 6047" hidden="1"/>
          <xdr:cNvSpPr/>
        </xdr:nvSpPr>
        <xdr:spPr>
          <a:xfrm>
            <a:off x="10361083" y="1449917"/>
            <a:ext cx="1524000" cy="1846048"/>
          </a:xfrm>
          <a:custGeom>
            <a:avLst/>
            <a:gdLst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42334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1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272814 h 1352314"/>
              <a:gd name="connsiteX1" fmla="*/ 1524000 w 1524000"/>
              <a:gd name="connsiteY1" fmla="*/ 272814 h 1352314"/>
              <a:gd name="connsiteX2" fmla="*/ 1524000 w 1524000"/>
              <a:gd name="connsiteY2" fmla="*/ 1341731 h 1352314"/>
              <a:gd name="connsiteX3" fmla="*/ 1 w 1524000"/>
              <a:gd name="connsiteY3" fmla="*/ 1352314 h 1352314"/>
              <a:gd name="connsiteX4" fmla="*/ 0 w 1524000"/>
              <a:gd name="connsiteY4" fmla="*/ 272814 h 1352314"/>
              <a:gd name="connsiteX0" fmla="*/ 0 w 1524000"/>
              <a:gd name="connsiteY0" fmla="*/ 440754 h 1520254"/>
              <a:gd name="connsiteX1" fmla="*/ 1524000 w 1524000"/>
              <a:gd name="connsiteY1" fmla="*/ 440754 h 1520254"/>
              <a:gd name="connsiteX2" fmla="*/ 1524000 w 1524000"/>
              <a:gd name="connsiteY2" fmla="*/ 1509671 h 1520254"/>
              <a:gd name="connsiteX3" fmla="*/ 1 w 1524000"/>
              <a:gd name="connsiteY3" fmla="*/ 1520254 h 1520254"/>
              <a:gd name="connsiteX4" fmla="*/ 0 w 1524000"/>
              <a:gd name="connsiteY4" fmla="*/ 440754 h 1520254"/>
              <a:gd name="connsiteX0" fmla="*/ 0 w 1524000"/>
              <a:gd name="connsiteY0" fmla="*/ 444818 h 1524318"/>
              <a:gd name="connsiteX1" fmla="*/ 1524000 w 1524000"/>
              <a:gd name="connsiteY1" fmla="*/ 444818 h 1524318"/>
              <a:gd name="connsiteX2" fmla="*/ 1524000 w 1524000"/>
              <a:gd name="connsiteY2" fmla="*/ 1513735 h 1524318"/>
              <a:gd name="connsiteX3" fmla="*/ 1 w 1524000"/>
              <a:gd name="connsiteY3" fmla="*/ 1524318 h 1524318"/>
              <a:gd name="connsiteX4" fmla="*/ 0 w 1524000"/>
              <a:gd name="connsiteY4" fmla="*/ 444818 h 1524318"/>
              <a:gd name="connsiteX0" fmla="*/ 0 w 1524000"/>
              <a:gd name="connsiteY0" fmla="*/ 670105 h 1749605"/>
              <a:gd name="connsiteX1" fmla="*/ 1524000 w 1524000"/>
              <a:gd name="connsiteY1" fmla="*/ 670105 h 1749605"/>
              <a:gd name="connsiteX2" fmla="*/ 1524000 w 1524000"/>
              <a:gd name="connsiteY2" fmla="*/ 1739022 h 1749605"/>
              <a:gd name="connsiteX3" fmla="*/ 1 w 1524000"/>
              <a:gd name="connsiteY3" fmla="*/ 1749605 h 1749605"/>
              <a:gd name="connsiteX4" fmla="*/ 0 w 1524000"/>
              <a:gd name="connsiteY4" fmla="*/ 670105 h 1749605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1 w 1524000"/>
              <a:gd name="connsiteY3" fmla="*/ 1909769 h 1909769"/>
              <a:gd name="connsiteX4" fmla="*/ 0 w 1524000"/>
              <a:gd name="connsiteY4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33917 w 1524000"/>
              <a:gd name="connsiteY3" fmla="*/ 1899187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02167 w 1524000"/>
              <a:gd name="connsiteY3" fmla="*/ 1285354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65297"/>
              <a:gd name="connsiteX1" fmla="*/ 1524000 w 1524000"/>
              <a:gd name="connsiteY1" fmla="*/ 830269 h 1965297"/>
              <a:gd name="connsiteX2" fmla="*/ 1524000 w 1524000"/>
              <a:gd name="connsiteY2" fmla="*/ 1899186 h 1965297"/>
              <a:gd name="connsiteX3" fmla="*/ 582084 w 1524000"/>
              <a:gd name="connsiteY3" fmla="*/ 1930937 h 1965297"/>
              <a:gd name="connsiteX4" fmla="*/ 402167 w 1524000"/>
              <a:gd name="connsiteY4" fmla="*/ 1285354 h 1965297"/>
              <a:gd name="connsiteX5" fmla="*/ 1 w 1524000"/>
              <a:gd name="connsiteY5" fmla="*/ 1909769 h 1965297"/>
              <a:gd name="connsiteX6" fmla="*/ 0 w 1524000"/>
              <a:gd name="connsiteY6" fmla="*/ 830269 h 1965297"/>
              <a:gd name="connsiteX0" fmla="*/ 0 w 1524000"/>
              <a:gd name="connsiteY0" fmla="*/ 830269 h 1944723"/>
              <a:gd name="connsiteX1" fmla="*/ 1524000 w 1524000"/>
              <a:gd name="connsiteY1" fmla="*/ 830269 h 1944723"/>
              <a:gd name="connsiteX2" fmla="*/ 1524000 w 1524000"/>
              <a:gd name="connsiteY2" fmla="*/ 1899186 h 1944723"/>
              <a:gd name="connsiteX3" fmla="*/ 1047750 w 1524000"/>
              <a:gd name="connsiteY3" fmla="*/ 1475854 h 1944723"/>
              <a:gd name="connsiteX4" fmla="*/ 582084 w 1524000"/>
              <a:gd name="connsiteY4" fmla="*/ 1930937 h 1944723"/>
              <a:gd name="connsiteX5" fmla="*/ 402167 w 1524000"/>
              <a:gd name="connsiteY5" fmla="*/ 1285354 h 1944723"/>
              <a:gd name="connsiteX6" fmla="*/ 1 w 1524000"/>
              <a:gd name="connsiteY6" fmla="*/ 1909769 h 1944723"/>
              <a:gd name="connsiteX7" fmla="*/ 0 w 1524000"/>
              <a:gd name="connsiteY7" fmla="*/ 830269 h 1944723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402167 w 1524000"/>
              <a:gd name="connsiteY5" fmla="*/ 1285354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12008"/>
              <a:gd name="connsiteX1" fmla="*/ 1524000 w 1524000"/>
              <a:gd name="connsiteY1" fmla="*/ 830269 h 2012008"/>
              <a:gd name="connsiteX2" fmla="*/ 1524000 w 1524000"/>
              <a:gd name="connsiteY2" fmla="*/ 1899186 h 2012008"/>
              <a:gd name="connsiteX3" fmla="*/ 1047750 w 1524000"/>
              <a:gd name="connsiteY3" fmla="*/ 1475854 h 2012008"/>
              <a:gd name="connsiteX4" fmla="*/ 709084 w 1524000"/>
              <a:gd name="connsiteY4" fmla="*/ 1983854 h 2012008"/>
              <a:gd name="connsiteX5" fmla="*/ 359833 w 1524000"/>
              <a:gd name="connsiteY5" fmla="*/ 1465271 h 2012008"/>
              <a:gd name="connsiteX6" fmla="*/ 1 w 1524000"/>
              <a:gd name="connsiteY6" fmla="*/ 1909769 h 2012008"/>
              <a:gd name="connsiteX7" fmla="*/ 0 w 1524000"/>
              <a:gd name="connsiteY7" fmla="*/ 830269 h 2012008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08176"/>
              <a:gd name="connsiteX1" fmla="*/ 1524000 w 1524000"/>
              <a:gd name="connsiteY1" fmla="*/ 830269 h 2008176"/>
              <a:gd name="connsiteX2" fmla="*/ 1524000 w 1524000"/>
              <a:gd name="connsiteY2" fmla="*/ 1899186 h 2008176"/>
              <a:gd name="connsiteX3" fmla="*/ 1047750 w 1524000"/>
              <a:gd name="connsiteY3" fmla="*/ 1475854 h 2008176"/>
              <a:gd name="connsiteX4" fmla="*/ 709084 w 1524000"/>
              <a:gd name="connsiteY4" fmla="*/ 1983854 h 2008176"/>
              <a:gd name="connsiteX5" fmla="*/ 359833 w 1524000"/>
              <a:gd name="connsiteY5" fmla="*/ 1465271 h 2008176"/>
              <a:gd name="connsiteX6" fmla="*/ 1 w 1524000"/>
              <a:gd name="connsiteY6" fmla="*/ 1909769 h 2008176"/>
              <a:gd name="connsiteX7" fmla="*/ 0 w 1524000"/>
              <a:gd name="connsiteY7" fmla="*/ 830269 h 2008176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79500 w 1524000"/>
              <a:gd name="connsiteY3" fmla="*/ 167693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90083 w 1524000"/>
              <a:gd name="connsiteY3" fmla="*/ 170868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524000" h="2051901">
                <a:moveTo>
                  <a:pt x="0" y="830269"/>
                </a:moveTo>
                <a:cubicBezTo>
                  <a:pt x="0" y="-344482"/>
                  <a:pt x="1524000" y="-206897"/>
                  <a:pt x="1524000" y="830269"/>
                </a:cubicBezTo>
                <a:lnTo>
                  <a:pt x="1524000" y="1899186"/>
                </a:lnTo>
                <a:cubicBezTo>
                  <a:pt x="1307042" y="2260783"/>
                  <a:pt x="1213555" y="1691048"/>
                  <a:pt x="1090083" y="1708687"/>
                </a:cubicBezTo>
                <a:cubicBezTo>
                  <a:pt x="966611" y="1726326"/>
                  <a:pt x="894292" y="2003257"/>
                  <a:pt x="783167" y="2005021"/>
                </a:cubicBezTo>
                <a:cubicBezTo>
                  <a:pt x="672042" y="2006785"/>
                  <a:pt x="553861" y="1735146"/>
                  <a:pt x="423333" y="1719271"/>
                </a:cubicBezTo>
                <a:cubicBezTo>
                  <a:pt x="292805" y="1703396"/>
                  <a:pt x="345723" y="2322520"/>
                  <a:pt x="1" y="1909769"/>
                </a:cubicBezTo>
                <a:cubicBezTo>
                  <a:pt x="1" y="1549936"/>
                  <a:pt x="0" y="1190102"/>
                  <a:pt x="0" y="830269"/>
                </a:cubicBezTo>
                <a:close/>
              </a:path>
            </a:pathLst>
          </a:custGeom>
          <a:solidFill>
            <a:srgbClr val="FF0000"/>
          </a:solidFill>
          <a:ln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49" name="Oval 6048" hidden="1"/>
          <xdr:cNvSpPr/>
        </xdr:nvSpPr>
        <xdr:spPr>
          <a:xfrm>
            <a:off x="10424584" y="1841500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50" name="Oval 6049" hidden="1"/>
          <xdr:cNvSpPr/>
        </xdr:nvSpPr>
        <xdr:spPr>
          <a:xfrm>
            <a:off x="11049000" y="1841501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51" name="Oval 6050" hidden="1"/>
          <xdr:cNvSpPr/>
        </xdr:nvSpPr>
        <xdr:spPr>
          <a:xfrm>
            <a:off x="10445750" y="1989666"/>
            <a:ext cx="243417" cy="296333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52" name="Oval 6051" hidden="1"/>
          <xdr:cNvSpPr/>
        </xdr:nvSpPr>
        <xdr:spPr>
          <a:xfrm>
            <a:off x="11080750" y="1989667"/>
            <a:ext cx="243417" cy="296333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7</xdr:col>
      <xdr:colOff>254000</xdr:colOff>
      <xdr:row>12</xdr:row>
      <xdr:rowOff>34925</xdr:rowOff>
    </xdr:from>
    <xdr:to>
      <xdr:col>7</xdr:col>
      <xdr:colOff>508000</xdr:colOff>
      <xdr:row>13</xdr:row>
      <xdr:rowOff>88900</xdr:rowOff>
    </xdr:to>
    <xdr:grpSp>
      <xdr:nvGrpSpPr>
        <xdr:cNvPr id="6059" name="GhPD" hidden="1"/>
        <xdr:cNvGrpSpPr/>
      </xdr:nvGrpSpPr>
      <xdr:grpSpPr>
        <a:xfrm>
          <a:off x="4275667" y="2352675"/>
          <a:ext cx="254000" cy="255058"/>
          <a:chOff x="10248986" y="1449917"/>
          <a:chExt cx="1524000" cy="1846048"/>
        </a:xfrm>
      </xdr:grpSpPr>
      <xdr:sp macro="" textlink="">
        <xdr:nvSpPr>
          <xdr:cNvPr id="6060" name="Freeform 6059" hidden="1"/>
          <xdr:cNvSpPr/>
        </xdr:nvSpPr>
        <xdr:spPr>
          <a:xfrm>
            <a:off x="10248986" y="1449917"/>
            <a:ext cx="1524000" cy="1846048"/>
          </a:xfrm>
          <a:custGeom>
            <a:avLst/>
            <a:gdLst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42334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1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272814 h 1352314"/>
              <a:gd name="connsiteX1" fmla="*/ 1524000 w 1524000"/>
              <a:gd name="connsiteY1" fmla="*/ 272814 h 1352314"/>
              <a:gd name="connsiteX2" fmla="*/ 1524000 w 1524000"/>
              <a:gd name="connsiteY2" fmla="*/ 1341731 h 1352314"/>
              <a:gd name="connsiteX3" fmla="*/ 1 w 1524000"/>
              <a:gd name="connsiteY3" fmla="*/ 1352314 h 1352314"/>
              <a:gd name="connsiteX4" fmla="*/ 0 w 1524000"/>
              <a:gd name="connsiteY4" fmla="*/ 272814 h 1352314"/>
              <a:gd name="connsiteX0" fmla="*/ 0 w 1524000"/>
              <a:gd name="connsiteY0" fmla="*/ 440754 h 1520254"/>
              <a:gd name="connsiteX1" fmla="*/ 1524000 w 1524000"/>
              <a:gd name="connsiteY1" fmla="*/ 440754 h 1520254"/>
              <a:gd name="connsiteX2" fmla="*/ 1524000 w 1524000"/>
              <a:gd name="connsiteY2" fmla="*/ 1509671 h 1520254"/>
              <a:gd name="connsiteX3" fmla="*/ 1 w 1524000"/>
              <a:gd name="connsiteY3" fmla="*/ 1520254 h 1520254"/>
              <a:gd name="connsiteX4" fmla="*/ 0 w 1524000"/>
              <a:gd name="connsiteY4" fmla="*/ 440754 h 1520254"/>
              <a:gd name="connsiteX0" fmla="*/ 0 w 1524000"/>
              <a:gd name="connsiteY0" fmla="*/ 444818 h 1524318"/>
              <a:gd name="connsiteX1" fmla="*/ 1524000 w 1524000"/>
              <a:gd name="connsiteY1" fmla="*/ 444818 h 1524318"/>
              <a:gd name="connsiteX2" fmla="*/ 1524000 w 1524000"/>
              <a:gd name="connsiteY2" fmla="*/ 1513735 h 1524318"/>
              <a:gd name="connsiteX3" fmla="*/ 1 w 1524000"/>
              <a:gd name="connsiteY3" fmla="*/ 1524318 h 1524318"/>
              <a:gd name="connsiteX4" fmla="*/ 0 w 1524000"/>
              <a:gd name="connsiteY4" fmla="*/ 444818 h 1524318"/>
              <a:gd name="connsiteX0" fmla="*/ 0 w 1524000"/>
              <a:gd name="connsiteY0" fmla="*/ 670105 h 1749605"/>
              <a:gd name="connsiteX1" fmla="*/ 1524000 w 1524000"/>
              <a:gd name="connsiteY1" fmla="*/ 670105 h 1749605"/>
              <a:gd name="connsiteX2" fmla="*/ 1524000 w 1524000"/>
              <a:gd name="connsiteY2" fmla="*/ 1739022 h 1749605"/>
              <a:gd name="connsiteX3" fmla="*/ 1 w 1524000"/>
              <a:gd name="connsiteY3" fmla="*/ 1749605 h 1749605"/>
              <a:gd name="connsiteX4" fmla="*/ 0 w 1524000"/>
              <a:gd name="connsiteY4" fmla="*/ 670105 h 1749605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1 w 1524000"/>
              <a:gd name="connsiteY3" fmla="*/ 1909769 h 1909769"/>
              <a:gd name="connsiteX4" fmla="*/ 0 w 1524000"/>
              <a:gd name="connsiteY4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33917 w 1524000"/>
              <a:gd name="connsiteY3" fmla="*/ 1899187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02167 w 1524000"/>
              <a:gd name="connsiteY3" fmla="*/ 1285354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65297"/>
              <a:gd name="connsiteX1" fmla="*/ 1524000 w 1524000"/>
              <a:gd name="connsiteY1" fmla="*/ 830269 h 1965297"/>
              <a:gd name="connsiteX2" fmla="*/ 1524000 w 1524000"/>
              <a:gd name="connsiteY2" fmla="*/ 1899186 h 1965297"/>
              <a:gd name="connsiteX3" fmla="*/ 582084 w 1524000"/>
              <a:gd name="connsiteY3" fmla="*/ 1930937 h 1965297"/>
              <a:gd name="connsiteX4" fmla="*/ 402167 w 1524000"/>
              <a:gd name="connsiteY4" fmla="*/ 1285354 h 1965297"/>
              <a:gd name="connsiteX5" fmla="*/ 1 w 1524000"/>
              <a:gd name="connsiteY5" fmla="*/ 1909769 h 1965297"/>
              <a:gd name="connsiteX6" fmla="*/ 0 w 1524000"/>
              <a:gd name="connsiteY6" fmla="*/ 830269 h 1965297"/>
              <a:gd name="connsiteX0" fmla="*/ 0 w 1524000"/>
              <a:gd name="connsiteY0" fmla="*/ 830269 h 1944723"/>
              <a:gd name="connsiteX1" fmla="*/ 1524000 w 1524000"/>
              <a:gd name="connsiteY1" fmla="*/ 830269 h 1944723"/>
              <a:gd name="connsiteX2" fmla="*/ 1524000 w 1524000"/>
              <a:gd name="connsiteY2" fmla="*/ 1899186 h 1944723"/>
              <a:gd name="connsiteX3" fmla="*/ 1047750 w 1524000"/>
              <a:gd name="connsiteY3" fmla="*/ 1475854 h 1944723"/>
              <a:gd name="connsiteX4" fmla="*/ 582084 w 1524000"/>
              <a:gd name="connsiteY4" fmla="*/ 1930937 h 1944723"/>
              <a:gd name="connsiteX5" fmla="*/ 402167 w 1524000"/>
              <a:gd name="connsiteY5" fmla="*/ 1285354 h 1944723"/>
              <a:gd name="connsiteX6" fmla="*/ 1 w 1524000"/>
              <a:gd name="connsiteY6" fmla="*/ 1909769 h 1944723"/>
              <a:gd name="connsiteX7" fmla="*/ 0 w 1524000"/>
              <a:gd name="connsiteY7" fmla="*/ 830269 h 1944723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402167 w 1524000"/>
              <a:gd name="connsiteY5" fmla="*/ 1285354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12008"/>
              <a:gd name="connsiteX1" fmla="*/ 1524000 w 1524000"/>
              <a:gd name="connsiteY1" fmla="*/ 830269 h 2012008"/>
              <a:gd name="connsiteX2" fmla="*/ 1524000 w 1524000"/>
              <a:gd name="connsiteY2" fmla="*/ 1899186 h 2012008"/>
              <a:gd name="connsiteX3" fmla="*/ 1047750 w 1524000"/>
              <a:gd name="connsiteY3" fmla="*/ 1475854 h 2012008"/>
              <a:gd name="connsiteX4" fmla="*/ 709084 w 1524000"/>
              <a:gd name="connsiteY4" fmla="*/ 1983854 h 2012008"/>
              <a:gd name="connsiteX5" fmla="*/ 359833 w 1524000"/>
              <a:gd name="connsiteY5" fmla="*/ 1465271 h 2012008"/>
              <a:gd name="connsiteX6" fmla="*/ 1 w 1524000"/>
              <a:gd name="connsiteY6" fmla="*/ 1909769 h 2012008"/>
              <a:gd name="connsiteX7" fmla="*/ 0 w 1524000"/>
              <a:gd name="connsiteY7" fmla="*/ 830269 h 2012008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08176"/>
              <a:gd name="connsiteX1" fmla="*/ 1524000 w 1524000"/>
              <a:gd name="connsiteY1" fmla="*/ 830269 h 2008176"/>
              <a:gd name="connsiteX2" fmla="*/ 1524000 w 1524000"/>
              <a:gd name="connsiteY2" fmla="*/ 1899186 h 2008176"/>
              <a:gd name="connsiteX3" fmla="*/ 1047750 w 1524000"/>
              <a:gd name="connsiteY3" fmla="*/ 1475854 h 2008176"/>
              <a:gd name="connsiteX4" fmla="*/ 709084 w 1524000"/>
              <a:gd name="connsiteY4" fmla="*/ 1983854 h 2008176"/>
              <a:gd name="connsiteX5" fmla="*/ 359833 w 1524000"/>
              <a:gd name="connsiteY5" fmla="*/ 1465271 h 2008176"/>
              <a:gd name="connsiteX6" fmla="*/ 1 w 1524000"/>
              <a:gd name="connsiteY6" fmla="*/ 1909769 h 2008176"/>
              <a:gd name="connsiteX7" fmla="*/ 0 w 1524000"/>
              <a:gd name="connsiteY7" fmla="*/ 830269 h 2008176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79500 w 1524000"/>
              <a:gd name="connsiteY3" fmla="*/ 167693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90083 w 1524000"/>
              <a:gd name="connsiteY3" fmla="*/ 170868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524000" h="2051901">
                <a:moveTo>
                  <a:pt x="0" y="830269"/>
                </a:moveTo>
                <a:cubicBezTo>
                  <a:pt x="0" y="-344482"/>
                  <a:pt x="1524000" y="-206897"/>
                  <a:pt x="1524000" y="830269"/>
                </a:cubicBezTo>
                <a:lnTo>
                  <a:pt x="1524000" y="1899186"/>
                </a:lnTo>
                <a:cubicBezTo>
                  <a:pt x="1307042" y="2260783"/>
                  <a:pt x="1213555" y="1691048"/>
                  <a:pt x="1090083" y="1708687"/>
                </a:cubicBezTo>
                <a:cubicBezTo>
                  <a:pt x="966611" y="1726326"/>
                  <a:pt x="894292" y="2003257"/>
                  <a:pt x="783167" y="2005021"/>
                </a:cubicBezTo>
                <a:cubicBezTo>
                  <a:pt x="672042" y="2006785"/>
                  <a:pt x="553861" y="1735146"/>
                  <a:pt x="423333" y="1719271"/>
                </a:cubicBezTo>
                <a:cubicBezTo>
                  <a:pt x="292805" y="1703396"/>
                  <a:pt x="345723" y="2322520"/>
                  <a:pt x="1" y="1909769"/>
                </a:cubicBezTo>
                <a:cubicBezTo>
                  <a:pt x="1" y="1549936"/>
                  <a:pt x="0" y="1190102"/>
                  <a:pt x="0" y="830269"/>
                </a:cubicBezTo>
                <a:close/>
              </a:path>
            </a:pathLst>
          </a:custGeom>
          <a:solidFill>
            <a:srgbClr val="FF66CC"/>
          </a:solidFill>
          <a:ln>
            <a:solidFill>
              <a:srgbClr val="CC00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61" name="Oval 6060" hidden="1"/>
          <xdr:cNvSpPr/>
        </xdr:nvSpPr>
        <xdr:spPr>
          <a:xfrm>
            <a:off x="10424584" y="1841500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62" name="Oval 6061" hidden="1"/>
          <xdr:cNvSpPr/>
        </xdr:nvSpPr>
        <xdr:spPr>
          <a:xfrm>
            <a:off x="11049000" y="1841501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63" name="Oval 6062" hidden="1"/>
          <xdr:cNvSpPr/>
        </xdr:nvSpPr>
        <xdr:spPr>
          <a:xfrm>
            <a:off x="10585871" y="2110486"/>
            <a:ext cx="243417" cy="296335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64" name="Oval 6063" hidden="1"/>
          <xdr:cNvSpPr/>
        </xdr:nvSpPr>
        <xdr:spPr>
          <a:xfrm>
            <a:off x="11206857" y="2127746"/>
            <a:ext cx="243417" cy="296335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7</xdr:col>
      <xdr:colOff>254000</xdr:colOff>
      <xdr:row>12</xdr:row>
      <xdr:rowOff>34925</xdr:rowOff>
    </xdr:from>
    <xdr:to>
      <xdr:col>7</xdr:col>
      <xdr:colOff>508000</xdr:colOff>
      <xdr:row>13</xdr:row>
      <xdr:rowOff>88900</xdr:rowOff>
    </xdr:to>
    <xdr:grpSp>
      <xdr:nvGrpSpPr>
        <xdr:cNvPr id="6065" name="GhPU" hidden="1"/>
        <xdr:cNvGrpSpPr/>
      </xdr:nvGrpSpPr>
      <xdr:grpSpPr>
        <a:xfrm>
          <a:off x="4275667" y="2352675"/>
          <a:ext cx="254000" cy="255058"/>
          <a:chOff x="10248986" y="1449917"/>
          <a:chExt cx="1524000" cy="1846048"/>
        </a:xfrm>
      </xdr:grpSpPr>
      <xdr:sp macro="" textlink="">
        <xdr:nvSpPr>
          <xdr:cNvPr id="6066" name="Freeform 6065" hidden="1"/>
          <xdr:cNvSpPr/>
        </xdr:nvSpPr>
        <xdr:spPr>
          <a:xfrm>
            <a:off x="10248986" y="1449917"/>
            <a:ext cx="1524000" cy="1846048"/>
          </a:xfrm>
          <a:custGeom>
            <a:avLst/>
            <a:gdLst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42334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1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272814 h 1352314"/>
              <a:gd name="connsiteX1" fmla="*/ 1524000 w 1524000"/>
              <a:gd name="connsiteY1" fmla="*/ 272814 h 1352314"/>
              <a:gd name="connsiteX2" fmla="*/ 1524000 w 1524000"/>
              <a:gd name="connsiteY2" fmla="*/ 1341731 h 1352314"/>
              <a:gd name="connsiteX3" fmla="*/ 1 w 1524000"/>
              <a:gd name="connsiteY3" fmla="*/ 1352314 h 1352314"/>
              <a:gd name="connsiteX4" fmla="*/ 0 w 1524000"/>
              <a:gd name="connsiteY4" fmla="*/ 272814 h 1352314"/>
              <a:gd name="connsiteX0" fmla="*/ 0 w 1524000"/>
              <a:gd name="connsiteY0" fmla="*/ 440754 h 1520254"/>
              <a:gd name="connsiteX1" fmla="*/ 1524000 w 1524000"/>
              <a:gd name="connsiteY1" fmla="*/ 440754 h 1520254"/>
              <a:gd name="connsiteX2" fmla="*/ 1524000 w 1524000"/>
              <a:gd name="connsiteY2" fmla="*/ 1509671 h 1520254"/>
              <a:gd name="connsiteX3" fmla="*/ 1 w 1524000"/>
              <a:gd name="connsiteY3" fmla="*/ 1520254 h 1520254"/>
              <a:gd name="connsiteX4" fmla="*/ 0 w 1524000"/>
              <a:gd name="connsiteY4" fmla="*/ 440754 h 1520254"/>
              <a:gd name="connsiteX0" fmla="*/ 0 w 1524000"/>
              <a:gd name="connsiteY0" fmla="*/ 444818 h 1524318"/>
              <a:gd name="connsiteX1" fmla="*/ 1524000 w 1524000"/>
              <a:gd name="connsiteY1" fmla="*/ 444818 h 1524318"/>
              <a:gd name="connsiteX2" fmla="*/ 1524000 w 1524000"/>
              <a:gd name="connsiteY2" fmla="*/ 1513735 h 1524318"/>
              <a:gd name="connsiteX3" fmla="*/ 1 w 1524000"/>
              <a:gd name="connsiteY3" fmla="*/ 1524318 h 1524318"/>
              <a:gd name="connsiteX4" fmla="*/ 0 w 1524000"/>
              <a:gd name="connsiteY4" fmla="*/ 444818 h 1524318"/>
              <a:gd name="connsiteX0" fmla="*/ 0 w 1524000"/>
              <a:gd name="connsiteY0" fmla="*/ 670105 h 1749605"/>
              <a:gd name="connsiteX1" fmla="*/ 1524000 w 1524000"/>
              <a:gd name="connsiteY1" fmla="*/ 670105 h 1749605"/>
              <a:gd name="connsiteX2" fmla="*/ 1524000 w 1524000"/>
              <a:gd name="connsiteY2" fmla="*/ 1739022 h 1749605"/>
              <a:gd name="connsiteX3" fmla="*/ 1 w 1524000"/>
              <a:gd name="connsiteY3" fmla="*/ 1749605 h 1749605"/>
              <a:gd name="connsiteX4" fmla="*/ 0 w 1524000"/>
              <a:gd name="connsiteY4" fmla="*/ 670105 h 1749605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1 w 1524000"/>
              <a:gd name="connsiteY3" fmla="*/ 1909769 h 1909769"/>
              <a:gd name="connsiteX4" fmla="*/ 0 w 1524000"/>
              <a:gd name="connsiteY4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33917 w 1524000"/>
              <a:gd name="connsiteY3" fmla="*/ 1899187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02167 w 1524000"/>
              <a:gd name="connsiteY3" fmla="*/ 1285354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65297"/>
              <a:gd name="connsiteX1" fmla="*/ 1524000 w 1524000"/>
              <a:gd name="connsiteY1" fmla="*/ 830269 h 1965297"/>
              <a:gd name="connsiteX2" fmla="*/ 1524000 w 1524000"/>
              <a:gd name="connsiteY2" fmla="*/ 1899186 h 1965297"/>
              <a:gd name="connsiteX3" fmla="*/ 582084 w 1524000"/>
              <a:gd name="connsiteY3" fmla="*/ 1930937 h 1965297"/>
              <a:gd name="connsiteX4" fmla="*/ 402167 w 1524000"/>
              <a:gd name="connsiteY4" fmla="*/ 1285354 h 1965297"/>
              <a:gd name="connsiteX5" fmla="*/ 1 w 1524000"/>
              <a:gd name="connsiteY5" fmla="*/ 1909769 h 1965297"/>
              <a:gd name="connsiteX6" fmla="*/ 0 w 1524000"/>
              <a:gd name="connsiteY6" fmla="*/ 830269 h 1965297"/>
              <a:gd name="connsiteX0" fmla="*/ 0 w 1524000"/>
              <a:gd name="connsiteY0" fmla="*/ 830269 h 1944723"/>
              <a:gd name="connsiteX1" fmla="*/ 1524000 w 1524000"/>
              <a:gd name="connsiteY1" fmla="*/ 830269 h 1944723"/>
              <a:gd name="connsiteX2" fmla="*/ 1524000 w 1524000"/>
              <a:gd name="connsiteY2" fmla="*/ 1899186 h 1944723"/>
              <a:gd name="connsiteX3" fmla="*/ 1047750 w 1524000"/>
              <a:gd name="connsiteY3" fmla="*/ 1475854 h 1944723"/>
              <a:gd name="connsiteX4" fmla="*/ 582084 w 1524000"/>
              <a:gd name="connsiteY4" fmla="*/ 1930937 h 1944723"/>
              <a:gd name="connsiteX5" fmla="*/ 402167 w 1524000"/>
              <a:gd name="connsiteY5" fmla="*/ 1285354 h 1944723"/>
              <a:gd name="connsiteX6" fmla="*/ 1 w 1524000"/>
              <a:gd name="connsiteY6" fmla="*/ 1909769 h 1944723"/>
              <a:gd name="connsiteX7" fmla="*/ 0 w 1524000"/>
              <a:gd name="connsiteY7" fmla="*/ 830269 h 1944723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402167 w 1524000"/>
              <a:gd name="connsiteY5" fmla="*/ 1285354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12008"/>
              <a:gd name="connsiteX1" fmla="*/ 1524000 w 1524000"/>
              <a:gd name="connsiteY1" fmla="*/ 830269 h 2012008"/>
              <a:gd name="connsiteX2" fmla="*/ 1524000 w 1524000"/>
              <a:gd name="connsiteY2" fmla="*/ 1899186 h 2012008"/>
              <a:gd name="connsiteX3" fmla="*/ 1047750 w 1524000"/>
              <a:gd name="connsiteY3" fmla="*/ 1475854 h 2012008"/>
              <a:gd name="connsiteX4" fmla="*/ 709084 w 1524000"/>
              <a:gd name="connsiteY4" fmla="*/ 1983854 h 2012008"/>
              <a:gd name="connsiteX5" fmla="*/ 359833 w 1524000"/>
              <a:gd name="connsiteY5" fmla="*/ 1465271 h 2012008"/>
              <a:gd name="connsiteX6" fmla="*/ 1 w 1524000"/>
              <a:gd name="connsiteY6" fmla="*/ 1909769 h 2012008"/>
              <a:gd name="connsiteX7" fmla="*/ 0 w 1524000"/>
              <a:gd name="connsiteY7" fmla="*/ 830269 h 2012008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08176"/>
              <a:gd name="connsiteX1" fmla="*/ 1524000 w 1524000"/>
              <a:gd name="connsiteY1" fmla="*/ 830269 h 2008176"/>
              <a:gd name="connsiteX2" fmla="*/ 1524000 w 1524000"/>
              <a:gd name="connsiteY2" fmla="*/ 1899186 h 2008176"/>
              <a:gd name="connsiteX3" fmla="*/ 1047750 w 1524000"/>
              <a:gd name="connsiteY3" fmla="*/ 1475854 h 2008176"/>
              <a:gd name="connsiteX4" fmla="*/ 709084 w 1524000"/>
              <a:gd name="connsiteY4" fmla="*/ 1983854 h 2008176"/>
              <a:gd name="connsiteX5" fmla="*/ 359833 w 1524000"/>
              <a:gd name="connsiteY5" fmla="*/ 1465271 h 2008176"/>
              <a:gd name="connsiteX6" fmla="*/ 1 w 1524000"/>
              <a:gd name="connsiteY6" fmla="*/ 1909769 h 2008176"/>
              <a:gd name="connsiteX7" fmla="*/ 0 w 1524000"/>
              <a:gd name="connsiteY7" fmla="*/ 830269 h 2008176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79500 w 1524000"/>
              <a:gd name="connsiteY3" fmla="*/ 167693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90083 w 1524000"/>
              <a:gd name="connsiteY3" fmla="*/ 170868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524000" h="2051901">
                <a:moveTo>
                  <a:pt x="0" y="830269"/>
                </a:moveTo>
                <a:cubicBezTo>
                  <a:pt x="0" y="-344482"/>
                  <a:pt x="1524000" y="-206897"/>
                  <a:pt x="1524000" y="830269"/>
                </a:cubicBezTo>
                <a:lnTo>
                  <a:pt x="1524000" y="1899186"/>
                </a:lnTo>
                <a:cubicBezTo>
                  <a:pt x="1307042" y="2260783"/>
                  <a:pt x="1213555" y="1691048"/>
                  <a:pt x="1090083" y="1708687"/>
                </a:cubicBezTo>
                <a:cubicBezTo>
                  <a:pt x="966611" y="1726326"/>
                  <a:pt x="894292" y="2003257"/>
                  <a:pt x="783167" y="2005021"/>
                </a:cubicBezTo>
                <a:cubicBezTo>
                  <a:pt x="672042" y="2006785"/>
                  <a:pt x="553861" y="1735146"/>
                  <a:pt x="423333" y="1719271"/>
                </a:cubicBezTo>
                <a:cubicBezTo>
                  <a:pt x="292805" y="1703396"/>
                  <a:pt x="345723" y="2322520"/>
                  <a:pt x="1" y="1909769"/>
                </a:cubicBezTo>
                <a:cubicBezTo>
                  <a:pt x="1" y="1549936"/>
                  <a:pt x="0" y="1190102"/>
                  <a:pt x="0" y="830269"/>
                </a:cubicBezTo>
                <a:close/>
              </a:path>
            </a:pathLst>
          </a:custGeom>
          <a:solidFill>
            <a:srgbClr val="FF66CC"/>
          </a:solidFill>
          <a:ln>
            <a:solidFill>
              <a:srgbClr val="CC00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67" name="Oval 6066" hidden="1"/>
          <xdr:cNvSpPr/>
        </xdr:nvSpPr>
        <xdr:spPr>
          <a:xfrm>
            <a:off x="10424584" y="1841500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68" name="Oval 6067" hidden="1"/>
          <xdr:cNvSpPr/>
        </xdr:nvSpPr>
        <xdr:spPr>
          <a:xfrm>
            <a:off x="11049000" y="1841501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69" name="Oval 6068" hidden="1"/>
          <xdr:cNvSpPr/>
        </xdr:nvSpPr>
        <xdr:spPr>
          <a:xfrm>
            <a:off x="10543836" y="1834323"/>
            <a:ext cx="243417" cy="296335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70" name="Oval 6069" hidden="1"/>
          <xdr:cNvSpPr/>
        </xdr:nvSpPr>
        <xdr:spPr>
          <a:xfrm>
            <a:off x="11178829" y="1834323"/>
            <a:ext cx="243417" cy="296335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7</xdr:col>
      <xdr:colOff>254000</xdr:colOff>
      <xdr:row>12</xdr:row>
      <xdr:rowOff>34925</xdr:rowOff>
    </xdr:from>
    <xdr:to>
      <xdr:col>7</xdr:col>
      <xdr:colOff>508000</xdr:colOff>
      <xdr:row>13</xdr:row>
      <xdr:rowOff>88900</xdr:rowOff>
    </xdr:to>
    <xdr:grpSp>
      <xdr:nvGrpSpPr>
        <xdr:cNvPr id="6071" name="GhPR" hidden="1"/>
        <xdr:cNvGrpSpPr/>
      </xdr:nvGrpSpPr>
      <xdr:grpSpPr>
        <a:xfrm flipH="1">
          <a:off x="4275667" y="2352675"/>
          <a:ext cx="254000" cy="255058"/>
          <a:chOff x="10361083" y="1449917"/>
          <a:chExt cx="1524000" cy="1846048"/>
        </a:xfrm>
      </xdr:grpSpPr>
      <xdr:sp macro="" textlink="">
        <xdr:nvSpPr>
          <xdr:cNvPr id="6072" name="Freeform 6071" hidden="1"/>
          <xdr:cNvSpPr/>
        </xdr:nvSpPr>
        <xdr:spPr>
          <a:xfrm>
            <a:off x="10361083" y="1449917"/>
            <a:ext cx="1524000" cy="1846048"/>
          </a:xfrm>
          <a:custGeom>
            <a:avLst/>
            <a:gdLst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42334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1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272814 h 1352314"/>
              <a:gd name="connsiteX1" fmla="*/ 1524000 w 1524000"/>
              <a:gd name="connsiteY1" fmla="*/ 272814 h 1352314"/>
              <a:gd name="connsiteX2" fmla="*/ 1524000 w 1524000"/>
              <a:gd name="connsiteY2" fmla="*/ 1341731 h 1352314"/>
              <a:gd name="connsiteX3" fmla="*/ 1 w 1524000"/>
              <a:gd name="connsiteY3" fmla="*/ 1352314 h 1352314"/>
              <a:gd name="connsiteX4" fmla="*/ 0 w 1524000"/>
              <a:gd name="connsiteY4" fmla="*/ 272814 h 1352314"/>
              <a:gd name="connsiteX0" fmla="*/ 0 w 1524000"/>
              <a:gd name="connsiteY0" fmla="*/ 440754 h 1520254"/>
              <a:gd name="connsiteX1" fmla="*/ 1524000 w 1524000"/>
              <a:gd name="connsiteY1" fmla="*/ 440754 h 1520254"/>
              <a:gd name="connsiteX2" fmla="*/ 1524000 w 1524000"/>
              <a:gd name="connsiteY2" fmla="*/ 1509671 h 1520254"/>
              <a:gd name="connsiteX3" fmla="*/ 1 w 1524000"/>
              <a:gd name="connsiteY3" fmla="*/ 1520254 h 1520254"/>
              <a:gd name="connsiteX4" fmla="*/ 0 w 1524000"/>
              <a:gd name="connsiteY4" fmla="*/ 440754 h 1520254"/>
              <a:gd name="connsiteX0" fmla="*/ 0 w 1524000"/>
              <a:gd name="connsiteY0" fmla="*/ 444818 h 1524318"/>
              <a:gd name="connsiteX1" fmla="*/ 1524000 w 1524000"/>
              <a:gd name="connsiteY1" fmla="*/ 444818 h 1524318"/>
              <a:gd name="connsiteX2" fmla="*/ 1524000 w 1524000"/>
              <a:gd name="connsiteY2" fmla="*/ 1513735 h 1524318"/>
              <a:gd name="connsiteX3" fmla="*/ 1 w 1524000"/>
              <a:gd name="connsiteY3" fmla="*/ 1524318 h 1524318"/>
              <a:gd name="connsiteX4" fmla="*/ 0 w 1524000"/>
              <a:gd name="connsiteY4" fmla="*/ 444818 h 1524318"/>
              <a:gd name="connsiteX0" fmla="*/ 0 w 1524000"/>
              <a:gd name="connsiteY0" fmla="*/ 670105 h 1749605"/>
              <a:gd name="connsiteX1" fmla="*/ 1524000 w 1524000"/>
              <a:gd name="connsiteY1" fmla="*/ 670105 h 1749605"/>
              <a:gd name="connsiteX2" fmla="*/ 1524000 w 1524000"/>
              <a:gd name="connsiteY2" fmla="*/ 1739022 h 1749605"/>
              <a:gd name="connsiteX3" fmla="*/ 1 w 1524000"/>
              <a:gd name="connsiteY3" fmla="*/ 1749605 h 1749605"/>
              <a:gd name="connsiteX4" fmla="*/ 0 w 1524000"/>
              <a:gd name="connsiteY4" fmla="*/ 670105 h 1749605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1 w 1524000"/>
              <a:gd name="connsiteY3" fmla="*/ 1909769 h 1909769"/>
              <a:gd name="connsiteX4" fmla="*/ 0 w 1524000"/>
              <a:gd name="connsiteY4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33917 w 1524000"/>
              <a:gd name="connsiteY3" fmla="*/ 1899187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02167 w 1524000"/>
              <a:gd name="connsiteY3" fmla="*/ 1285354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65297"/>
              <a:gd name="connsiteX1" fmla="*/ 1524000 w 1524000"/>
              <a:gd name="connsiteY1" fmla="*/ 830269 h 1965297"/>
              <a:gd name="connsiteX2" fmla="*/ 1524000 w 1524000"/>
              <a:gd name="connsiteY2" fmla="*/ 1899186 h 1965297"/>
              <a:gd name="connsiteX3" fmla="*/ 582084 w 1524000"/>
              <a:gd name="connsiteY3" fmla="*/ 1930937 h 1965297"/>
              <a:gd name="connsiteX4" fmla="*/ 402167 w 1524000"/>
              <a:gd name="connsiteY4" fmla="*/ 1285354 h 1965297"/>
              <a:gd name="connsiteX5" fmla="*/ 1 w 1524000"/>
              <a:gd name="connsiteY5" fmla="*/ 1909769 h 1965297"/>
              <a:gd name="connsiteX6" fmla="*/ 0 w 1524000"/>
              <a:gd name="connsiteY6" fmla="*/ 830269 h 1965297"/>
              <a:gd name="connsiteX0" fmla="*/ 0 w 1524000"/>
              <a:gd name="connsiteY0" fmla="*/ 830269 h 1944723"/>
              <a:gd name="connsiteX1" fmla="*/ 1524000 w 1524000"/>
              <a:gd name="connsiteY1" fmla="*/ 830269 h 1944723"/>
              <a:gd name="connsiteX2" fmla="*/ 1524000 w 1524000"/>
              <a:gd name="connsiteY2" fmla="*/ 1899186 h 1944723"/>
              <a:gd name="connsiteX3" fmla="*/ 1047750 w 1524000"/>
              <a:gd name="connsiteY3" fmla="*/ 1475854 h 1944723"/>
              <a:gd name="connsiteX4" fmla="*/ 582084 w 1524000"/>
              <a:gd name="connsiteY4" fmla="*/ 1930937 h 1944723"/>
              <a:gd name="connsiteX5" fmla="*/ 402167 w 1524000"/>
              <a:gd name="connsiteY5" fmla="*/ 1285354 h 1944723"/>
              <a:gd name="connsiteX6" fmla="*/ 1 w 1524000"/>
              <a:gd name="connsiteY6" fmla="*/ 1909769 h 1944723"/>
              <a:gd name="connsiteX7" fmla="*/ 0 w 1524000"/>
              <a:gd name="connsiteY7" fmla="*/ 830269 h 1944723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402167 w 1524000"/>
              <a:gd name="connsiteY5" fmla="*/ 1285354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12008"/>
              <a:gd name="connsiteX1" fmla="*/ 1524000 w 1524000"/>
              <a:gd name="connsiteY1" fmla="*/ 830269 h 2012008"/>
              <a:gd name="connsiteX2" fmla="*/ 1524000 w 1524000"/>
              <a:gd name="connsiteY2" fmla="*/ 1899186 h 2012008"/>
              <a:gd name="connsiteX3" fmla="*/ 1047750 w 1524000"/>
              <a:gd name="connsiteY3" fmla="*/ 1475854 h 2012008"/>
              <a:gd name="connsiteX4" fmla="*/ 709084 w 1524000"/>
              <a:gd name="connsiteY4" fmla="*/ 1983854 h 2012008"/>
              <a:gd name="connsiteX5" fmla="*/ 359833 w 1524000"/>
              <a:gd name="connsiteY5" fmla="*/ 1465271 h 2012008"/>
              <a:gd name="connsiteX6" fmla="*/ 1 w 1524000"/>
              <a:gd name="connsiteY6" fmla="*/ 1909769 h 2012008"/>
              <a:gd name="connsiteX7" fmla="*/ 0 w 1524000"/>
              <a:gd name="connsiteY7" fmla="*/ 830269 h 2012008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08176"/>
              <a:gd name="connsiteX1" fmla="*/ 1524000 w 1524000"/>
              <a:gd name="connsiteY1" fmla="*/ 830269 h 2008176"/>
              <a:gd name="connsiteX2" fmla="*/ 1524000 w 1524000"/>
              <a:gd name="connsiteY2" fmla="*/ 1899186 h 2008176"/>
              <a:gd name="connsiteX3" fmla="*/ 1047750 w 1524000"/>
              <a:gd name="connsiteY3" fmla="*/ 1475854 h 2008176"/>
              <a:gd name="connsiteX4" fmla="*/ 709084 w 1524000"/>
              <a:gd name="connsiteY4" fmla="*/ 1983854 h 2008176"/>
              <a:gd name="connsiteX5" fmla="*/ 359833 w 1524000"/>
              <a:gd name="connsiteY5" fmla="*/ 1465271 h 2008176"/>
              <a:gd name="connsiteX6" fmla="*/ 1 w 1524000"/>
              <a:gd name="connsiteY6" fmla="*/ 1909769 h 2008176"/>
              <a:gd name="connsiteX7" fmla="*/ 0 w 1524000"/>
              <a:gd name="connsiteY7" fmla="*/ 830269 h 2008176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79500 w 1524000"/>
              <a:gd name="connsiteY3" fmla="*/ 167693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90083 w 1524000"/>
              <a:gd name="connsiteY3" fmla="*/ 170868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524000" h="2051901">
                <a:moveTo>
                  <a:pt x="0" y="830269"/>
                </a:moveTo>
                <a:cubicBezTo>
                  <a:pt x="0" y="-344482"/>
                  <a:pt x="1524000" y="-206897"/>
                  <a:pt x="1524000" y="830269"/>
                </a:cubicBezTo>
                <a:lnTo>
                  <a:pt x="1524000" y="1899186"/>
                </a:lnTo>
                <a:cubicBezTo>
                  <a:pt x="1307042" y="2260783"/>
                  <a:pt x="1213555" y="1691048"/>
                  <a:pt x="1090083" y="1708687"/>
                </a:cubicBezTo>
                <a:cubicBezTo>
                  <a:pt x="966611" y="1726326"/>
                  <a:pt x="894292" y="2003257"/>
                  <a:pt x="783167" y="2005021"/>
                </a:cubicBezTo>
                <a:cubicBezTo>
                  <a:pt x="672042" y="2006785"/>
                  <a:pt x="553861" y="1735146"/>
                  <a:pt x="423333" y="1719271"/>
                </a:cubicBezTo>
                <a:cubicBezTo>
                  <a:pt x="292805" y="1703396"/>
                  <a:pt x="345723" y="2322520"/>
                  <a:pt x="1" y="1909769"/>
                </a:cubicBezTo>
                <a:cubicBezTo>
                  <a:pt x="1" y="1549936"/>
                  <a:pt x="0" y="1190102"/>
                  <a:pt x="0" y="830269"/>
                </a:cubicBezTo>
                <a:close/>
              </a:path>
            </a:pathLst>
          </a:custGeom>
          <a:solidFill>
            <a:srgbClr val="FF66CC"/>
          </a:solidFill>
          <a:ln>
            <a:solidFill>
              <a:srgbClr val="CC00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73" name="Oval 6072" hidden="1"/>
          <xdr:cNvSpPr/>
        </xdr:nvSpPr>
        <xdr:spPr>
          <a:xfrm>
            <a:off x="10424584" y="1841500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74" name="Oval 6073" hidden="1"/>
          <xdr:cNvSpPr/>
        </xdr:nvSpPr>
        <xdr:spPr>
          <a:xfrm>
            <a:off x="11049000" y="1841501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75" name="Oval 6074" hidden="1"/>
          <xdr:cNvSpPr/>
        </xdr:nvSpPr>
        <xdr:spPr>
          <a:xfrm>
            <a:off x="10445750" y="1989666"/>
            <a:ext cx="243417" cy="296333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76" name="Oval 6075" hidden="1"/>
          <xdr:cNvSpPr/>
        </xdr:nvSpPr>
        <xdr:spPr>
          <a:xfrm>
            <a:off x="11080750" y="1989667"/>
            <a:ext cx="243417" cy="296333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6</xdr:col>
      <xdr:colOff>546100</xdr:colOff>
      <xdr:row>12</xdr:row>
      <xdr:rowOff>34925</xdr:rowOff>
    </xdr:from>
    <xdr:to>
      <xdr:col>7</xdr:col>
      <xdr:colOff>190500</xdr:colOff>
      <xdr:row>13</xdr:row>
      <xdr:rowOff>88900</xdr:rowOff>
    </xdr:to>
    <xdr:grpSp>
      <xdr:nvGrpSpPr>
        <xdr:cNvPr id="6083" name="GhGD" hidden="1"/>
        <xdr:cNvGrpSpPr/>
      </xdr:nvGrpSpPr>
      <xdr:grpSpPr>
        <a:xfrm>
          <a:off x="3953933" y="2352675"/>
          <a:ext cx="258234" cy="255058"/>
          <a:chOff x="10248986" y="1449917"/>
          <a:chExt cx="1524000" cy="1846048"/>
        </a:xfrm>
      </xdr:grpSpPr>
      <xdr:sp macro="" textlink="">
        <xdr:nvSpPr>
          <xdr:cNvPr id="6084" name="Freeform 6083" hidden="1"/>
          <xdr:cNvSpPr/>
        </xdr:nvSpPr>
        <xdr:spPr>
          <a:xfrm>
            <a:off x="10248986" y="1449917"/>
            <a:ext cx="1524000" cy="1846048"/>
          </a:xfrm>
          <a:custGeom>
            <a:avLst/>
            <a:gdLst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42334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1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272814 h 1352314"/>
              <a:gd name="connsiteX1" fmla="*/ 1524000 w 1524000"/>
              <a:gd name="connsiteY1" fmla="*/ 272814 h 1352314"/>
              <a:gd name="connsiteX2" fmla="*/ 1524000 w 1524000"/>
              <a:gd name="connsiteY2" fmla="*/ 1341731 h 1352314"/>
              <a:gd name="connsiteX3" fmla="*/ 1 w 1524000"/>
              <a:gd name="connsiteY3" fmla="*/ 1352314 h 1352314"/>
              <a:gd name="connsiteX4" fmla="*/ 0 w 1524000"/>
              <a:gd name="connsiteY4" fmla="*/ 272814 h 1352314"/>
              <a:gd name="connsiteX0" fmla="*/ 0 w 1524000"/>
              <a:gd name="connsiteY0" fmla="*/ 440754 h 1520254"/>
              <a:gd name="connsiteX1" fmla="*/ 1524000 w 1524000"/>
              <a:gd name="connsiteY1" fmla="*/ 440754 h 1520254"/>
              <a:gd name="connsiteX2" fmla="*/ 1524000 w 1524000"/>
              <a:gd name="connsiteY2" fmla="*/ 1509671 h 1520254"/>
              <a:gd name="connsiteX3" fmla="*/ 1 w 1524000"/>
              <a:gd name="connsiteY3" fmla="*/ 1520254 h 1520254"/>
              <a:gd name="connsiteX4" fmla="*/ 0 w 1524000"/>
              <a:gd name="connsiteY4" fmla="*/ 440754 h 1520254"/>
              <a:gd name="connsiteX0" fmla="*/ 0 w 1524000"/>
              <a:gd name="connsiteY0" fmla="*/ 444818 h 1524318"/>
              <a:gd name="connsiteX1" fmla="*/ 1524000 w 1524000"/>
              <a:gd name="connsiteY1" fmla="*/ 444818 h 1524318"/>
              <a:gd name="connsiteX2" fmla="*/ 1524000 w 1524000"/>
              <a:gd name="connsiteY2" fmla="*/ 1513735 h 1524318"/>
              <a:gd name="connsiteX3" fmla="*/ 1 w 1524000"/>
              <a:gd name="connsiteY3" fmla="*/ 1524318 h 1524318"/>
              <a:gd name="connsiteX4" fmla="*/ 0 w 1524000"/>
              <a:gd name="connsiteY4" fmla="*/ 444818 h 1524318"/>
              <a:gd name="connsiteX0" fmla="*/ 0 w 1524000"/>
              <a:gd name="connsiteY0" fmla="*/ 670105 h 1749605"/>
              <a:gd name="connsiteX1" fmla="*/ 1524000 w 1524000"/>
              <a:gd name="connsiteY1" fmla="*/ 670105 h 1749605"/>
              <a:gd name="connsiteX2" fmla="*/ 1524000 w 1524000"/>
              <a:gd name="connsiteY2" fmla="*/ 1739022 h 1749605"/>
              <a:gd name="connsiteX3" fmla="*/ 1 w 1524000"/>
              <a:gd name="connsiteY3" fmla="*/ 1749605 h 1749605"/>
              <a:gd name="connsiteX4" fmla="*/ 0 w 1524000"/>
              <a:gd name="connsiteY4" fmla="*/ 670105 h 1749605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1 w 1524000"/>
              <a:gd name="connsiteY3" fmla="*/ 1909769 h 1909769"/>
              <a:gd name="connsiteX4" fmla="*/ 0 w 1524000"/>
              <a:gd name="connsiteY4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33917 w 1524000"/>
              <a:gd name="connsiteY3" fmla="*/ 1899187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02167 w 1524000"/>
              <a:gd name="connsiteY3" fmla="*/ 1285354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65297"/>
              <a:gd name="connsiteX1" fmla="*/ 1524000 w 1524000"/>
              <a:gd name="connsiteY1" fmla="*/ 830269 h 1965297"/>
              <a:gd name="connsiteX2" fmla="*/ 1524000 w 1524000"/>
              <a:gd name="connsiteY2" fmla="*/ 1899186 h 1965297"/>
              <a:gd name="connsiteX3" fmla="*/ 582084 w 1524000"/>
              <a:gd name="connsiteY3" fmla="*/ 1930937 h 1965297"/>
              <a:gd name="connsiteX4" fmla="*/ 402167 w 1524000"/>
              <a:gd name="connsiteY4" fmla="*/ 1285354 h 1965297"/>
              <a:gd name="connsiteX5" fmla="*/ 1 w 1524000"/>
              <a:gd name="connsiteY5" fmla="*/ 1909769 h 1965297"/>
              <a:gd name="connsiteX6" fmla="*/ 0 w 1524000"/>
              <a:gd name="connsiteY6" fmla="*/ 830269 h 1965297"/>
              <a:gd name="connsiteX0" fmla="*/ 0 w 1524000"/>
              <a:gd name="connsiteY0" fmla="*/ 830269 h 1944723"/>
              <a:gd name="connsiteX1" fmla="*/ 1524000 w 1524000"/>
              <a:gd name="connsiteY1" fmla="*/ 830269 h 1944723"/>
              <a:gd name="connsiteX2" fmla="*/ 1524000 w 1524000"/>
              <a:gd name="connsiteY2" fmla="*/ 1899186 h 1944723"/>
              <a:gd name="connsiteX3" fmla="*/ 1047750 w 1524000"/>
              <a:gd name="connsiteY3" fmla="*/ 1475854 h 1944723"/>
              <a:gd name="connsiteX4" fmla="*/ 582084 w 1524000"/>
              <a:gd name="connsiteY4" fmla="*/ 1930937 h 1944723"/>
              <a:gd name="connsiteX5" fmla="*/ 402167 w 1524000"/>
              <a:gd name="connsiteY5" fmla="*/ 1285354 h 1944723"/>
              <a:gd name="connsiteX6" fmla="*/ 1 w 1524000"/>
              <a:gd name="connsiteY6" fmla="*/ 1909769 h 1944723"/>
              <a:gd name="connsiteX7" fmla="*/ 0 w 1524000"/>
              <a:gd name="connsiteY7" fmla="*/ 830269 h 1944723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402167 w 1524000"/>
              <a:gd name="connsiteY5" fmla="*/ 1285354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12008"/>
              <a:gd name="connsiteX1" fmla="*/ 1524000 w 1524000"/>
              <a:gd name="connsiteY1" fmla="*/ 830269 h 2012008"/>
              <a:gd name="connsiteX2" fmla="*/ 1524000 w 1524000"/>
              <a:gd name="connsiteY2" fmla="*/ 1899186 h 2012008"/>
              <a:gd name="connsiteX3" fmla="*/ 1047750 w 1524000"/>
              <a:gd name="connsiteY3" fmla="*/ 1475854 h 2012008"/>
              <a:gd name="connsiteX4" fmla="*/ 709084 w 1524000"/>
              <a:gd name="connsiteY4" fmla="*/ 1983854 h 2012008"/>
              <a:gd name="connsiteX5" fmla="*/ 359833 w 1524000"/>
              <a:gd name="connsiteY5" fmla="*/ 1465271 h 2012008"/>
              <a:gd name="connsiteX6" fmla="*/ 1 w 1524000"/>
              <a:gd name="connsiteY6" fmla="*/ 1909769 h 2012008"/>
              <a:gd name="connsiteX7" fmla="*/ 0 w 1524000"/>
              <a:gd name="connsiteY7" fmla="*/ 830269 h 2012008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08176"/>
              <a:gd name="connsiteX1" fmla="*/ 1524000 w 1524000"/>
              <a:gd name="connsiteY1" fmla="*/ 830269 h 2008176"/>
              <a:gd name="connsiteX2" fmla="*/ 1524000 w 1524000"/>
              <a:gd name="connsiteY2" fmla="*/ 1899186 h 2008176"/>
              <a:gd name="connsiteX3" fmla="*/ 1047750 w 1524000"/>
              <a:gd name="connsiteY3" fmla="*/ 1475854 h 2008176"/>
              <a:gd name="connsiteX4" fmla="*/ 709084 w 1524000"/>
              <a:gd name="connsiteY4" fmla="*/ 1983854 h 2008176"/>
              <a:gd name="connsiteX5" fmla="*/ 359833 w 1524000"/>
              <a:gd name="connsiteY5" fmla="*/ 1465271 h 2008176"/>
              <a:gd name="connsiteX6" fmla="*/ 1 w 1524000"/>
              <a:gd name="connsiteY6" fmla="*/ 1909769 h 2008176"/>
              <a:gd name="connsiteX7" fmla="*/ 0 w 1524000"/>
              <a:gd name="connsiteY7" fmla="*/ 830269 h 2008176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79500 w 1524000"/>
              <a:gd name="connsiteY3" fmla="*/ 167693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90083 w 1524000"/>
              <a:gd name="connsiteY3" fmla="*/ 170868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524000" h="2051901">
                <a:moveTo>
                  <a:pt x="0" y="830269"/>
                </a:moveTo>
                <a:cubicBezTo>
                  <a:pt x="0" y="-344482"/>
                  <a:pt x="1524000" y="-206897"/>
                  <a:pt x="1524000" y="830269"/>
                </a:cubicBezTo>
                <a:lnTo>
                  <a:pt x="1524000" y="1899186"/>
                </a:lnTo>
                <a:cubicBezTo>
                  <a:pt x="1307042" y="2260783"/>
                  <a:pt x="1213555" y="1691048"/>
                  <a:pt x="1090083" y="1708687"/>
                </a:cubicBezTo>
                <a:cubicBezTo>
                  <a:pt x="966611" y="1726326"/>
                  <a:pt x="894292" y="2003257"/>
                  <a:pt x="783167" y="2005021"/>
                </a:cubicBezTo>
                <a:cubicBezTo>
                  <a:pt x="672042" y="2006785"/>
                  <a:pt x="553861" y="1735146"/>
                  <a:pt x="423333" y="1719271"/>
                </a:cubicBezTo>
                <a:cubicBezTo>
                  <a:pt x="292805" y="1703396"/>
                  <a:pt x="345723" y="2322520"/>
                  <a:pt x="1" y="1909769"/>
                </a:cubicBezTo>
                <a:cubicBezTo>
                  <a:pt x="1" y="1549936"/>
                  <a:pt x="0" y="1190102"/>
                  <a:pt x="0" y="830269"/>
                </a:cubicBezTo>
                <a:close/>
              </a:path>
            </a:pathLst>
          </a:custGeom>
          <a:solidFill>
            <a:srgbClr val="92D05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85" name="Oval 6084" hidden="1"/>
          <xdr:cNvSpPr/>
        </xdr:nvSpPr>
        <xdr:spPr>
          <a:xfrm>
            <a:off x="10424584" y="1841500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86" name="Oval 6085" hidden="1"/>
          <xdr:cNvSpPr/>
        </xdr:nvSpPr>
        <xdr:spPr>
          <a:xfrm>
            <a:off x="11049000" y="1841501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87" name="Oval 6086" hidden="1"/>
          <xdr:cNvSpPr/>
        </xdr:nvSpPr>
        <xdr:spPr>
          <a:xfrm>
            <a:off x="10585871" y="2110486"/>
            <a:ext cx="243417" cy="296335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88" name="Oval 6087" hidden="1"/>
          <xdr:cNvSpPr/>
        </xdr:nvSpPr>
        <xdr:spPr>
          <a:xfrm>
            <a:off x="11206857" y="2127746"/>
            <a:ext cx="243417" cy="296335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6</xdr:col>
      <xdr:colOff>546100</xdr:colOff>
      <xdr:row>12</xdr:row>
      <xdr:rowOff>34925</xdr:rowOff>
    </xdr:from>
    <xdr:to>
      <xdr:col>7</xdr:col>
      <xdr:colOff>190500</xdr:colOff>
      <xdr:row>13</xdr:row>
      <xdr:rowOff>88900</xdr:rowOff>
    </xdr:to>
    <xdr:grpSp>
      <xdr:nvGrpSpPr>
        <xdr:cNvPr id="6089" name="GhGU" hidden="1"/>
        <xdr:cNvGrpSpPr/>
      </xdr:nvGrpSpPr>
      <xdr:grpSpPr>
        <a:xfrm>
          <a:off x="3953933" y="2352675"/>
          <a:ext cx="258234" cy="255058"/>
          <a:chOff x="10248986" y="1449917"/>
          <a:chExt cx="1524000" cy="1846048"/>
        </a:xfrm>
      </xdr:grpSpPr>
      <xdr:sp macro="" textlink="">
        <xdr:nvSpPr>
          <xdr:cNvPr id="6090" name="Freeform 6089" hidden="1"/>
          <xdr:cNvSpPr/>
        </xdr:nvSpPr>
        <xdr:spPr>
          <a:xfrm>
            <a:off x="10248986" y="1449917"/>
            <a:ext cx="1524000" cy="1846048"/>
          </a:xfrm>
          <a:custGeom>
            <a:avLst/>
            <a:gdLst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42334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1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272814 h 1352314"/>
              <a:gd name="connsiteX1" fmla="*/ 1524000 w 1524000"/>
              <a:gd name="connsiteY1" fmla="*/ 272814 h 1352314"/>
              <a:gd name="connsiteX2" fmla="*/ 1524000 w 1524000"/>
              <a:gd name="connsiteY2" fmla="*/ 1341731 h 1352314"/>
              <a:gd name="connsiteX3" fmla="*/ 1 w 1524000"/>
              <a:gd name="connsiteY3" fmla="*/ 1352314 h 1352314"/>
              <a:gd name="connsiteX4" fmla="*/ 0 w 1524000"/>
              <a:gd name="connsiteY4" fmla="*/ 272814 h 1352314"/>
              <a:gd name="connsiteX0" fmla="*/ 0 w 1524000"/>
              <a:gd name="connsiteY0" fmla="*/ 440754 h 1520254"/>
              <a:gd name="connsiteX1" fmla="*/ 1524000 w 1524000"/>
              <a:gd name="connsiteY1" fmla="*/ 440754 h 1520254"/>
              <a:gd name="connsiteX2" fmla="*/ 1524000 w 1524000"/>
              <a:gd name="connsiteY2" fmla="*/ 1509671 h 1520254"/>
              <a:gd name="connsiteX3" fmla="*/ 1 w 1524000"/>
              <a:gd name="connsiteY3" fmla="*/ 1520254 h 1520254"/>
              <a:gd name="connsiteX4" fmla="*/ 0 w 1524000"/>
              <a:gd name="connsiteY4" fmla="*/ 440754 h 1520254"/>
              <a:gd name="connsiteX0" fmla="*/ 0 w 1524000"/>
              <a:gd name="connsiteY0" fmla="*/ 444818 h 1524318"/>
              <a:gd name="connsiteX1" fmla="*/ 1524000 w 1524000"/>
              <a:gd name="connsiteY1" fmla="*/ 444818 h 1524318"/>
              <a:gd name="connsiteX2" fmla="*/ 1524000 w 1524000"/>
              <a:gd name="connsiteY2" fmla="*/ 1513735 h 1524318"/>
              <a:gd name="connsiteX3" fmla="*/ 1 w 1524000"/>
              <a:gd name="connsiteY3" fmla="*/ 1524318 h 1524318"/>
              <a:gd name="connsiteX4" fmla="*/ 0 w 1524000"/>
              <a:gd name="connsiteY4" fmla="*/ 444818 h 1524318"/>
              <a:gd name="connsiteX0" fmla="*/ 0 w 1524000"/>
              <a:gd name="connsiteY0" fmla="*/ 670105 h 1749605"/>
              <a:gd name="connsiteX1" fmla="*/ 1524000 w 1524000"/>
              <a:gd name="connsiteY1" fmla="*/ 670105 h 1749605"/>
              <a:gd name="connsiteX2" fmla="*/ 1524000 w 1524000"/>
              <a:gd name="connsiteY2" fmla="*/ 1739022 h 1749605"/>
              <a:gd name="connsiteX3" fmla="*/ 1 w 1524000"/>
              <a:gd name="connsiteY3" fmla="*/ 1749605 h 1749605"/>
              <a:gd name="connsiteX4" fmla="*/ 0 w 1524000"/>
              <a:gd name="connsiteY4" fmla="*/ 670105 h 1749605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1 w 1524000"/>
              <a:gd name="connsiteY3" fmla="*/ 1909769 h 1909769"/>
              <a:gd name="connsiteX4" fmla="*/ 0 w 1524000"/>
              <a:gd name="connsiteY4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33917 w 1524000"/>
              <a:gd name="connsiteY3" fmla="*/ 1899187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02167 w 1524000"/>
              <a:gd name="connsiteY3" fmla="*/ 1285354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65297"/>
              <a:gd name="connsiteX1" fmla="*/ 1524000 w 1524000"/>
              <a:gd name="connsiteY1" fmla="*/ 830269 h 1965297"/>
              <a:gd name="connsiteX2" fmla="*/ 1524000 w 1524000"/>
              <a:gd name="connsiteY2" fmla="*/ 1899186 h 1965297"/>
              <a:gd name="connsiteX3" fmla="*/ 582084 w 1524000"/>
              <a:gd name="connsiteY3" fmla="*/ 1930937 h 1965297"/>
              <a:gd name="connsiteX4" fmla="*/ 402167 w 1524000"/>
              <a:gd name="connsiteY4" fmla="*/ 1285354 h 1965297"/>
              <a:gd name="connsiteX5" fmla="*/ 1 w 1524000"/>
              <a:gd name="connsiteY5" fmla="*/ 1909769 h 1965297"/>
              <a:gd name="connsiteX6" fmla="*/ 0 w 1524000"/>
              <a:gd name="connsiteY6" fmla="*/ 830269 h 1965297"/>
              <a:gd name="connsiteX0" fmla="*/ 0 w 1524000"/>
              <a:gd name="connsiteY0" fmla="*/ 830269 h 1944723"/>
              <a:gd name="connsiteX1" fmla="*/ 1524000 w 1524000"/>
              <a:gd name="connsiteY1" fmla="*/ 830269 h 1944723"/>
              <a:gd name="connsiteX2" fmla="*/ 1524000 w 1524000"/>
              <a:gd name="connsiteY2" fmla="*/ 1899186 h 1944723"/>
              <a:gd name="connsiteX3" fmla="*/ 1047750 w 1524000"/>
              <a:gd name="connsiteY3" fmla="*/ 1475854 h 1944723"/>
              <a:gd name="connsiteX4" fmla="*/ 582084 w 1524000"/>
              <a:gd name="connsiteY4" fmla="*/ 1930937 h 1944723"/>
              <a:gd name="connsiteX5" fmla="*/ 402167 w 1524000"/>
              <a:gd name="connsiteY5" fmla="*/ 1285354 h 1944723"/>
              <a:gd name="connsiteX6" fmla="*/ 1 w 1524000"/>
              <a:gd name="connsiteY6" fmla="*/ 1909769 h 1944723"/>
              <a:gd name="connsiteX7" fmla="*/ 0 w 1524000"/>
              <a:gd name="connsiteY7" fmla="*/ 830269 h 1944723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402167 w 1524000"/>
              <a:gd name="connsiteY5" fmla="*/ 1285354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12008"/>
              <a:gd name="connsiteX1" fmla="*/ 1524000 w 1524000"/>
              <a:gd name="connsiteY1" fmla="*/ 830269 h 2012008"/>
              <a:gd name="connsiteX2" fmla="*/ 1524000 w 1524000"/>
              <a:gd name="connsiteY2" fmla="*/ 1899186 h 2012008"/>
              <a:gd name="connsiteX3" fmla="*/ 1047750 w 1524000"/>
              <a:gd name="connsiteY3" fmla="*/ 1475854 h 2012008"/>
              <a:gd name="connsiteX4" fmla="*/ 709084 w 1524000"/>
              <a:gd name="connsiteY4" fmla="*/ 1983854 h 2012008"/>
              <a:gd name="connsiteX5" fmla="*/ 359833 w 1524000"/>
              <a:gd name="connsiteY5" fmla="*/ 1465271 h 2012008"/>
              <a:gd name="connsiteX6" fmla="*/ 1 w 1524000"/>
              <a:gd name="connsiteY6" fmla="*/ 1909769 h 2012008"/>
              <a:gd name="connsiteX7" fmla="*/ 0 w 1524000"/>
              <a:gd name="connsiteY7" fmla="*/ 830269 h 2012008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08176"/>
              <a:gd name="connsiteX1" fmla="*/ 1524000 w 1524000"/>
              <a:gd name="connsiteY1" fmla="*/ 830269 h 2008176"/>
              <a:gd name="connsiteX2" fmla="*/ 1524000 w 1524000"/>
              <a:gd name="connsiteY2" fmla="*/ 1899186 h 2008176"/>
              <a:gd name="connsiteX3" fmla="*/ 1047750 w 1524000"/>
              <a:gd name="connsiteY3" fmla="*/ 1475854 h 2008176"/>
              <a:gd name="connsiteX4" fmla="*/ 709084 w 1524000"/>
              <a:gd name="connsiteY4" fmla="*/ 1983854 h 2008176"/>
              <a:gd name="connsiteX5" fmla="*/ 359833 w 1524000"/>
              <a:gd name="connsiteY5" fmla="*/ 1465271 h 2008176"/>
              <a:gd name="connsiteX6" fmla="*/ 1 w 1524000"/>
              <a:gd name="connsiteY6" fmla="*/ 1909769 h 2008176"/>
              <a:gd name="connsiteX7" fmla="*/ 0 w 1524000"/>
              <a:gd name="connsiteY7" fmla="*/ 830269 h 2008176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79500 w 1524000"/>
              <a:gd name="connsiteY3" fmla="*/ 167693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90083 w 1524000"/>
              <a:gd name="connsiteY3" fmla="*/ 170868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524000" h="2051901">
                <a:moveTo>
                  <a:pt x="0" y="830269"/>
                </a:moveTo>
                <a:cubicBezTo>
                  <a:pt x="0" y="-344482"/>
                  <a:pt x="1524000" y="-206897"/>
                  <a:pt x="1524000" y="830269"/>
                </a:cubicBezTo>
                <a:lnTo>
                  <a:pt x="1524000" y="1899186"/>
                </a:lnTo>
                <a:cubicBezTo>
                  <a:pt x="1307042" y="2260783"/>
                  <a:pt x="1213555" y="1691048"/>
                  <a:pt x="1090083" y="1708687"/>
                </a:cubicBezTo>
                <a:cubicBezTo>
                  <a:pt x="966611" y="1726326"/>
                  <a:pt x="894292" y="2003257"/>
                  <a:pt x="783167" y="2005021"/>
                </a:cubicBezTo>
                <a:cubicBezTo>
                  <a:pt x="672042" y="2006785"/>
                  <a:pt x="553861" y="1735146"/>
                  <a:pt x="423333" y="1719271"/>
                </a:cubicBezTo>
                <a:cubicBezTo>
                  <a:pt x="292805" y="1703396"/>
                  <a:pt x="345723" y="2322520"/>
                  <a:pt x="1" y="1909769"/>
                </a:cubicBezTo>
                <a:cubicBezTo>
                  <a:pt x="1" y="1549936"/>
                  <a:pt x="0" y="1190102"/>
                  <a:pt x="0" y="830269"/>
                </a:cubicBezTo>
                <a:close/>
              </a:path>
            </a:pathLst>
          </a:custGeom>
          <a:solidFill>
            <a:srgbClr val="92D05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91" name="Oval 6090" hidden="1"/>
          <xdr:cNvSpPr/>
        </xdr:nvSpPr>
        <xdr:spPr>
          <a:xfrm>
            <a:off x="10424584" y="1841500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92" name="Oval 6091" hidden="1"/>
          <xdr:cNvSpPr/>
        </xdr:nvSpPr>
        <xdr:spPr>
          <a:xfrm>
            <a:off x="11049000" y="1841501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93" name="Oval 6092" hidden="1"/>
          <xdr:cNvSpPr/>
        </xdr:nvSpPr>
        <xdr:spPr>
          <a:xfrm>
            <a:off x="10543836" y="1834323"/>
            <a:ext cx="243417" cy="296335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94" name="Oval 6093" hidden="1"/>
          <xdr:cNvSpPr/>
        </xdr:nvSpPr>
        <xdr:spPr>
          <a:xfrm>
            <a:off x="11178829" y="1834323"/>
            <a:ext cx="243417" cy="296335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6</xdr:col>
      <xdr:colOff>546100</xdr:colOff>
      <xdr:row>12</xdr:row>
      <xdr:rowOff>34925</xdr:rowOff>
    </xdr:from>
    <xdr:to>
      <xdr:col>7</xdr:col>
      <xdr:colOff>190500</xdr:colOff>
      <xdr:row>13</xdr:row>
      <xdr:rowOff>88900</xdr:rowOff>
    </xdr:to>
    <xdr:grpSp>
      <xdr:nvGrpSpPr>
        <xdr:cNvPr id="6095" name="GhGR" hidden="1"/>
        <xdr:cNvGrpSpPr/>
      </xdr:nvGrpSpPr>
      <xdr:grpSpPr>
        <a:xfrm flipH="1">
          <a:off x="3953933" y="2352675"/>
          <a:ext cx="258234" cy="255058"/>
          <a:chOff x="10361083" y="1449917"/>
          <a:chExt cx="1524000" cy="1846048"/>
        </a:xfrm>
      </xdr:grpSpPr>
      <xdr:sp macro="" textlink="">
        <xdr:nvSpPr>
          <xdr:cNvPr id="6096" name="Freeform 6095" hidden="1"/>
          <xdr:cNvSpPr/>
        </xdr:nvSpPr>
        <xdr:spPr>
          <a:xfrm>
            <a:off x="10361083" y="1449917"/>
            <a:ext cx="1524000" cy="1846048"/>
          </a:xfrm>
          <a:custGeom>
            <a:avLst/>
            <a:gdLst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42334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1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272814 h 1352314"/>
              <a:gd name="connsiteX1" fmla="*/ 1524000 w 1524000"/>
              <a:gd name="connsiteY1" fmla="*/ 272814 h 1352314"/>
              <a:gd name="connsiteX2" fmla="*/ 1524000 w 1524000"/>
              <a:gd name="connsiteY2" fmla="*/ 1341731 h 1352314"/>
              <a:gd name="connsiteX3" fmla="*/ 1 w 1524000"/>
              <a:gd name="connsiteY3" fmla="*/ 1352314 h 1352314"/>
              <a:gd name="connsiteX4" fmla="*/ 0 w 1524000"/>
              <a:gd name="connsiteY4" fmla="*/ 272814 h 1352314"/>
              <a:gd name="connsiteX0" fmla="*/ 0 w 1524000"/>
              <a:gd name="connsiteY0" fmla="*/ 440754 h 1520254"/>
              <a:gd name="connsiteX1" fmla="*/ 1524000 w 1524000"/>
              <a:gd name="connsiteY1" fmla="*/ 440754 h 1520254"/>
              <a:gd name="connsiteX2" fmla="*/ 1524000 w 1524000"/>
              <a:gd name="connsiteY2" fmla="*/ 1509671 h 1520254"/>
              <a:gd name="connsiteX3" fmla="*/ 1 w 1524000"/>
              <a:gd name="connsiteY3" fmla="*/ 1520254 h 1520254"/>
              <a:gd name="connsiteX4" fmla="*/ 0 w 1524000"/>
              <a:gd name="connsiteY4" fmla="*/ 440754 h 1520254"/>
              <a:gd name="connsiteX0" fmla="*/ 0 w 1524000"/>
              <a:gd name="connsiteY0" fmla="*/ 444818 h 1524318"/>
              <a:gd name="connsiteX1" fmla="*/ 1524000 w 1524000"/>
              <a:gd name="connsiteY1" fmla="*/ 444818 h 1524318"/>
              <a:gd name="connsiteX2" fmla="*/ 1524000 w 1524000"/>
              <a:gd name="connsiteY2" fmla="*/ 1513735 h 1524318"/>
              <a:gd name="connsiteX3" fmla="*/ 1 w 1524000"/>
              <a:gd name="connsiteY3" fmla="*/ 1524318 h 1524318"/>
              <a:gd name="connsiteX4" fmla="*/ 0 w 1524000"/>
              <a:gd name="connsiteY4" fmla="*/ 444818 h 1524318"/>
              <a:gd name="connsiteX0" fmla="*/ 0 w 1524000"/>
              <a:gd name="connsiteY0" fmla="*/ 670105 h 1749605"/>
              <a:gd name="connsiteX1" fmla="*/ 1524000 w 1524000"/>
              <a:gd name="connsiteY1" fmla="*/ 670105 h 1749605"/>
              <a:gd name="connsiteX2" fmla="*/ 1524000 w 1524000"/>
              <a:gd name="connsiteY2" fmla="*/ 1739022 h 1749605"/>
              <a:gd name="connsiteX3" fmla="*/ 1 w 1524000"/>
              <a:gd name="connsiteY3" fmla="*/ 1749605 h 1749605"/>
              <a:gd name="connsiteX4" fmla="*/ 0 w 1524000"/>
              <a:gd name="connsiteY4" fmla="*/ 670105 h 1749605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1 w 1524000"/>
              <a:gd name="connsiteY3" fmla="*/ 1909769 h 1909769"/>
              <a:gd name="connsiteX4" fmla="*/ 0 w 1524000"/>
              <a:gd name="connsiteY4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33917 w 1524000"/>
              <a:gd name="connsiteY3" fmla="*/ 1899187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02167 w 1524000"/>
              <a:gd name="connsiteY3" fmla="*/ 1285354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65297"/>
              <a:gd name="connsiteX1" fmla="*/ 1524000 w 1524000"/>
              <a:gd name="connsiteY1" fmla="*/ 830269 h 1965297"/>
              <a:gd name="connsiteX2" fmla="*/ 1524000 w 1524000"/>
              <a:gd name="connsiteY2" fmla="*/ 1899186 h 1965297"/>
              <a:gd name="connsiteX3" fmla="*/ 582084 w 1524000"/>
              <a:gd name="connsiteY3" fmla="*/ 1930937 h 1965297"/>
              <a:gd name="connsiteX4" fmla="*/ 402167 w 1524000"/>
              <a:gd name="connsiteY4" fmla="*/ 1285354 h 1965297"/>
              <a:gd name="connsiteX5" fmla="*/ 1 w 1524000"/>
              <a:gd name="connsiteY5" fmla="*/ 1909769 h 1965297"/>
              <a:gd name="connsiteX6" fmla="*/ 0 w 1524000"/>
              <a:gd name="connsiteY6" fmla="*/ 830269 h 1965297"/>
              <a:gd name="connsiteX0" fmla="*/ 0 w 1524000"/>
              <a:gd name="connsiteY0" fmla="*/ 830269 h 1944723"/>
              <a:gd name="connsiteX1" fmla="*/ 1524000 w 1524000"/>
              <a:gd name="connsiteY1" fmla="*/ 830269 h 1944723"/>
              <a:gd name="connsiteX2" fmla="*/ 1524000 w 1524000"/>
              <a:gd name="connsiteY2" fmla="*/ 1899186 h 1944723"/>
              <a:gd name="connsiteX3" fmla="*/ 1047750 w 1524000"/>
              <a:gd name="connsiteY3" fmla="*/ 1475854 h 1944723"/>
              <a:gd name="connsiteX4" fmla="*/ 582084 w 1524000"/>
              <a:gd name="connsiteY4" fmla="*/ 1930937 h 1944723"/>
              <a:gd name="connsiteX5" fmla="*/ 402167 w 1524000"/>
              <a:gd name="connsiteY5" fmla="*/ 1285354 h 1944723"/>
              <a:gd name="connsiteX6" fmla="*/ 1 w 1524000"/>
              <a:gd name="connsiteY6" fmla="*/ 1909769 h 1944723"/>
              <a:gd name="connsiteX7" fmla="*/ 0 w 1524000"/>
              <a:gd name="connsiteY7" fmla="*/ 830269 h 1944723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402167 w 1524000"/>
              <a:gd name="connsiteY5" fmla="*/ 1285354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12008"/>
              <a:gd name="connsiteX1" fmla="*/ 1524000 w 1524000"/>
              <a:gd name="connsiteY1" fmla="*/ 830269 h 2012008"/>
              <a:gd name="connsiteX2" fmla="*/ 1524000 w 1524000"/>
              <a:gd name="connsiteY2" fmla="*/ 1899186 h 2012008"/>
              <a:gd name="connsiteX3" fmla="*/ 1047750 w 1524000"/>
              <a:gd name="connsiteY3" fmla="*/ 1475854 h 2012008"/>
              <a:gd name="connsiteX4" fmla="*/ 709084 w 1524000"/>
              <a:gd name="connsiteY4" fmla="*/ 1983854 h 2012008"/>
              <a:gd name="connsiteX5" fmla="*/ 359833 w 1524000"/>
              <a:gd name="connsiteY5" fmla="*/ 1465271 h 2012008"/>
              <a:gd name="connsiteX6" fmla="*/ 1 w 1524000"/>
              <a:gd name="connsiteY6" fmla="*/ 1909769 h 2012008"/>
              <a:gd name="connsiteX7" fmla="*/ 0 w 1524000"/>
              <a:gd name="connsiteY7" fmla="*/ 830269 h 2012008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08176"/>
              <a:gd name="connsiteX1" fmla="*/ 1524000 w 1524000"/>
              <a:gd name="connsiteY1" fmla="*/ 830269 h 2008176"/>
              <a:gd name="connsiteX2" fmla="*/ 1524000 w 1524000"/>
              <a:gd name="connsiteY2" fmla="*/ 1899186 h 2008176"/>
              <a:gd name="connsiteX3" fmla="*/ 1047750 w 1524000"/>
              <a:gd name="connsiteY3" fmla="*/ 1475854 h 2008176"/>
              <a:gd name="connsiteX4" fmla="*/ 709084 w 1524000"/>
              <a:gd name="connsiteY4" fmla="*/ 1983854 h 2008176"/>
              <a:gd name="connsiteX5" fmla="*/ 359833 w 1524000"/>
              <a:gd name="connsiteY5" fmla="*/ 1465271 h 2008176"/>
              <a:gd name="connsiteX6" fmla="*/ 1 w 1524000"/>
              <a:gd name="connsiteY6" fmla="*/ 1909769 h 2008176"/>
              <a:gd name="connsiteX7" fmla="*/ 0 w 1524000"/>
              <a:gd name="connsiteY7" fmla="*/ 830269 h 2008176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79500 w 1524000"/>
              <a:gd name="connsiteY3" fmla="*/ 167693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90083 w 1524000"/>
              <a:gd name="connsiteY3" fmla="*/ 170868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524000" h="2051901">
                <a:moveTo>
                  <a:pt x="0" y="830269"/>
                </a:moveTo>
                <a:cubicBezTo>
                  <a:pt x="0" y="-344482"/>
                  <a:pt x="1524000" y="-206897"/>
                  <a:pt x="1524000" y="830269"/>
                </a:cubicBezTo>
                <a:lnTo>
                  <a:pt x="1524000" y="1899186"/>
                </a:lnTo>
                <a:cubicBezTo>
                  <a:pt x="1307042" y="2260783"/>
                  <a:pt x="1213555" y="1691048"/>
                  <a:pt x="1090083" y="1708687"/>
                </a:cubicBezTo>
                <a:cubicBezTo>
                  <a:pt x="966611" y="1726326"/>
                  <a:pt x="894292" y="2003257"/>
                  <a:pt x="783167" y="2005021"/>
                </a:cubicBezTo>
                <a:cubicBezTo>
                  <a:pt x="672042" y="2006785"/>
                  <a:pt x="553861" y="1735146"/>
                  <a:pt x="423333" y="1719271"/>
                </a:cubicBezTo>
                <a:cubicBezTo>
                  <a:pt x="292805" y="1703396"/>
                  <a:pt x="345723" y="2322520"/>
                  <a:pt x="1" y="1909769"/>
                </a:cubicBezTo>
                <a:cubicBezTo>
                  <a:pt x="1" y="1549936"/>
                  <a:pt x="0" y="1190102"/>
                  <a:pt x="0" y="830269"/>
                </a:cubicBezTo>
                <a:close/>
              </a:path>
            </a:pathLst>
          </a:custGeom>
          <a:solidFill>
            <a:srgbClr val="92D05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97" name="Oval 6096" hidden="1"/>
          <xdr:cNvSpPr/>
        </xdr:nvSpPr>
        <xdr:spPr>
          <a:xfrm>
            <a:off x="10424584" y="1841500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98" name="Oval 6097" hidden="1"/>
          <xdr:cNvSpPr/>
        </xdr:nvSpPr>
        <xdr:spPr>
          <a:xfrm>
            <a:off x="11049000" y="1841501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99" name="Oval 6098" hidden="1"/>
          <xdr:cNvSpPr/>
        </xdr:nvSpPr>
        <xdr:spPr>
          <a:xfrm>
            <a:off x="10445750" y="1989666"/>
            <a:ext cx="243417" cy="296333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00" name="Oval 6099" hidden="1"/>
          <xdr:cNvSpPr/>
        </xdr:nvSpPr>
        <xdr:spPr>
          <a:xfrm>
            <a:off x="11080750" y="1989667"/>
            <a:ext cx="243417" cy="296333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6</xdr:col>
      <xdr:colOff>38100</xdr:colOff>
      <xdr:row>12</xdr:row>
      <xdr:rowOff>34925</xdr:rowOff>
    </xdr:from>
    <xdr:to>
      <xdr:col>6</xdr:col>
      <xdr:colOff>292100</xdr:colOff>
      <xdr:row>13</xdr:row>
      <xdr:rowOff>88900</xdr:rowOff>
    </xdr:to>
    <xdr:grpSp>
      <xdr:nvGrpSpPr>
        <xdr:cNvPr id="5978" name="GhBL"/>
        <xdr:cNvGrpSpPr/>
      </xdr:nvGrpSpPr>
      <xdr:grpSpPr>
        <a:xfrm>
          <a:off x="3445933" y="2352675"/>
          <a:ext cx="254000" cy="255058"/>
          <a:chOff x="10361083" y="1449917"/>
          <a:chExt cx="1524000" cy="1846048"/>
        </a:xfrm>
      </xdr:grpSpPr>
      <xdr:sp macro="" textlink="">
        <xdr:nvSpPr>
          <xdr:cNvPr id="5969" name="Freeform 5968"/>
          <xdr:cNvSpPr/>
        </xdr:nvSpPr>
        <xdr:spPr>
          <a:xfrm>
            <a:off x="10361083" y="1449917"/>
            <a:ext cx="1524000" cy="1846048"/>
          </a:xfrm>
          <a:custGeom>
            <a:avLst/>
            <a:gdLst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42334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1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272814 h 1352314"/>
              <a:gd name="connsiteX1" fmla="*/ 1524000 w 1524000"/>
              <a:gd name="connsiteY1" fmla="*/ 272814 h 1352314"/>
              <a:gd name="connsiteX2" fmla="*/ 1524000 w 1524000"/>
              <a:gd name="connsiteY2" fmla="*/ 1341731 h 1352314"/>
              <a:gd name="connsiteX3" fmla="*/ 1 w 1524000"/>
              <a:gd name="connsiteY3" fmla="*/ 1352314 h 1352314"/>
              <a:gd name="connsiteX4" fmla="*/ 0 w 1524000"/>
              <a:gd name="connsiteY4" fmla="*/ 272814 h 1352314"/>
              <a:gd name="connsiteX0" fmla="*/ 0 w 1524000"/>
              <a:gd name="connsiteY0" fmla="*/ 440754 h 1520254"/>
              <a:gd name="connsiteX1" fmla="*/ 1524000 w 1524000"/>
              <a:gd name="connsiteY1" fmla="*/ 440754 h 1520254"/>
              <a:gd name="connsiteX2" fmla="*/ 1524000 w 1524000"/>
              <a:gd name="connsiteY2" fmla="*/ 1509671 h 1520254"/>
              <a:gd name="connsiteX3" fmla="*/ 1 w 1524000"/>
              <a:gd name="connsiteY3" fmla="*/ 1520254 h 1520254"/>
              <a:gd name="connsiteX4" fmla="*/ 0 w 1524000"/>
              <a:gd name="connsiteY4" fmla="*/ 440754 h 1520254"/>
              <a:gd name="connsiteX0" fmla="*/ 0 w 1524000"/>
              <a:gd name="connsiteY0" fmla="*/ 444818 h 1524318"/>
              <a:gd name="connsiteX1" fmla="*/ 1524000 w 1524000"/>
              <a:gd name="connsiteY1" fmla="*/ 444818 h 1524318"/>
              <a:gd name="connsiteX2" fmla="*/ 1524000 w 1524000"/>
              <a:gd name="connsiteY2" fmla="*/ 1513735 h 1524318"/>
              <a:gd name="connsiteX3" fmla="*/ 1 w 1524000"/>
              <a:gd name="connsiteY3" fmla="*/ 1524318 h 1524318"/>
              <a:gd name="connsiteX4" fmla="*/ 0 w 1524000"/>
              <a:gd name="connsiteY4" fmla="*/ 444818 h 1524318"/>
              <a:gd name="connsiteX0" fmla="*/ 0 w 1524000"/>
              <a:gd name="connsiteY0" fmla="*/ 670105 h 1749605"/>
              <a:gd name="connsiteX1" fmla="*/ 1524000 w 1524000"/>
              <a:gd name="connsiteY1" fmla="*/ 670105 h 1749605"/>
              <a:gd name="connsiteX2" fmla="*/ 1524000 w 1524000"/>
              <a:gd name="connsiteY2" fmla="*/ 1739022 h 1749605"/>
              <a:gd name="connsiteX3" fmla="*/ 1 w 1524000"/>
              <a:gd name="connsiteY3" fmla="*/ 1749605 h 1749605"/>
              <a:gd name="connsiteX4" fmla="*/ 0 w 1524000"/>
              <a:gd name="connsiteY4" fmla="*/ 670105 h 1749605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1 w 1524000"/>
              <a:gd name="connsiteY3" fmla="*/ 1909769 h 1909769"/>
              <a:gd name="connsiteX4" fmla="*/ 0 w 1524000"/>
              <a:gd name="connsiteY4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33917 w 1524000"/>
              <a:gd name="connsiteY3" fmla="*/ 1899187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02167 w 1524000"/>
              <a:gd name="connsiteY3" fmla="*/ 1285354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65297"/>
              <a:gd name="connsiteX1" fmla="*/ 1524000 w 1524000"/>
              <a:gd name="connsiteY1" fmla="*/ 830269 h 1965297"/>
              <a:gd name="connsiteX2" fmla="*/ 1524000 w 1524000"/>
              <a:gd name="connsiteY2" fmla="*/ 1899186 h 1965297"/>
              <a:gd name="connsiteX3" fmla="*/ 582084 w 1524000"/>
              <a:gd name="connsiteY3" fmla="*/ 1930937 h 1965297"/>
              <a:gd name="connsiteX4" fmla="*/ 402167 w 1524000"/>
              <a:gd name="connsiteY4" fmla="*/ 1285354 h 1965297"/>
              <a:gd name="connsiteX5" fmla="*/ 1 w 1524000"/>
              <a:gd name="connsiteY5" fmla="*/ 1909769 h 1965297"/>
              <a:gd name="connsiteX6" fmla="*/ 0 w 1524000"/>
              <a:gd name="connsiteY6" fmla="*/ 830269 h 1965297"/>
              <a:gd name="connsiteX0" fmla="*/ 0 w 1524000"/>
              <a:gd name="connsiteY0" fmla="*/ 830269 h 1944723"/>
              <a:gd name="connsiteX1" fmla="*/ 1524000 w 1524000"/>
              <a:gd name="connsiteY1" fmla="*/ 830269 h 1944723"/>
              <a:gd name="connsiteX2" fmla="*/ 1524000 w 1524000"/>
              <a:gd name="connsiteY2" fmla="*/ 1899186 h 1944723"/>
              <a:gd name="connsiteX3" fmla="*/ 1047750 w 1524000"/>
              <a:gd name="connsiteY3" fmla="*/ 1475854 h 1944723"/>
              <a:gd name="connsiteX4" fmla="*/ 582084 w 1524000"/>
              <a:gd name="connsiteY4" fmla="*/ 1930937 h 1944723"/>
              <a:gd name="connsiteX5" fmla="*/ 402167 w 1524000"/>
              <a:gd name="connsiteY5" fmla="*/ 1285354 h 1944723"/>
              <a:gd name="connsiteX6" fmla="*/ 1 w 1524000"/>
              <a:gd name="connsiteY6" fmla="*/ 1909769 h 1944723"/>
              <a:gd name="connsiteX7" fmla="*/ 0 w 1524000"/>
              <a:gd name="connsiteY7" fmla="*/ 830269 h 1944723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402167 w 1524000"/>
              <a:gd name="connsiteY5" fmla="*/ 1285354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12008"/>
              <a:gd name="connsiteX1" fmla="*/ 1524000 w 1524000"/>
              <a:gd name="connsiteY1" fmla="*/ 830269 h 2012008"/>
              <a:gd name="connsiteX2" fmla="*/ 1524000 w 1524000"/>
              <a:gd name="connsiteY2" fmla="*/ 1899186 h 2012008"/>
              <a:gd name="connsiteX3" fmla="*/ 1047750 w 1524000"/>
              <a:gd name="connsiteY3" fmla="*/ 1475854 h 2012008"/>
              <a:gd name="connsiteX4" fmla="*/ 709084 w 1524000"/>
              <a:gd name="connsiteY4" fmla="*/ 1983854 h 2012008"/>
              <a:gd name="connsiteX5" fmla="*/ 359833 w 1524000"/>
              <a:gd name="connsiteY5" fmla="*/ 1465271 h 2012008"/>
              <a:gd name="connsiteX6" fmla="*/ 1 w 1524000"/>
              <a:gd name="connsiteY6" fmla="*/ 1909769 h 2012008"/>
              <a:gd name="connsiteX7" fmla="*/ 0 w 1524000"/>
              <a:gd name="connsiteY7" fmla="*/ 830269 h 2012008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08176"/>
              <a:gd name="connsiteX1" fmla="*/ 1524000 w 1524000"/>
              <a:gd name="connsiteY1" fmla="*/ 830269 h 2008176"/>
              <a:gd name="connsiteX2" fmla="*/ 1524000 w 1524000"/>
              <a:gd name="connsiteY2" fmla="*/ 1899186 h 2008176"/>
              <a:gd name="connsiteX3" fmla="*/ 1047750 w 1524000"/>
              <a:gd name="connsiteY3" fmla="*/ 1475854 h 2008176"/>
              <a:gd name="connsiteX4" fmla="*/ 709084 w 1524000"/>
              <a:gd name="connsiteY4" fmla="*/ 1983854 h 2008176"/>
              <a:gd name="connsiteX5" fmla="*/ 359833 w 1524000"/>
              <a:gd name="connsiteY5" fmla="*/ 1465271 h 2008176"/>
              <a:gd name="connsiteX6" fmla="*/ 1 w 1524000"/>
              <a:gd name="connsiteY6" fmla="*/ 1909769 h 2008176"/>
              <a:gd name="connsiteX7" fmla="*/ 0 w 1524000"/>
              <a:gd name="connsiteY7" fmla="*/ 830269 h 2008176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79500 w 1524000"/>
              <a:gd name="connsiteY3" fmla="*/ 167693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90083 w 1524000"/>
              <a:gd name="connsiteY3" fmla="*/ 170868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524000" h="2051901">
                <a:moveTo>
                  <a:pt x="0" y="830269"/>
                </a:moveTo>
                <a:cubicBezTo>
                  <a:pt x="0" y="-344482"/>
                  <a:pt x="1524000" y="-206897"/>
                  <a:pt x="1524000" y="830269"/>
                </a:cubicBezTo>
                <a:lnTo>
                  <a:pt x="1524000" y="1899186"/>
                </a:lnTo>
                <a:cubicBezTo>
                  <a:pt x="1307042" y="2260783"/>
                  <a:pt x="1213555" y="1691048"/>
                  <a:pt x="1090083" y="1708687"/>
                </a:cubicBezTo>
                <a:cubicBezTo>
                  <a:pt x="966611" y="1726326"/>
                  <a:pt x="894292" y="2003257"/>
                  <a:pt x="783167" y="2005021"/>
                </a:cubicBezTo>
                <a:cubicBezTo>
                  <a:pt x="672042" y="2006785"/>
                  <a:pt x="553861" y="1735146"/>
                  <a:pt x="423333" y="1719271"/>
                </a:cubicBezTo>
                <a:cubicBezTo>
                  <a:pt x="292805" y="1703396"/>
                  <a:pt x="345723" y="2322520"/>
                  <a:pt x="1" y="1909769"/>
                </a:cubicBezTo>
                <a:cubicBezTo>
                  <a:pt x="1" y="1549936"/>
                  <a:pt x="0" y="1190102"/>
                  <a:pt x="0" y="830269"/>
                </a:cubicBezTo>
                <a:close/>
              </a:path>
            </a:pathLst>
          </a:cu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70" name="Oval 5969"/>
          <xdr:cNvSpPr/>
        </xdr:nvSpPr>
        <xdr:spPr>
          <a:xfrm>
            <a:off x="10424584" y="1841500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71" name="Oval 5970"/>
          <xdr:cNvSpPr/>
        </xdr:nvSpPr>
        <xdr:spPr>
          <a:xfrm>
            <a:off x="11049000" y="1841501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75" name="Oval 5974"/>
          <xdr:cNvSpPr/>
        </xdr:nvSpPr>
        <xdr:spPr>
          <a:xfrm>
            <a:off x="10445750" y="1989666"/>
            <a:ext cx="243417" cy="296333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77" name="Oval 5976"/>
          <xdr:cNvSpPr/>
        </xdr:nvSpPr>
        <xdr:spPr>
          <a:xfrm>
            <a:off x="11080750" y="1989667"/>
            <a:ext cx="243417" cy="296333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6</xdr:col>
      <xdr:colOff>292100</xdr:colOff>
      <xdr:row>12</xdr:row>
      <xdr:rowOff>34925</xdr:rowOff>
    </xdr:from>
    <xdr:to>
      <xdr:col>6</xdr:col>
      <xdr:colOff>546100</xdr:colOff>
      <xdr:row>13</xdr:row>
      <xdr:rowOff>88900</xdr:rowOff>
    </xdr:to>
    <xdr:grpSp>
      <xdr:nvGrpSpPr>
        <xdr:cNvPr id="6023" name="GhRL"/>
        <xdr:cNvGrpSpPr/>
      </xdr:nvGrpSpPr>
      <xdr:grpSpPr>
        <a:xfrm>
          <a:off x="3699933" y="2352675"/>
          <a:ext cx="254000" cy="255058"/>
          <a:chOff x="10361083" y="1449917"/>
          <a:chExt cx="1524000" cy="1846048"/>
        </a:xfrm>
      </xdr:grpSpPr>
      <xdr:sp macro="" textlink="">
        <xdr:nvSpPr>
          <xdr:cNvPr id="6024" name="Freeform 6023"/>
          <xdr:cNvSpPr/>
        </xdr:nvSpPr>
        <xdr:spPr>
          <a:xfrm>
            <a:off x="10361083" y="1449917"/>
            <a:ext cx="1524000" cy="1846048"/>
          </a:xfrm>
          <a:custGeom>
            <a:avLst/>
            <a:gdLst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42334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1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272814 h 1352314"/>
              <a:gd name="connsiteX1" fmla="*/ 1524000 w 1524000"/>
              <a:gd name="connsiteY1" fmla="*/ 272814 h 1352314"/>
              <a:gd name="connsiteX2" fmla="*/ 1524000 w 1524000"/>
              <a:gd name="connsiteY2" fmla="*/ 1341731 h 1352314"/>
              <a:gd name="connsiteX3" fmla="*/ 1 w 1524000"/>
              <a:gd name="connsiteY3" fmla="*/ 1352314 h 1352314"/>
              <a:gd name="connsiteX4" fmla="*/ 0 w 1524000"/>
              <a:gd name="connsiteY4" fmla="*/ 272814 h 1352314"/>
              <a:gd name="connsiteX0" fmla="*/ 0 w 1524000"/>
              <a:gd name="connsiteY0" fmla="*/ 440754 h 1520254"/>
              <a:gd name="connsiteX1" fmla="*/ 1524000 w 1524000"/>
              <a:gd name="connsiteY1" fmla="*/ 440754 h 1520254"/>
              <a:gd name="connsiteX2" fmla="*/ 1524000 w 1524000"/>
              <a:gd name="connsiteY2" fmla="*/ 1509671 h 1520254"/>
              <a:gd name="connsiteX3" fmla="*/ 1 w 1524000"/>
              <a:gd name="connsiteY3" fmla="*/ 1520254 h 1520254"/>
              <a:gd name="connsiteX4" fmla="*/ 0 w 1524000"/>
              <a:gd name="connsiteY4" fmla="*/ 440754 h 1520254"/>
              <a:gd name="connsiteX0" fmla="*/ 0 w 1524000"/>
              <a:gd name="connsiteY0" fmla="*/ 444818 h 1524318"/>
              <a:gd name="connsiteX1" fmla="*/ 1524000 w 1524000"/>
              <a:gd name="connsiteY1" fmla="*/ 444818 h 1524318"/>
              <a:gd name="connsiteX2" fmla="*/ 1524000 w 1524000"/>
              <a:gd name="connsiteY2" fmla="*/ 1513735 h 1524318"/>
              <a:gd name="connsiteX3" fmla="*/ 1 w 1524000"/>
              <a:gd name="connsiteY3" fmla="*/ 1524318 h 1524318"/>
              <a:gd name="connsiteX4" fmla="*/ 0 w 1524000"/>
              <a:gd name="connsiteY4" fmla="*/ 444818 h 1524318"/>
              <a:gd name="connsiteX0" fmla="*/ 0 w 1524000"/>
              <a:gd name="connsiteY0" fmla="*/ 670105 h 1749605"/>
              <a:gd name="connsiteX1" fmla="*/ 1524000 w 1524000"/>
              <a:gd name="connsiteY1" fmla="*/ 670105 h 1749605"/>
              <a:gd name="connsiteX2" fmla="*/ 1524000 w 1524000"/>
              <a:gd name="connsiteY2" fmla="*/ 1739022 h 1749605"/>
              <a:gd name="connsiteX3" fmla="*/ 1 w 1524000"/>
              <a:gd name="connsiteY3" fmla="*/ 1749605 h 1749605"/>
              <a:gd name="connsiteX4" fmla="*/ 0 w 1524000"/>
              <a:gd name="connsiteY4" fmla="*/ 670105 h 1749605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1 w 1524000"/>
              <a:gd name="connsiteY3" fmla="*/ 1909769 h 1909769"/>
              <a:gd name="connsiteX4" fmla="*/ 0 w 1524000"/>
              <a:gd name="connsiteY4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33917 w 1524000"/>
              <a:gd name="connsiteY3" fmla="*/ 1899187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02167 w 1524000"/>
              <a:gd name="connsiteY3" fmla="*/ 1285354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65297"/>
              <a:gd name="connsiteX1" fmla="*/ 1524000 w 1524000"/>
              <a:gd name="connsiteY1" fmla="*/ 830269 h 1965297"/>
              <a:gd name="connsiteX2" fmla="*/ 1524000 w 1524000"/>
              <a:gd name="connsiteY2" fmla="*/ 1899186 h 1965297"/>
              <a:gd name="connsiteX3" fmla="*/ 582084 w 1524000"/>
              <a:gd name="connsiteY3" fmla="*/ 1930937 h 1965297"/>
              <a:gd name="connsiteX4" fmla="*/ 402167 w 1524000"/>
              <a:gd name="connsiteY4" fmla="*/ 1285354 h 1965297"/>
              <a:gd name="connsiteX5" fmla="*/ 1 w 1524000"/>
              <a:gd name="connsiteY5" fmla="*/ 1909769 h 1965297"/>
              <a:gd name="connsiteX6" fmla="*/ 0 w 1524000"/>
              <a:gd name="connsiteY6" fmla="*/ 830269 h 1965297"/>
              <a:gd name="connsiteX0" fmla="*/ 0 w 1524000"/>
              <a:gd name="connsiteY0" fmla="*/ 830269 h 1944723"/>
              <a:gd name="connsiteX1" fmla="*/ 1524000 w 1524000"/>
              <a:gd name="connsiteY1" fmla="*/ 830269 h 1944723"/>
              <a:gd name="connsiteX2" fmla="*/ 1524000 w 1524000"/>
              <a:gd name="connsiteY2" fmla="*/ 1899186 h 1944723"/>
              <a:gd name="connsiteX3" fmla="*/ 1047750 w 1524000"/>
              <a:gd name="connsiteY3" fmla="*/ 1475854 h 1944723"/>
              <a:gd name="connsiteX4" fmla="*/ 582084 w 1524000"/>
              <a:gd name="connsiteY4" fmla="*/ 1930937 h 1944723"/>
              <a:gd name="connsiteX5" fmla="*/ 402167 w 1524000"/>
              <a:gd name="connsiteY5" fmla="*/ 1285354 h 1944723"/>
              <a:gd name="connsiteX6" fmla="*/ 1 w 1524000"/>
              <a:gd name="connsiteY6" fmla="*/ 1909769 h 1944723"/>
              <a:gd name="connsiteX7" fmla="*/ 0 w 1524000"/>
              <a:gd name="connsiteY7" fmla="*/ 830269 h 1944723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402167 w 1524000"/>
              <a:gd name="connsiteY5" fmla="*/ 1285354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12008"/>
              <a:gd name="connsiteX1" fmla="*/ 1524000 w 1524000"/>
              <a:gd name="connsiteY1" fmla="*/ 830269 h 2012008"/>
              <a:gd name="connsiteX2" fmla="*/ 1524000 w 1524000"/>
              <a:gd name="connsiteY2" fmla="*/ 1899186 h 2012008"/>
              <a:gd name="connsiteX3" fmla="*/ 1047750 w 1524000"/>
              <a:gd name="connsiteY3" fmla="*/ 1475854 h 2012008"/>
              <a:gd name="connsiteX4" fmla="*/ 709084 w 1524000"/>
              <a:gd name="connsiteY4" fmla="*/ 1983854 h 2012008"/>
              <a:gd name="connsiteX5" fmla="*/ 359833 w 1524000"/>
              <a:gd name="connsiteY5" fmla="*/ 1465271 h 2012008"/>
              <a:gd name="connsiteX6" fmla="*/ 1 w 1524000"/>
              <a:gd name="connsiteY6" fmla="*/ 1909769 h 2012008"/>
              <a:gd name="connsiteX7" fmla="*/ 0 w 1524000"/>
              <a:gd name="connsiteY7" fmla="*/ 830269 h 2012008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08176"/>
              <a:gd name="connsiteX1" fmla="*/ 1524000 w 1524000"/>
              <a:gd name="connsiteY1" fmla="*/ 830269 h 2008176"/>
              <a:gd name="connsiteX2" fmla="*/ 1524000 w 1524000"/>
              <a:gd name="connsiteY2" fmla="*/ 1899186 h 2008176"/>
              <a:gd name="connsiteX3" fmla="*/ 1047750 w 1524000"/>
              <a:gd name="connsiteY3" fmla="*/ 1475854 h 2008176"/>
              <a:gd name="connsiteX4" fmla="*/ 709084 w 1524000"/>
              <a:gd name="connsiteY4" fmla="*/ 1983854 h 2008176"/>
              <a:gd name="connsiteX5" fmla="*/ 359833 w 1524000"/>
              <a:gd name="connsiteY5" fmla="*/ 1465271 h 2008176"/>
              <a:gd name="connsiteX6" fmla="*/ 1 w 1524000"/>
              <a:gd name="connsiteY6" fmla="*/ 1909769 h 2008176"/>
              <a:gd name="connsiteX7" fmla="*/ 0 w 1524000"/>
              <a:gd name="connsiteY7" fmla="*/ 830269 h 2008176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79500 w 1524000"/>
              <a:gd name="connsiteY3" fmla="*/ 167693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90083 w 1524000"/>
              <a:gd name="connsiteY3" fmla="*/ 170868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524000" h="2051901">
                <a:moveTo>
                  <a:pt x="0" y="830269"/>
                </a:moveTo>
                <a:cubicBezTo>
                  <a:pt x="0" y="-344482"/>
                  <a:pt x="1524000" y="-206897"/>
                  <a:pt x="1524000" y="830269"/>
                </a:cubicBezTo>
                <a:lnTo>
                  <a:pt x="1524000" y="1899186"/>
                </a:lnTo>
                <a:cubicBezTo>
                  <a:pt x="1307042" y="2260783"/>
                  <a:pt x="1213555" y="1691048"/>
                  <a:pt x="1090083" y="1708687"/>
                </a:cubicBezTo>
                <a:cubicBezTo>
                  <a:pt x="966611" y="1726326"/>
                  <a:pt x="894292" y="2003257"/>
                  <a:pt x="783167" y="2005021"/>
                </a:cubicBezTo>
                <a:cubicBezTo>
                  <a:pt x="672042" y="2006785"/>
                  <a:pt x="553861" y="1735146"/>
                  <a:pt x="423333" y="1719271"/>
                </a:cubicBezTo>
                <a:cubicBezTo>
                  <a:pt x="292805" y="1703396"/>
                  <a:pt x="345723" y="2322520"/>
                  <a:pt x="1" y="1909769"/>
                </a:cubicBezTo>
                <a:cubicBezTo>
                  <a:pt x="1" y="1549936"/>
                  <a:pt x="0" y="1190102"/>
                  <a:pt x="0" y="830269"/>
                </a:cubicBezTo>
                <a:close/>
              </a:path>
            </a:pathLst>
          </a:custGeom>
          <a:solidFill>
            <a:srgbClr val="FF0000"/>
          </a:solidFill>
          <a:ln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25" name="Oval 6024"/>
          <xdr:cNvSpPr/>
        </xdr:nvSpPr>
        <xdr:spPr>
          <a:xfrm>
            <a:off x="10424584" y="1841500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26" name="Oval 6025"/>
          <xdr:cNvSpPr/>
        </xdr:nvSpPr>
        <xdr:spPr>
          <a:xfrm>
            <a:off x="11049000" y="1841501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27" name="Oval 6026"/>
          <xdr:cNvSpPr/>
        </xdr:nvSpPr>
        <xdr:spPr>
          <a:xfrm>
            <a:off x="10445750" y="1989666"/>
            <a:ext cx="243417" cy="296333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28" name="Oval 6027"/>
          <xdr:cNvSpPr/>
        </xdr:nvSpPr>
        <xdr:spPr>
          <a:xfrm>
            <a:off x="11080750" y="1989667"/>
            <a:ext cx="243417" cy="296333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7</xdr:col>
      <xdr:colOff>254000</xdr:colOff>
      <xdr:row>12</xdr:row>
      <xdr:rowOff>34925</xdr:rowOff>
    </xdr:from>
    <xdr:to>
      <xdr:col>7</xdr:col>
      <xdr:colOff>508000</xdr:colOff>
      <xdr:row>13</xdr:row>
      <xdr:rowOff>88900</xdr:rowOff>
    </xdr:to>
    <xdr:grpSp>
      <xdr:nvGrpSpPr>
        <xdr:cNvPr id="6053" name="GhPL"/>
        <xdr:cNvGrpSpPr/>
      </xdr:nvGrpSpPr>
      <xdr:grpSpPr>
        <a:xfrm>
          <a:off x="4275667" y="2352675"/>
          <a:ext cx="254000" cy="255058"/>
          <a:chOff x="10361083" y="1449917"/>
          <a:chExt cx="1524000" cy="1846048"/>
        </a:xfrm>
      </xdr:grpSpPr>
      <xdr:sp macro="" textlink="">
        <xdr:nvSpPr>
          <xdr:cNvPr id="6054" name="Freeform 6053"/>
          <xdr:cNvSpPr/>
        </xdr:nvSpPr>
        <xdr:spPr>
          <a:xfrm>
            <a:off x="10361083" y="1449917"/>
            <a:ext cx="1524000" cy="1846048"/>
          </a:xfrm>
          <a:custGeom>
            <a:avLst/>
            <a:gdLst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42334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1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272814 h 1352314"/>
              <a:gd name="connsiteX1" fmla="*/ 1524000 w 1524000"/>
              <a:gd name="connsiteY1" fmla="*/ 272814 h 1352314"/>
              <a:gd name="connsiteX2" fmla="*/ 1524000 w 1524000"/>
              <a:gd name="connsiteY2" fmla="*/ 1341731 h 1352314"/>
              <a:gd name="connsiteX3" fmla="*/ 1 w 1524000"/>
              <a:gd name="connsiteY3" fmla="*/ 1352314 h 1352314"/>
              <a:gd name="connsiteX4" fmla="*/ 0 w 1524000"/>
              <a:gd name="connsiteY4" fmla="*/ 272814 h 1352314"/>
              <a:gd name="connsiteX0" fmla="*/ 0 w 1524000"/>
              <a:gd name="connsiteY0" fmla="*/ 440754 h 1520254"/>
              <a:gd name="connsiteX1" fmla="*/ 1524000 w 1524000"/>
              <a:gd name="connsiteY1" fmla="*/ 440754 h 1520254"/>
              <a:gd name="connsiteX2" fmla="*/ 1524000 w 1524000"/>
              <a:gd name="connsiteY2" fmla="*/ 1509671 h 1520254"/>
              <a:gd name="connsiteX3" fmla="*/ 1 w 1524000"/>
              <a:gd name="connsiteY3" fmla="*/ 1520254 h 1520254"/>
              <a:gd name="connsiteX4" fmla="*/ 0 w 1524000"/>
              <a:gd name="connsiteY4" fmla="*/ 440754 h 1520254"/>
              <a:gd name="connsiteX0" fmla="*/ 0 w 1524000"/>
              <a:gd name="connsiteY0" fmla="*/ 444818 h 1524318"/>
              <a:gd name="connsiteX1" fmla="*/ 1524000 w 1524000"/>
              <a:gd name="connsiteY1" fmla="*/ 444818 h 1524318"/>
              <a:gd name="connsiteX2" fmla="*/ 1524000 w 1524000"/>
              <a:gd name="connsiteY2" fmla="*/ 1513735 h 1524318"/>
              <a:gd name="connsiteX3" fmla="*/ 1 w 1524000"/>
              <a:gd name="connsiteY3" fmla="*/ 1524318 h 1524318"/>
              <a:gd name="connsiteX4" fmla="*/ 0 w 1524000"/>
              <a:gd name="connsiteY4" fmla="*/ 444818 h 1524318"/>
              <a:gd name="connsiteX0" fmla="*/ 0 w 1524000"/>
              <a:gd name="connsiteY0" fmla="*/ 670105 h 1749605"/>
              <a:gd name="connsiteX1" fmla="*/ 1524000 w 1524000"/>
              <a:gd name="connsiteY1" fmla="*/ 670105 h 1749605"/>
              <a:gd name="connsiteX2" fmla="*/ 1524000 w 1524000"/>
              <a:gd name="connsiteY2" fmla="*/ 1739022 h 1749605"/>
              <a:gd name="connsiteX3" fmla="*/ 1 w 1524000"/>
              <a:gd name="connsiteY3" fmla="*/ 1749605 h 1749605"/>
              <a:gd name="connsiteX4" fmla="*/ 0 w 1524000"/>
              <a:gd name="connsiteY4" fmla="*/ 670105 h 1749605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1 w 1524000"/>
              <a:gd name="connsiteY3" fmla="*/ 1909769 h 1909769"/>
              <a:gd name="connsiteX4" fmla="*/ 0 w 1524000"/>
              <a:gd name="connsiteY4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33917 w 1524000"/>
              <a:gd name="connsiteY3" fmla="*/ 1899187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02167 w 1524000"/>
              <a:gd name="connsiteY3" fmla="*/ 1285354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65297"/>
              <a:gd name="connsiteX1" fmla="*/ 1524000 w 1524000"/>
              <a:gd name="connsiteY1" fmla="*/ 830269 h 1965297"/>
              <a:gd name="connsiteX2" fmla="*/ 1524000 w 1524000"/>
              <a:gd name="connsiteY2" fmla="*/ 1899186 h 1965297"/>
              <a:gd name="connsiteX3" fmla="*/ 582084 w 1524000"/>
              <a:gd name="connsiteY3" fmla="*/ 1930937 h 1965297"/>
              <a:gd name="connsiteX4" fmla="*/ 402167 w 1524000"/>
              <a:gd name="connsiteY4" fmla="*/ 1285354 h 1965297"/>
              <a:gd name="connsiteX5" fmla="*/ 1 w 1524000"/>
              <a:gd name="connsiteY5" fmla="*/ 1909769 h 1965297"/>
              <a:gd name="connsiteX6" fmla="*/ 0 w 1524000"/>
              <a:gd name="connsiteY6" fmla="*/ 830269 h 1965297"/>
              <a:gd name="connsiteX0" fmla="*/ 0 w 1524000"/>
              <a:gd name="connsiteY0" fmla="*/ 830269 h 1944723"/>
              <a:gd name="connsiteX1" fmla="*/ 1524000 w 1524000"/>
              <a:gd name="connsiteY1" fmla="*/ 830269 h 1944723"/>
              <a:gd name="connsiteX2" fmla="*/ 1524000 w 1524000"/>
              <a:gd name="connsiteY2" fmla="*/ 1899186 h 1944723"/>
              <a:gd name="connsiteX3" fmla="*/ 1047750 w 1524000"/>
              <a:gd name="connsiteY3" fmla="*/ 1475854 h 1944723"/>
              <a:gd name="connsiteX4" fmla="*/ 582084 w 1524000"/>
              <a:gd name="connsiteY4" fmla="*/ 1930937 h 1944723"/>
              <a:gd name="connsiteX5" fmla="*/ 402167 w 1524000"/>
              <a:gd name="connsiteY5" fmla="*/ 1285354 h 1944723"/>
              <a:gd name="connsiteX6" fmla="*/ 1 w 1524000"/>
              <a:gd name="connsiteY6" fmla="*/ 1909769 h 1944723"/>
              <a:gd name="connsiteX7" fmla="*/ 0 w 1524000"/>
              <a:gd name="connsiteY7" fmla="*/ 830269 h 1944723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402167 w 1524000"/>
              <a:gd name="connsiteY5" fmla="*/ 1285354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12008"/>
              <a:gd name="connsiteX1" fmla="*/ 1524000 w 1524000"/>
              <a:gd name="connsiteY1" fmla="*/ 830269 h 2012008"/>
              <a:gd name="connsiteX2" fmla="*/ 1524000 w 1524000"/>
              <a:gd name="connsiteY2" fmla="*/ 1899186 h 2012008"/>
              <a:gd name="connsiteX3" fmla="*/ 1047750 w 1524000"/>
              <a:gd name="connsiteY3" fmla="*/ 1475854 h 2012008"/>
              <a:gd name="connsiteX4" fmla="*/ 709084 w 1524000"/>
              <a:gd name="connsiteY4" fmla="*/ 1983854 h 2012008"/>
              <a:gd name="connsiteX5" fmla="*/ 359833 w 1524000"/>
              <a:gd name="connsiteY5" fmla="*/ 1465271 h 2012008"/>
              <a:gd name="connsiteX6" fmla="*/ 1 w 1524000"/>
              <a:gd name="connsiteY6" fmla="*/ 1909769 h 2012008"/>
              <a:gd name="connsiteX7" fmla="*/ 0 w 1524000"/>
              <a:gd name="connsiteY7" fmla="*/ 830269 h 2012008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08176"/>
              <a:gd name="connsiteX1" fmla="*/ 1524000 w 1524000"/>
              <a:gd name="connsiteY1" fmla="*/ 830269 h 2008176"/>
              <a:gd name="connsiteX2" fmla="*/ 1524000 w 1524000"/>
              <a:gd name="connsiteY2" fmla="*/ 1899186 h 2008176"/>
              <a:gd name="connsiteX3" fmla="*/ 1047750 w 1524000"/>
              <a:gd name="connsiteY3" fmla="*/ 1475854 h 2008176"/>
              <a:gd name="connsiteX4" fmla="*/ 709084 w 1524000"/>
              <a:gd name="connsiteY4" fmla="*/ 1983854 h 2008176"/>
              <a:gd name="connsiteX5" fmla="*/ 359833 w 1524000"/>
              <a:gd name="connsiteY5" fmla="*/ 1465271 h 2008176"/>
              <a:gd name="connsiteX6" fmla="*/ 1 w 1524000"/>
              <a:gd name="connsiteY6" fmla="*/ 1909769 h 2008176"/>
              <a:gd name="connsiteX7" fmla="*/ 0 w 1524000"/>
              <a:gd name="connsiteY7" fmla="*/ 830269 h 2008176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79500 w 1524000"/>
              <a:gd name="connsiteY3" fmla="*/ 167693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90083 w 1524000"/>
              <a:gd name="connsiteY3" fmla="*/ 170868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524000" h="2051901">
                <a:moveTo>
                  <a:pt x="0" y="830269"/>
                </a:moveTo>
                <a:cubicBezTo>
                  <a:pt x="0" y="-344482"/>
                  <a:pt x="1524000" y="-206897"/>
                  <a:pt x="1524000" y="830269"/>
                </a:cubicBezTo>
                <a:lnTo>
                  <a:pt x="1524000" y="1899186"/>
                </a:lnTo>
                <a:cubicBezTo>
                  <a:pt x="1307042" y="2260783"/>
                  <a:pt x="1213555" y="1691048"/>
                  <a:pt x="1090083" y="1708687"/>
                </a:cubicBezTo>
                <a:cubicBezTo>
                  <a:pt x="966611" y="1726326"/>
                  <a:pt x="894292" y="2003257"/>
                  <a:pt x="783167" y="2005021"/>
                </a:cubicBezTo>
                <a:cubicBezTo>
                  <a:pt x="672042" y="2006785"/>
                  <a:pt x="553861" y="1735146"/>
                  <a:pt x="423333" y="1719271"/>
                </a:cubicBezTo>
                <a:cubicBezTo>
                  <a:pt x="292805" y="1703396"/>
                  <a:pt x="345723" y="2322520"/>
                  <a:pt x="1" y="1909769"/>
                </a:cubicBezTo>
                <a:cubicBezTo>
                  <a:pt x="1" y="1549936"/>
                  <a:pt x="0" y="1190102"/>
                  <a:pt x="0" y="830269"/>
                </a:cubicBezTo>
                <a:close/>
              </a:path>
            </a:pathLst>
          </a:custGeom>
          <a:solidFill>
            <a:srgbClr val="FF66CC"/>
          </a:solidFill>
          <a:ln>
            <a:solidFill>
              <a:srgbClr val="CC00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55" name="Oval 6054"/>
          <xdr:cNvSpPr/>
        </xdr:nvSpPr>
        <xdr:spPr>
          <a:xfrm>
            <a:off x="10424584" y="1841500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56" name="Oval 6055"/>
          <xdr:cNvSpPr/>
        </xdr:nvSpPr>
        <xdr:spPr>
          <a:xfrm>
            <a:off x="11049000" y="1841501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57" name="Oval 6056"/>
          <xdr:cNvSpPr/>
        </xdr:nvSpPr>
        <xdr:spPr>
          <a:xfrm>
            <a:off x="10445750" y="1989666"/>
            <a:ext cx="243417" cy="296333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58" name="Oval 6057"/>
          <xdr:cNvSpPr/>
        </xdr:nvSpPr>
        <xdr:spPr>
          <a:xfrm>
            <a:off x="11080750" y="1989667"/>
            <a:ext cx="243417" cy="296333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6</xdr:col>
      <xdr:colOff>546100</xdr:colOff>
      <xdr:row>12</xdr:row>
      <xdr:rowOff>34925</xdr:rowOff>
    </xdr:from>
    <xdr:to>
      <xdr:col>7</xdr:col>
      <xdr:colOff>190500</xdr:colOff>
      <xdr:row>13</xdr:row>
      <xdr:rowOff>88900</xdr:rowOff>
    </xdr:to>
    <xdr:grpSp>
      <xdr:nvGrpSpPr>
        <xdr:cNvPr id="6077" name="GhGL"/>
        <xdr:cNvGrpSpPr/>
      </xdr:nvGrpSpPr>
      <xdr:grpSpPr>
        <a:xfrm>
          <a:off x="3953933" y="2352675"/>
          <a:ext cx="258234" cy="255058"/>
          <a:chOff x="10361083" y="1449917"/>
          <a:chExt cx="1524000" cy="1846048"/>
        </a:xfrm>
      </xdr:grpSpPr>
      <xdr:sp macro="" textlink="">
        <xdr:nvSpPr>
          <xdr:cNvPr id="6078" name="Freeform 6077"/>
          <xdr:cNvSpPr/>
        </xdr:nvSpPr>
        <xdr:spPr>
          <a:xfrm>
            <a:off x="10361083" y="1449917"/>
            <a:ext cx="1524000" cy="1846048"/>
          </a:xfrm>
          <a:custGeom>
            <a:avLst/>
            <a:gdLst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42334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0 h 1079500"/>
              <a:gd name="connsiteX1" fmla="*/ 1524000 w 1524000"/>
              <a:gd name="connsiteY1" fmla="*/ 0 h 1079500"/>
              <a:gd name="connsiteX2" fmla="*/ 1524000 w 1524000"/>
              <a:gd name="connsiteY2" fmla="*/ 1068917 h 1079500"/>
              <a:gd name="connsiteX3" fmla="*/ 1 w 1524000"/>
              <a:gd name="connsiteY3" fmla="*/ 1079500 h 1079500"/>
              <a:gd name="connsiteX4" fmla="*/ 0 w 1524000"/>
              <a:gd name="connsiteY4" fmla="*/ 0 h 1079500"/>
              <a:gd name="connsiteX0" fmla="*/ 0 w 1524000"/>
              <a:gd name="connsiteY0" fmla="*/ 272814 h 1352314"/>
              <a:gd name="connsiteX1" fmla="*/ 1524000 w 1524000"/>
              <a:gd name="connsiteY1" fmla="*/ 272814 h 1352314"/>
              <a:gd name="connsiteX2" fmla="*/ 1524000 w 1524000"/>
              <a:gd name="connsiteY2" fmla="*/ 1341731 h 1352314"/>
              <a:gd name="connsiteX3" fmla="*/ 1 w 1524000"/>
              <a:gd name="connsiteY3" fmla="*/ 1352314 h 1352314"/>
              <a:gd name="connsiteX4" fmla="*/ 0 w 1524000"/>
              <a:gd name="connsiteY4" fmla="*/ 272814 h 1352314"/>
              <a:gd name="connsiteX0" fmla="*/ 0 w 1524000"/>
              <a:gd name="connsiteY0" fmla="*/ 440754 h 1520254"/>
              <a:gd name="connsiteX1" fmla="*/ 1524000 w 1524000"/>
              <a:gd name="connsiteY1" fmla="*/ 440754 h 1520254"/>
              <a:gd name="connsiteX2" fmla="*/ 1524000 w 1524000"/>
              <a:gd name="connsiteY2" fmla="*/ 1509671 h 1520254"/>
              <a:gd name="connsiteX3" fmla="*/ 1 w 1524000"/>
              <a:gd name="connsiteY3" fmla="*/ 1520254 h 1520254"/>
              <a:gd name="connsiteX4" fmla="*/ 0 w 1524000"/>
              <a:gd name="connsiteY4" fmla="*/ 440754 h 1520254"/>
              <a:gd name="connsiteX0" fmla="*/ 0 w 1524000"/>
              <a:gd name="connsiteY0" fmla="*/ 444818 h 1524318"/>
              <a:gd name="connsiteX1" fmla="*/ 1524000 w 1524000"/>
              <a:gd name="connsiteY1" fmla="*/ 444818 h 1524318"/>
              <a:gd name="connsiteX2" fmla="*/ 1524000 w 1524000"/>
              <a:gd name="connsiteY2" fmla="*/ 1513735 h 1524318"/>
              <a:gd name="connsiteX3" fmla="*/ 1 w 1524000"/>
              <a:gd name="connsiteY3" fmla="*/ 1524318 h 1524318"/>
              <a:gd name="connsiteX4" fmla="*/ 0 w 1524000"/>
              <a:gd name="connsiteY4" fmla="*/ 444818 h 1524318"/>
              <a:gd name="connsiteX0" fmla="*/ 0 w 1524000"/>
              <a:gd name="connsiteY0" fmla="*/ 670105 h 1749605"/>
              <a:gd name="connsiteX1" fmla="*/ 1524000 w 1524000"/>
              <a:gd name="connsiteY1" fmla="*/ 670105 h 1749605"/>
              <a:gd name="connsiteX2" fmla="*/ 1524000 w 1524000"/>
              <a:gd name="connsiteY2" fmla="*/ 1739022 h 1749605"/>
              <a:gd name="connsiteX3" fmla="*/ 1 w 1524000"/>
              <a:gd name="connsiteY3" fmla="*/ 1749605 h 1749605"/>
              <a:gd name="connsiteX4" fmla="*/ 0 w 1524000"/>
              <a:gd name="connsiteY4" fmla="*/ 670105 h 1749605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1 w 1524000"/>
              <a:gd name="connsiteY3" fmla="*/ 1909769 h 1909769"/>
              <a:gd name="connsiteX4" fmla="*/ 0 w 1524000"/>
              <a:gd name="connsiteY4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33917 w 1524000"/>
              <a:gd name="connsiteY3" fmla="*/ 1899187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09769"/>
              <a:gd name="connsiteX1" fmla="*/ 1524000 w 1524000"/>
              <a:gd name="connsiteY1" fmla="*/ 830269 h 1909769"/>
              <a:gd name="connsiteX2" fmla="*/ 1524000 w 1524000"/>
              <a:gd name="connsiteY2" fmla="*/ 1899186 h 1909769"/>
              <a:gd name="connsiteX3" fmla="*/ 402167 w 1524000"/>
              <a:gd name="connsiteY3" fmla="*/ 1285354 h 1909769"/>
              <a:gd name="connsiteX4" fmla="*/ 1 w 1524000"/>
              <a:gd name="connsiteY4" fmla="*/ 1909769 h 1909769"/>
              <a:gd name="connsiteX5" fmla="*/ 0 w 1524000"/>
              <a:gd name="connsiteY5" fmla="*/ 830269 h 1909769"/>
              <a:gd name="connsiteX0" fmla="*/ 0 w 1524000"/>
              <a:gd name="connsiteY0" fmla="*/ 830269 h 1965297"/>
              <a:gd name="connsiteX1" fmla="*/ 1524000 w 1524000"/>
              <a:gd name="connsiteY1" fmla="*/ 830269 h 1965297"/>
              <a:gd name="connsiteX2" fmla="*/ 1524000 w 1524000"/>
              <a:gd name="connsiteY2" fmla="*/ 1899186 h 1965297"/>
              <a:gd name="connsiteX3" fmla="*/ 582084 w 1524000"/>
              <a:gd name="connsiteY3" fmla="*/ 1930937 h 1965297"/>
              <a:gd name="connsiteX4" fmla="*/ 402167 w 1524000"/>
              <a:gd name="connsiteY4" fmla="*/ 1285354 h 1965297"/>
              <a:gd name="connsiteX5" fmla="*/ 1 w 1524000"/>
              <a:gd name="connsiteY5" fmla="*/ 1909769 h 1965297"/>
              <a:gd name="connsiteX6" fmla="*/ 0 w 1524000"/>
              <a:gd name="connsiteY6" fmla="*/ 830269 h 1965297"/>
              <a:gd name="connsiteX0" fmla="*/ 0 w 1524000"/>
              <a:gd name="connsiteY0" fmla="*/ 830269 h 1944723"/>
              <a:gd name="connsiteX1" fmla="*/ 1524000 w 1524000"/>
              <a:gd name="connsiteY1" fmla="*/ 830269 h 1944723"/>
              <a:gd name="connsiteX2" fmla="*/ 1524000 w 1524000"/>
              <a:gd name="connsiteY2" fmla="*/ 1899186 h 1944723"/>
              <a:gd name="connsiteX3" fmla="*/ 1047750 w 1524000"/>
              <a:gd name="connsiteY3" fmla="*/ 1475854 h 1944723"/>
              <a:gd name="connsiteX4" fmla="*/ 582084 w 1524000"/>
              <a:gd name="connsiteY4" fmla="*/ 1930937 h 1944723"/>
              <a:gd name="connsiteX5" fmla="*/ 402167 w 1524000"/>
              <a:gd name="connsiteY5" fmla="*/ 1285354 h 1944723"/>
              <a:gd name="connsiteX6" fmla="*/ 1 w 1524000"/>
              <a:gd name="connsiteY6" fmla="*/ 1909769 h 1944723"/>
              <a:gd name="connsiteX7" fmla="*/ 0 w 1524000"/>
              <a:gd name="connsiteY7" fmla="*/ 830269 h 1944723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402167 w 1524000"/>
              <a:gd name="connsiteY5" fmla="*/ 1285354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12008"/>
              <a:gd name="connsiteX1" fmla="*/ 1524000 w 1524000"/>
              <a:gd name="connsiteY1" fmla="*/ 830269 h 2012008"/>
              <a:gd name="connsiteX2" fmla="*/ 1524000 w 1524000"/>
              <a:gd name="connsiteY2" fmla="*/ 1899186 h 2012008"/>
              <a:gd name="connsiteX3" fmla="*/ 1047750 w 1524000"/>
              <a:gd name="connsiteY3" fmla="*/ 1475854 h 2012008"/>
              <a:gd name="connsiteX4" fmla="*/ 709084 w 1524000"/>
              <a:gd name="connsiteY4" fmla="*/ 1983854 h 2012008"/>
              <a:gd name="connsiteX5" fmla="*/ 359833 w 1524000"/>
              <a:gd name="connsiteY5" fmla="*/ 1465271 h 2012008"/>
              <a:gd name="connsiteX6" fmla="*/ 1 w 1524000"/>
              <a:gd name="connsiteY6" fmla="*/ 1909769 h 2012008"/>
              <a:gd name="connsiteX7" fmla="*/ 0 w 1524000"/>
              <a:gd name="connsiteY7" fmla="*/ 830269 h 2012008"/>
              <a:gd name="connsiteX0" fmla="*/ 0 w 1524000"/>
              <a:gd name="connsiteY0" fmla="*/ 830269 h 1996572"/>
              <a:gd name="connsiteX1" fmla="*/ 1524000 w 1524000"/>
              <a:gd name="connsiteY1" fmla="*/ 830269 h 1996572"/>
              <a:gd name="connsiteX2" fmla="*/ 1524000 w 1524000"/>
              <a:gd name="connsiteY2" fmla="*/ 1899186 h 1996572"/>
              <a:gd name="connsiteX3" fmla="*/ 1047750 w 1524000"/>
              <a:gd name="connsiteY3" fmla="*/ 1475854 h 1996572"/>
              <a:gd name="connsiteX4" fmla="*/ 709084 w 1524000"/>
              <a:gd name="connsiteY4" fmla="*/ 1983854 h 1996572"/>
              <a:gd name="connsiteX5" fmla="*/ 359833 w 1524000"/>
              <a:gd name="connsiteY5" fmla="*/ 1465271 h 1996572"/>
              <a:gd name="connsiteX6" fmla="*/ 1 w 1524000"/>
              <a:gd name="connsiteY6" fmla="*/ 1909769 h 1996572"/>
              <a:gd name="connsiteX7" fmla="*/ 0 w 1524000"/>
              <a:gd name="connsiteY7" fmla="*/ 830269 h 1996572"/>
              <a:gd name="connsiteX0" fmla="*/ 0 w 1524000"/>
              <a:gd name="connsiteY0" fmla="*/ 830269 h 2008176"/>
              <a:gd name="connsiteX1" fmla="*/ 1524000 w 1524000"/>
              <a:gd name="connsiteY1" fmla="*/ 830269 h 2008176"/>
              <a:gd name="connsiteX2" fmla="*/ 1524000 w 1524000"/>
              <a:gd name="connsiteY2" fmla="*/ 1899186 h 2008176"/>
              <a:gd name="connsiteX3" fmla="*/ 1047750 w 1524000"/>
              <a:gd name="connsiteY3" fmla="*/ 1475854 h 2008176"/>
              <a:gd name="connsiteX4" fmla="*/ 709084 w 1524000"/>
              <a:gd name="connsiteY4" fmla="*/ 1983854 h 2008176"/>
              <a:gd name="connsiteX5" fmla="*/ 359833 w 1524000"/>
              <a:gd name="connsiteY5" fmla="*/ 1465271 h 2008176"/>
              <a:gd name="connsiteX6" fmla="*/ 1 w 1524000"/>
              <a:gd name="connsiteY6" fmla="*/ 1909769 h 2008176"/>
              <a:gd name="connsiteX7" fmla="*/ 0 w 1524000"/>
              <a:gd name="connsiteY7" fmla="*/ 830269 h 2008176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32374"/>
              <a:gd name="connsiteX1" fmla="*/ 1524000 w 1524000"/>
              <a:gd name="connsiteY1" fmla="*/ 830269 h 2032374"/>
              <a:gd name="connsiteX2" fmla="*/ 1524000 w 1524000"/>
              <a:gd name="connsiteY2" fmla="*/ 1899186 h 2032374"/>
              <a:gd name="connsiteX3" fmla="*/ 1047750 w 1524000"/>
              <a:gd name="connsiteY3" fmla="*/ 1475854 h 2032374"/>
              <a:gd name="connsiteX4" fmla="*/ 709084 w 1524000"/>
              <a:gd name="connsiteY4" fmla="*/ 1983854 h 2032374"/>
              <a:gd name="connsiteX5" fmla="*/ 423333 w 1524000"/>
              <a:gd name="connsiteY5" fmla="*/ 1719271 h 2032374"/>
              <a:gd name="connsiteX6" fmla="*/ 1 w 1524000"/>
              <a:gd name="connsiteY6" fmla="*/ 1909769 h 2032374"/>
              <a:gd name="connsiteX7" fmla="*/ 0 w 1524000"/>
              <a:gd name="connsiteY7" fmla="*/ 830269 h 2032374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47750 w 1524000"/>
              <a:gd name="connsiteY3" fmla="*/ 1475854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5207"/>
              <a:gd name="connsiteX1" fmla="*/ 1524000 w 1524000"/>
              <a:gd name="connsiteY1" fmla="*/ 830269 h 2055207"/>
              <a:gd name="connsiteX2" fmla="*/ 1524000 w 1524000"/>
              <a:gd name="connsiteY2" fmla="*/ 1899186 h 2055207"/>
              <a:gd name="connsiteX3" fmla="*/ 1079500 w 1524000"/>
              <a:gd name="connsiteY3" fmla="*/ 1676937 h 2055207"/>
              <a:gd name="connsiteX4" fmla="*/ 709084 w 1524000"/>
              <a:gd name="connsiteY4" fmla="*/ 1983854 h 2055207"/>
              <a:gd name="connsiteX5" fmla="*/ 423333 w 1524000"/>
              <a:gd name="connsiteY5" fmla="*/ 1719271 h 2055207"/>
              <a:gd name="connsiteX6" fmla="*/ 1 w 1524000"/>
              <a:gd name="connsiteY6" fmla="*/ 1909769 h 2055207"/>
              <a:gd name="connsiteX7" fmla="*/ 0 w 1524000"/>
              <a:gd name="connsiteY7" fmla="*/ 830269 h 2055207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79500 w 1524000"/>
              <a:gd name="connsiteY3" fmla="*/ 167693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  <a:gd name="connsiteX0" fmla="*/ 0 w 1524000"/>
              <a:gd name="connsiteY0" fmla="*/ 830269 h 2051901"/>
              <a:gd name="connsiteX1" fmla="*/ 1524000 w 1524000"/>
              <a:gd name="connsiteY1" fmla="*/ 830269 h 2051901"/>
              <a:gd name="connsiteX2" fmla="*/ 1524000 w 1524000"/>
              <a:gd name="connsiteY2" fmla="*/ 1899186 h 2051901"/>
              <a:gd name="connsiteX3" fmla="*/ 1090083 w 1524000"/>
              <a:gd name="connsiteY3" fmla="*/ 1708687 h 2051901"/>
              <a:gd name="connsiteX4" fmla="*/ 783167 w 1524000"/>
              <a:gd name="connsiteY4" fmla="*/ 2005021 h 2051901"/>
              <a:gd name="connsiteX5" fmla="*/ 423333 w 1524000"/>
              <a:gd name="connsiteY5" fmla="*/ 1719271 h 2051901"/>
              <a:gd name="connsiteX6" fmla="*/ 1 w 1524000"/>
              <a:gd name="connsiteY6" fmla="*/ 1909769 h 2051901"/>
              <a:gd name="connsiteX7" fmla="*/ 0 w 1524000"/>
              <a:gd name="connsiteY7" fmla="*/ 830269 h 20519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524000" h="2051901">
                <a:moveTo>
                  <a:pt x="0" y="830269"/>
                </a:moveTo>
                <a:cubicBezTo>
                  <a:pt x="0" y="-344482"/>
                  <a:pt x="1524000" y="-206897"/>
                  <a:pt x="1524000" y="830269"/>
                </a:cubicBezTo>
                <a:lnTo>
                  <a:pt x="1524000" y="1899186"/>
                </a:lnTo>
                <a:cubicBezTo>
                  <a:pt x="1307042" y="2260783"/>
                  <a:pt x="1213555" y="1691048"/>
                  <a:pt x="1090083" y="1708687"/>
                </a:cubicBezTo>
                <a:cubicBezTo>
                  <a:pt x="966611" y="1726326"/>
                  <a:pt x="894292" y="2003257"/>
                  <a:pt x="783167" y="2005021"/>
                </a:cubicBezTo>
                <a:cubicBezTo>
                  <a:pt x="672042" y="2006785"/>
                  <a:pt x="553861" y="1735146"/>
                  <a:pt x="423333" y="1719271"/>
                </a:cubicBezTo>
                <a:cubicBezTo>
                  <a:pt x="292805" y="1703396"/>
                  <a:pt x="345723" y="2322520"/>
                  <a:pt x="1" y="1909769"/>
                </a:cubicBezTo>
                <a:cubicBezTo>
                  <a:pt x="1" y="1549936"/>
                  <a:pt x="0" y="1190102"/>
                  <a:pt x="0" y="830269"/>
                </a:cubicBezTo>
                <a:close/>
              </a:path>
            </a:pathLst>
          </a:custGeom>
          <a:solidFill>
            <a:srgbClr val="92D05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79" name="Oval 6078"/>
          <xdr:cNvSpPr/>
        </xdr:nvSpPr>
        <xdr:spPr>
          <a:xfrm>
            <a:off x="10424584" y="1841500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80" name="Oval 6079"/>
          <xdr:cNvSpPr/>
        </xdr:nvSpPr>
        <xdr:spPr>
          <a:xfrm>
            <a:off x="11049000" y="1841501"/>
            <a:ext cx="518583" cy="560917"/>
          </a:xfrm>
          <a:prstGeom prst="ellipse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81" name="Oval 6080"/>
          <xdr:cNvSpPr/>
        </xdr:nvSpPr>
        <xdr:spPr>
          <a:xfrm>
            <a:off x="10445750" y="1989666"/>
            <a:ext cx="243417" cy="296333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82" name="Oval 6081"/>
          <xdr:cNvSpPr/>
        </xdr:nvSpPr>
        <xdr:spPr>
          <a:xfrm>
            <a:off x="11080750" y="1989667"/>
            <a:ext cx="243417" cy="296333"/>
          </a:xfrm>
          <a:prstGeom prst="ellips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317500</xdr:colOff>
      <xdr:row>0</xdr:row>
      <xdr:rowOff>139700</xdr:rowOff>
    </xdr:from>
    <xdr:to>
      <xdr:col>6</xdr:col>
      <xdr:colOff>355600</xdr:colOff>
      <xdr:row>0</xdr:row>
      <xdr:rowOff>177800</xdr:rowOff>
    </xdr:to>
    <xdr:sp macro="" textlink="">
      <xdr:nvSpPr>
        <xdr:cNvPr id="5" name="Wall1"/>
        <xdr:cNvSpPr/>
      </xdr:nvSpPr>
      <xdr:spPr>
        <a:xfrm>
          <a:off x="1270000" y="139700"/>
          <a:ext cx="24765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355600</xdr:colOff>
      <xdr:row>0</xdr:row>
      <xdr:rowOff>177800</xdr:rowOff>
    </xdr:from>
    <xdr:to>
      <xdr:col>6</xdr:col>
      <xdr:colOff>393700</xdr:colOff>
      <xdr:row>4</xdr:row>
      <xdr:rowOff>12700</xdr:rowOff>
    </xdr:to>
    <xdr:sp macro="" textlink="">
      <xdr:nvSpPr>
        <xdr:cNvPr id="9" name="Wall2"/>
        <xdr:cNvSpPr/>
      </xdr:nvSpPr>
      <xdr:spPr>
        <a:xfrm>
          <a:off x="3746500" y="177800"/>
          <a:ext cx="38100" cy="5969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393700</xdr:colOff>
      <xdr:row>4</xdr:row>
      <xdr:rowOff>12700</xdr:rowOff>
    </xdr:from>
    <xdr:to>
      <xdr:col>7</xdr:col>
      <xdr:colOff>12700</xdr:colOff>
      <xdr:row>4</xdr:row>
      <xdr:rowOff>50800</xdr:rowOff>
    </xdr:to>
    <xdr:sp macro="" textlink="">
      <xdr:nvSpPr>
        <xdr:cNvPr id="10" name="Wall3"/>
        <xdr:cNvSpPr/>
      </xdr:nvSpPr>
      <xdr:spPr>
        <a:xfrm>
          <a:off x="3784600" y="774700"/>
          <a:ext cx="2286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12700</xdr:colOff>
      <xdr:row>0</xdr:row>
      <xdr:rowOff>177800</xdr:rowOff>
    </xdr:from>
    <xdr:to>
      <xdr:col>7</xdr:col>
      <xdr:colOff>50800</xdr:colOff>
      <xdr:row>4</xdr:row>
      <xdr:rowOff>12700</xdr:rowOff>
    </xdr:to>
    <xdr:sp macro="" textlink="">
      <xdr:nvSpPr>
        <xdr:cNvPr id="11" name="Wall4"/>
        <xdr:cNvSpPr/>
      </xdr:nvSpPr>
      <xdr:spPr>
        <a:xfrm>
          <a:off x="4013200" y="177800"/>
          <a:ext cx="38100" cy="5969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50800</xdr:colOff>
      <xdr:row>0</xdr:row>
      <xdr:rowOff>139700</xdr:rowOff>
    </xdr:from>
    <xdr:to>
      <xdr:col>11</xdr:col>
      <xdr:colOff>241300</xdr:colOff>
      <xdr:row>0</xdr:row>
      <xdr:rowOff>177800</xdr:rowOff>
    </xdr:to>
    <xdr:sp macro="" textlink="">
      <xdr:nvSpPr>
        <xdr:cNvPr id="543" name="Wall5"/>
        <xdr:cNvSpPr/>
      </xdr:nvSpPr>
      <xdr:spPr>
        <a:xfrm>
          <a:off x="4051300" y="139700"/>
          <a:ext cx="26289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241300</xdr:colOff>
      <xdr:row>0</xdr:row>
      <xdr:rowOff>177800</xdr:rowOff>
    </xdr:from>
    <xdr:to>
      <xdr:col>11</xdr:col>
      <xdr:colOff>279400</xdr:colOff>
      <xdr:row>8</xdr:row>
      <xdr:rowOff>152400</xdr:rowOff>
    </xdr:to>
    <xdr:sp macro="" textlink="">
      <xdr:nvSpPr>
        <xdr:cNvPr id="544" name="Wall6"/>
        <xdr:cNvSpPr/>
      </xdr:nvSpPr>
      <xdr:spPr>
        <a:xfrm>
          <a:off x="6680200" y="177800"/>
          <a:ext cx="38100" cy="1498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495300</xdr:colOff>
      <xdr:row>8</xdr:row>
      <xdr:rowOff>152400</xdr:rowOff>
    </xdr:from>
    <xdr:to>
      <xdr:col>11</xdr:col>
      <xdr:colOff>228600</xdr:colOff>
      <xdr:row>9</xdr:row>
      <xdr:rowOff>0</xdr:rowOff>
    </xdr:to>
    <xdr:sp macro="" textlink="">
      <xdr:nvSpPr>
        <xdr:cNvPr id="546" name="Wall7"/>
        <xdr:cNvSpPr/>
      </xdr:nvSpPr>
      <xdr:spPr>
        <a:xfrm>
          <a:off x="5715000" y="1676400"/>
          <a:ext cx="9525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444500</xdr:colOff>
      <xdr:row>9</xdr:row>
      <xdr:rowOff>0</xdr:rowOff>
    </xdr:from>
    <xdr:to>
      <xdr:col>9</xdr:col>
      <xdr:colOff>482600</xdr:colOff>
      <xdr:row>11</xdr:row>
      <xdr:rowOff>184150</xdr:rowOff>
    </xdr:to>
    <xdr:sp macro="" textlink="">
      <xdr:nvSpPr>
        <xdr:cNvPr id="547" name="Wall8"/>
        <xdr:cNvSpPr/>
      </xdr:nvSpPr>
      <xdr:spPr>
        <a:xfrm>
          <a:off x="5664200" y="1714500"/>
          <a:ext cx="38100" cy="584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495300</xdr:colOff>
      <xdr:row>11</xdr:row>
      <xdr:rowOff>184150</xdr:rowOff>
    </xdr:from>
    <xdr:to>
      <xdr:col>11</xdr:col>
      <xdr:colOff>393700</xdr:colOff>
      <xdr:row>12</xdr:row>
      <xdr:rowOff>22225</xdr:rowOff>
    </xdr:to>
    <xdr:sp macro="" textlink="">
      <xdr:nvSpPr>
        <xdr:cNvPr id="549" name="Wall9"/>
        <xdr:cNvSpPr/>
      </xdr:nvSpPr>
      <xdr:spPr>
        <a:xfrm>
          <a:off x="5715000" y="2298700"/>
          <a:ext cx="11176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495300</xdr:colOff>
      <xdr:row>13</xdr:row>
      <xdr:rowOff>177800</xdr:rowOff>
    </xdr:from>
    <xdr:to>
      <xdr:col>11</xdr:col>
      <xdr:colOff>393700</xdr:colOff>
      <xdr:row>14</xdr:row>
      <xdr:rowOff>25400</xdr:rowOff>
    </xdr:to>
    <xdr:sp macro="" textlink="">
      <xdr:nvSpPr>
        <xdr:cNvPr id="550" name="Wall10"/>
        <xdr:cNvSpPr/>
      </xdr:nvSpPr>
      <xdr:spPr>
        <a:xfrm>
          <a:off x="5715000" y="2692400"/>
          <a:ext cx="11176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444500</xdr:colOff>
      <xdr:row>14</xdr:row>
      <xdr:rowOff>25400</xdr:rowOff>
    </xdr:from>
    <xdr:to>
      <xdr:col>9</xdr:col>
      <xdr:colOff>482600</xdr:colOff>
      <xdr:row>16</xdr:row>
      <xdr:rowOff>88900</xdr:rowOff>
    </xdr:to>
    <xdr:sp macro="" textlink="">
      <xdr:nvSpPr>
        <xdr:cNvPr id="552" name="Wall11"/>
        <xdr:cNvSpPr/>
      </xdr:nvSpPr>
      <xdr:spPr>
        <a:xfrm>
          <a:off x="5664200" y="2730500"/>
          <a:ext cx="38100" cy="4445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241300</xdr:colOff>
      <xdr:row>16</xdr:row>
      <xdr:rowOff>127000</xdr:rowOff>
    </xdr:from>
    <xdr:to>
      <xdr:col>11</xdr:col>
      <xdr:colOff>279400</xdr:colOff>
      <xdr:row>21</xdr:row>
      <xdr:rowOff>50800</xdr:rowOff>
    </xdr:to>
    <xdr:sp macro="" textlink="">
      <xdr:nvSpPr>
        <xdr:cNvPr id="553" name="Wall13"/>
        <xdr:cNvSpPr/>
      </xdr:nvSpPr>
      <xdr:spPr>
        <a:xfrm>
          <a:off x="6680200" y="3213100"/>
          <a:ext cx="38100" cy="8763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495300</xdr:colOff>
      <xdr:row>16</xdr:row>
      <xdr:rowOff>88900</xdr:rowOff>
    </xdr:from>
    <xdr:to>
      <xdr:col>11</xdr:col>
      <xdr:colOff>228600</xdr:colOff>
      <xdr:row>16</xdr:row>
      <xdr:rowOff>127000</xdr:rowOff>
    </xdr:to>
    <xdr:sp macro="" textlink="">
      <xdr:nvSpPr>
        <xdr:cNvPr id="554" name="Wall12"/>
        <xdr:cNvSpPr/>
      </xdr:nvSpPr>
      <xdr:spPr>
        <a:xfrm>
          <a:off x="5715000" y="3175000"/>
          <a:ext cx="9525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26</xdr:row>
      <xdr:rowOff>88900</xdr:rowOff>
    </xdr:from>
    <xdr:to>
      <xdr:col>11</xdr:col>
      <xdr:colOff>228600</xdr:colOff>
      <xdr:row>26</xdr:row>
      <xdr:rowOff>127000</xdr:rowOff>
    </xdr:to>
    <xdr:sp macro="" textlink="">
      <xdr:nvSpPr>
        <xdr:cNvPr id="555" name="Wall18"/>
        <xdr:cNvSpPr/>
      </xdr:nvSpPr>
      <xdr:spPr>
        <a:xfrm>
          <a:off x="1270000" y="5080000"/>
          <a:ext cx="53975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241300</xdr:colOff>
      <xdr:row>22</xdr:row>
      <xdr:rowOff>12700</xdr:rowOff>
    </xdr:from>
    <xdr:to>
      <xdr:col>11</xdr:col>
      <xdr:colOff>279400</xdr:colOff>
      <xdr:row>26</xdr:row>
      <xdr:rowOff>88900</xdr:rowOff>
    </xdr:to>
    <xdr:sp macro="" textlink="">
      <xdr:nvSpPr>
        <xdr:cNvPr id="556" name="Wall17"/>
        <xdr:cNvSpPr/>
      </xdr:nvSpPr>
      <xdr:spPr>
        <a:xfrm>
          <a:off x="6680200" y="4241800"/>
          <a:ext cx="38100" cy="838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482600</xdr:colOff>
      <xdr:row>21</xdr:row>
      <xdr:rowOff>88900</xdr:rowOff>
    </xdr:from>
    <xdr:to>
      <xdr:col>10</xdr:col>
      <xdr:colOff>520700</xdr:colOff>
      <xdr:row>21</xdr:row>
      <xdr:rowOff>165100</xdr:rowOff>
    </xdr:to>
    <xdr:sp macro="" textlink="">
      <xdr:nvSpPr>
        <xdr:cNvPr id="557" name="Wall15"/>
        <xdr:cNvSpPr/>
      </xdr:nvSpPr>
      <xdr:spPr>
        <a:xfrm>
          <a:off x="6311900" y="4127500"/>
          <a:ext cx="38100" cy="76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520700</xdr:colOff>
      <xdr:row>21</xdr:row>
      <xdr:rowOff>165100</xdr:rowOff>
    </xdr:from>
    <xdr:to>
      <xdr:col>11</xdr:col>
      <xdr:colOff>241300</xdr:colOff>
      <xdr:row>22</xdr:row>
      <xdr:rowOff>12700</xdr:rowOff>
    </xdr:to>
    <xdr:sp macro="" textlink="">
      <xdr:nvSpPr>
        <xdr:cNvPr id="558" name="Wall16"/>
        <xdr:cNvSpPr/>
      </xdr:nvSpPr>
      <xdr:spPr>
        <a:xfrm>
          <a:off x="6350000" y="4203700"/>
          <a:ext cx="3302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520700</xdr:colOff>
      <xdr:row>21</xdr:row>
      <xdr:rowOff>50800</xdr:rowOff>
    </xdr:from>
    <xdr:to>
      <xdr:col>11</xdr:col>
      <xdr:colOff>241300</xdr:colOff>
      <xdr:row>21</xdr:row>
      <xdr:rowOff>88900</xdr:rowOff>
    </xdr:to>
    <xdr:sp macro="" textlink="">
      <xdr:nvSpPr>
        <xdr:cNvPr id="559" name="Wall14"/>
        <xdr:cNvSpPr/>
      </xdr:nvSpPr>
      <xdr:spPr>
        <a:xfrm>
          <a:off x="6350000" y="4089400"/>
          <a:ext cx="3302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266700</xdr:colOff>
      <xdr:row>22</xdr:row>
      <xdr:rowOff>12700</xdr:rowOff>
    </xdr:from>
    <xdr:to>
      <xdr:col>2</xdr:col>
      <xdr:colOff>304800</xdr:colOff>
      <xdr:row>26</xdr:row>
      <xdr:rowOff>88900</xdr:rowOff>
    </xdr:to>
    <xdr:sp macro="" textlink="">
      <xdr:nvSpPr>
        <xdr:cNvPr id="560" name="Wall19"/>
        <xdr:cNvSpPr/>
      </xdr:nvSpPr>
      <xdr:spPr>
        <a:xfrm>
          <a:off x="1219200" y="4241800"/>
          <a:ext cx="38100" cy="838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266700</xdr:colOff>
      <xdr:row>0</xdr:row>
      <xdr:rowOff>177800</xdr:rowOff>
    </xdr:from>
    <xdr:to>
      <xdr:col>2</xdr:col>
      <xdr:colOff>304800</xdr:colOff>
      <xdr:row>8</xdr:row>
      <xdr:rowOff>152400</xdr:rowOff>
    </xdr:to>
    <xdr:sp macro="" textlink="">
      <xdr:nvSpPr>
        <xdr:cNvPr id="561" name="Wall30"/>
        <xdr:cNvSpPr/>
      </xdr:nvSpPr>
      <xdr:spPr>
        <a:xfrm>
          <a:off x="1219200" y="177800"/>
          <a:ext cx="38100" cy="1498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8</xdr:row>
      <xdr:rowOff>152400</xdr:rowOff>
    </xdr:from>
    <xdr:to>
      <xdr:col>4</xdr:col>
      <xdr:colOff>50800</xdr:colOff>
      <xdr:row>9</xdr:row>
      <xdr:rowOff>0</xdr:rowOff>
    </xdr:to>
    <xdr:sp macro="" textlink="">
      <xdr:nvSpPr>
        <xdr:cNvPr id="562" name="Wall29"/>
        <xdr:cNvSpPr/>
      </xdr:nvSpPr>
      <xdr:spPr>
        <a:xfrm>
          <a:off x="1270000" y="1676400"/>
          <a:ext cx="9525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50800</xdr:colOff>
      <xdr:row>9</xdr:row>
      <xdr:rowOff>0</xdr:rowOff>
    </xdr:from>
    <xdr:to>
      <xdr:col>4</xdr:col>
      <xdr:colOff>88900</xdr:colOff>
      <xdr:row>11</xdr:row>
      <xdr:rowOff>184150</xdr:rowOff>
    </xdr:to>
    <xdr:sp macro="" textlink="">
      <xdr:nvSpPr>
        <xdr:cNvPr id="563" name="Wall28"/>
        <xdr:cNvSpPr/>
      </xdr:nvSpPr>
      <xdr:spPr>
        <a:xfrm>
          <a:off x="2222500" y="1714500"/>
          <a:ext cx="38100" cy="584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139700</xdr:colOff>
      <xdr:row>11</xdr:row>
      <xdr:rowOff>184150</xdr:rowOff>
    </xdr:from>
    <xdr:to>
      <xdr:col>4</xdr:col>
      <xdr:colOff>38100</xdr:colOff>
      <xdr:row>12</xdr:row>
      <xdr:rowOff>22225</xdr:rowOff>
    </xdr:to>
    <xdr:sp macro="" textlink="">
      <xdr:nvSpPr>
        <xdr:cNvPr id="564" name="Wall27"/>
        <xdr:cNvSpPr/>
      </xdr:nvSpPr>
      <xdr:spPr>
        <a:xfrm>
          <a:off x="1092200" y="2298700"/>
          <a:ext cx="11176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139700</xdr:colOff>
      <xdr:row>13</xdr:row>
      <xdr:rowOff>177800</xdr:rowOff>
    </xdr:from>
    <xdr:to>
      <xdr:col>4</xdr:col>
      <xdr:colOff>38100</xdr:colOff>
      <xdr:row>14</xdr:row>
      <xdr:rowOff>25400</xdr:rowOff>
    </xdr:to>
    <xdr:sp macro="" textlink="">
      <xdr:nvSpPr>
        <xdr:cNvPr id="565" name="Wall26"/>
        <xdr:cNvSpPr/>
      </xdr:nvSpPr>
      <xdr:spPr>
        <a:xfrm>
          <a:off x="1092200" y="2692400"/>
          <a:ext cx="11176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50800</xdr:colOff>
      <xdr:row>14</xdr:row>
      <xdr:rowOff>25400</xdr:rowOff>
    </xdr:from>
    <xdr:to>
      <xdr:col>4</xdr:col>
      <xdr:colOff>88900</xdr:colOff>
      <xdr:row>16</xdr:row>
      <xdr:rowOff>88900</xdr:rowOff>
    </xdr:to>
    <xdr:sp macro="" textlink="">
      <xdr:nvSpPr>
        <xdr:cNvPr id="566" name="Wall25"/>
        <xdr:cNvSpPr/>
      </xdr:nvSpPr>
      <xdr:spPr>
        <a:xfrm>
          <a:off x="2222500" y="2730500"/>
          <a:ext cx="38100" cy="4445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16</xdr:row>
      <xdr:rowOff>88900</xdr:rowOff>
    </xdr:from>
    <xdr:to>
      <xdr:col>4</xdr:col>
      <xdr:colOff>50800</xdr:colOff>
      <xdr:row>16</xdr:row>
      <xdr:rowOff>127000</xdr:rowOff>
    </xdr:to>
    <xdr:sp macro="" textlink="">
      <xdr:nvSpPr>
        <xdr:cNvPr id="567" name="Wall24"/>
        <xdr:cNvSpPr/>
      </xdr:nvSpPr>
      <xdr:spPr>
        <a:xfrm>
          <a:off x="1270000" y="3175000"/>
          <a:ext cx="9525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266700</xdr:colOff>
      <xdr:row>16</xdr:row>
      <xdr:rowOff>127000</xdr:rowOff>
    </xdr:from>
    <xdr:to>
      <xdr:col>2</xdr:col>
      <xdr:colOff>304800</xdr:colOff>
      <xdr:row>21</xdr:row>
      <xdr:rowOff>50800</xdr:rowOff>
    </xdr:to>
    <xdr:sp macro="" textlink="">
      <xdr:nvSpPr>
        <xdr:cNvPr id="568" name="Wall23"/>
        <xdr:cNvSpPr/>
      </xdr:nvSpPr>
      <xdr:spPr>
        <a:xfrm>
          <a:off x="1219200" y="3213100"/>
          <a:ext cx="38100" cy="8763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21</xdr:row>
      <xdr:rowOff>50800</xdr:rowOff>
    </xdr:from>
    <xdr:to>
      <xdr:col>3</xdr:col>
      <xdr:colOff>38100</xdr:colOff>
      <xdr:row>21</xdr:row>
      <xdr:rowOff>88900</xdr:rowOff>
    </xdr:to>
    <xdr:sp macro="" textlink="">
      <xdr:nvSpPr>
        <xdr:cNvPr id="569" name="Wall22"/>
        <xdr:cNvSpPr/>
      </xdr:nvSpPr>
      <xdr:spPr>
        <a:xfrm>
          <a:off x="1270000" y="4089400"/>
          <a:ext cx="3302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</xdr:colOff>
      <xdr:row>21</xdr:row>
      <xdr:rowOff>88900</xdr:rowOff>
    </xdr:from>
    <xdr:to>
      <xdr:col>3</xdr:col>
      <xdr:colOff>76200</xdr:colOff>
      <xdr:row>21</xdr:row>
      <xdr:rowOff>165100</xdr:rowOff>
    </xdr:to>
    <xdr:sp macro="" textlink="">
      <xdr:nvSpPr>
        <xdr:cNvPr id="570" name="Wall21"/>
        <xdr:cNvSpPr/>
      </xdr:nvSpPr>
      <xdr:spPr>
        <a:xfrm>
          <a:off x="1600200" y="4127500"/>
          <a:ext cx="38100" cy="76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21</xdr:row>
      <xdr:rowOff>165100</xdr:rowOff>
    </xdr:from>
    <xdr:to>
      <xdr:col>3</xdr:col>
      <xdr:colOff>38100</xdr:colOff>
      <xdr:row>22</xdr:row>
      <xdr:rowOff>12700</xdr:rowOff>
    </xdr:to>
    <xdr:sp macro="" textlink="">
      <xdr:nvSpPr>
        <xdr:cNvPr id="571" name="Wall20"/>
        <xdr:cNvSpPr/>
      </xdr:nvSpPr>
      <xdr:spPr>
        <a:xfrm>
          <a:off x="1270000" y="4203700"/>
          <a:ext cx="3302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101600</xdr:colOff>
      <xdr:row>2</xdr:row>
      <xdr:rowOff>139700</xdr:rowOff>
    </xdr:from>
    <xdr:to>
      <xdr:col>4</xdr:col>
      <xdr:colOff>50800</xdr:colOff>
      <xdr:row>2</xdr:row>
      <xdr:rowOff>177800</xdr:rowOff>
    </xdr:to>
    <xdr:sp macro="" textlink="">
      <xdr:nvSpPr>
        <xdr:cNvPr id="573" name="Wall31"/>
        <xdr:cNvSpPr/>
      </xdr:nvSpPr>
      <xdr:spPr>
        <a:xfrm>
          <a:off x="1663700" y="520700"/>
          <a:ext cx="5588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50800</xdr:colOff>
      <xdr:row>2</xdr:row>
      <xdr:rowOff>177800</xdr:rowOff>
    </xdr:from>
    <xdr:to>
      <xdr:col>4</xdr:col>
      <xdr:colOff>88900</xdr:colOff>
      <xdr:row>4</xdr:row>
      <xdr:rowOff>25400</xdr:rowOff>
    </xdr:to>
    <xdr:sp macro="" textlink="">
      <xdr:nvSpPr>
        <xdr:cNvPr id="574" name="Wall32"/>
        <xdr:cNvSpPr/>
      </xdr:nvSpPr>
      <xdr:spPr>
        <a:xfrm>
          <a:off x="2222500" y="558800"/>
          <a:ext cx="38100" cy="228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101600</xdr:colOff>
      <xdr:row>4</xdr:row>
      <xdr:rowOff>12700</xdr:rowOff>
    </xdr:from>
    <xdr:to>
      <xdr:col>4</xdr:col>
      <xdr:colOff>50800</xdr:colOff>
      <xdr:row>4</xdr:row>
      <xdr:rowOff>50800</xdr:rowOff>
    </xdr:to>
    <xdr:sp macro="" textlink="">
      <xdr:nvSpPr>
        <xdr:cNvPr id="575" name="Wall33"/>
        <xdr:cNvSpPr/>
      </xdr:nvSpPr>
      <xdr:spPr>
        <a:xfrm>
          <a:off x="1663700" y="774700"/>
          <a:ext cx="5588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63500</xdr:colOff>
      <xdr:row>2</xdr:row>
      <xdr:rowOff>177800</xdr:rowOff>
    </xdr:from>
    <xdr:to>
      <xdr:col>3</xdr:col>
      <xdr:colOff>101600</xdr:colOff>
      <xdr:row>4</xdr:row>
      <xdr:rowOff>25400</xdr:rowOff>
    </xdr:to>
    <xdr:sp macro="" textlink="">
      <xdr:nvSpPr>
        <xdr:cNvPr id="576" name="Wall34"/>
        <xdr:cNvSpPr/>
      </xdr:nvSpPr>
      <xdr:spPr>
        <a:xfrm>
          <a:off x="1625600" y="558800"/>
          <a:ext cx="38100" cy="228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495300</xdr:colOff>
      <xdr:row>2</xdr:row>
      <xdr:rowOff>139700</xdr:rowOff>
    </xdr:from>
    <xdr:to>
      <xdr:col>10</xdr:col>
      <xdr:colOff>444500</xdr:colOff>
      <xdr:row>2</xdr:row>
      <xdr:rowOff>177800</xdr:rowOff>
    </xdr:to>
    <xdr:sp macro="" textlink="">
      <xdr:nvSpPr>
        <xdr:cNvPr id="577" name="Wall35"/>
        <xdr:cNvSpPr/>
      </xdr:nvSpPr>
      <xdr:spPr>
        <a:xfrm>
          <a:off x="5715000" y="520700"/>
          <a:ext cx="5588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444500</xdr:colOff>
      <xdr:row>2</xdr:row>
      <xdr:rowOff>177800</xdr:rowOff>
    </xdr:from>
    <xdr:to>
      <xdr:col>10</xdr:col>
      <xdr:colOff>482600</xdr:colOff>
      <xdr:row>4</xdr:row>
      <xdr:rowOff>25400</xdr:rowOff>
    </xdr:to>
    <xdr:sp macro="" textlink="">
      <xdr:nvSpPr>
        <xdr:cNvPr id="578" name="Wall36"/>
        <xdr:cNvSpPr/>
      </xdr:nvSpPr>
      <xdr:spPr>
        <a:xfrm>
          <a:off x="6273800" y="558800"/>
          <a:ext cx="38100" cy="228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495300</xdr:colOff>
      <xdr:row>4</xdr:row>
      <xdr:rowOff>12700</xdr:rowOff>
    </xdr:from>
    <xdr:to>
      <xdr:col>10</xdr:col>
      <xdr:colOff>444500</xdr:colOff>
      <xdr:row>4</xdr:row>
      <xdr:rowOff>50800</xdr:rowOff>
    </xdr:to>
    <xdr:sp macro="" textlink="">
      <xdr:nvSpPr>
        <xdr:cNvPr id="579" name="Wall37"/>
        <xdr:cNvSpPr/>
      </xdr:nvSpPr>
      <xdr:spPr>
        <a:xfrm>
          <a:off x="5715000" y="774700"/>
          <a:ext cx="5588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457200</xdr:colOff>
      <xdr:row>2</xdr:row>
      <xdr:rowOff>177800</xdr:rowOff>
    </xdr:from>
    <xdr:to>
      <xdr:col>9</xdr:col>
      <xdr:colOff>495300</xdr:colOff>
      <xdr:row>4</xdr:row>
      <xdr:rowOff>25400</xdr:rowOff>
    </xdr:to>
    <xdr:sp macro="" textlink="">
      <xdr:nvSpPr>
        <xdr:cNvPr id="580" name="Wall38"/>
        <xdr:cNvSpPr/>
      </xdr:nvSpPr>
      <xdr:spPr>
        <a:xfrm>
          <a:off x="5676900" y="558800"/>
          <a:ext cx="38100" cy="228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101600</xdr:colOff>
      <xdr:row>6</xdr:row>
      <xdr:rowOff>12700</xdr:rowOff>
    </xdr:from>
    <xdr:to>
      <xdr:col>4</xdr:col>
      <xdr:colOff>50800</xdr:colOff>
      <xdr:row>6</xdr:row>
      <xdr:rowOff>50800</xdr:rowOff>
    </xdr:to>
    <xdr:sp macro="" textlink="">
      <xdr:nvSpPr>
        <xdr:cNvPr id="581" name="Wall39"/>
        <xdr:cNvSpPr/>
      </xdr:nvSpPr>
      <xdr:spPr>
        <a:xfrm>
          <a:off x="1663700" y="1155700"/>
          <a:ext cx="5588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50800</xdr:colOff>
      <xdr:row>6</xdr:row>
      <xdr:rowOff>50800</xdr:rowOff>
    </xdr:from>
    <xdr:to>
      <xdr:col>4</xdr:col>
      <xdr:colOff>88900</xdr:colOff>
      <xdr:row>6</xdr:row>
      <xdr:rowOff>127000</xdr:rowOff>
    </xdr:to>
    <xdr:sp macro="" textlink="">
      <xdr:nvSpPr>
        <xdr:cNvPr id="582" name="Wall40"/>
        <xdr:cNvSpPr/>
      </xdr:nvSpPr>
      <xdr:spPr>
        <a:xfrm>
          <a:off x="2222500" y="1193800"/>
          <a:ext cx="38100" cy="76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101600</xdr:colOff>
      <xdr:row>6</xdr:row>
      <xdr:rowOff>139700</xdr:rowOff>
    </xdr:from>
    <xdr:to>
      <xdr:col>4</xdr:col>
      <xdr:colOff>50800</xdr:colOff>
      <xdr:row>6</xdr:row>
      <xdr:rowOff>177800</xdr:rowOff>
    </xdr:to>
    <xdr:sp macro="" textlink="">
      <xdr:nvSpPr>
        <xdr:cNvPr id="583" name="Wall41"/>
        <xdr:cNvSpPr/>
      </xdr:nvSpPr>
      <xdr:spPr>
        <a:xfrm>
          <a:off x="1663700" y="1282700"/>
          <a:ext cx="5588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63500</xdr:colOff>
      <xdr:row>6</xdr:row>
      <xdr:rowOff>50800</xdr:rowOff>
    </xdr:from>
    <xdr:to>
      <xdr:col>3</xdr:col>
      <xdr:colOff>101600</xdr:colOff>
      <xdr:row>6</xdr:row>
      <xdr:rowOff>127000</xdr:rowOff>
    </xdr:to>
    <xdr:sp macro="" textlink="">
      <xdr:nvSpPr>
        <xdr:cNvPr id="584" name="Wall42"/>
        <xdr:cNvSpPr/>
      </xdr:nvSpPr>
      <xdr:spPr>
        <a:xfrm>
          <a:off x="1625600" y="1193800"/>
          <a:ext cx="38100" cy="76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495300</xdr:colOff>
      <xdr:row>6</xdr:row>
      <xdr:rowOff>12700</xdr:rowOff>
    </xdr:from>
    <xdr:to>
      <xdr:col>10</xdr:col>
      <xdr:colOff>444500</xdr:colOff>
      <xdr:row>6</xdr:row>
      <xdr:rowOff>50800</xdr:rowOff>
    </xdr:to>
    <xdr:sp macro="" textlink="">
      <xdr:nvSpPr>
        <xdr:cNvPr id="585" name="Wall43"/>
        <xdr:cNvSpPr/>
      </xdr:nvSpPr>
      <xdr:spPr>
        <a:xfrm>
          <a:off x="5715000" y="1155700"/>
          <a:ext cx="5588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444500</xdr:colOff>
      <xdr:row>6</xdr:row>
      <xdr:rowOff>50800</xdr:rowOff>
    </xdr:from>
    <xdr:to>
      <xdr:col>10</xdr:col>
      <xdr:colOff>482600</xdr:colOff>
      <xdr:row>6</xdr:row>
      <xdr:rowOff>127000</xdr:rowOff>
    </xdr:to>
    <xdr:sp macro="" textlink="">
      <xdr:nvSpPr>
        <xdr:cNvPr id="586" name="Wall44"/>
        <xdr:cNvSpPr/>
      </xdr:nvSpPr>
      <xdr:spPr>
        <a:xfrm>
          <a:off x="6273800" y="1193800"/>
          <a:ext cx="38100" cy="76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495300</xdr:colOff>
      <xdr:row>6</xdr:row>
      <xdr:rowOff>139700</xdr:rowOff>
    </xdr:from>
    <xdr:to>
      <xdr:col>10</xdr:col>
      <xdr:colOff>444500</xdr:colOff>
      <xdr:row>6</xdr:row>
      <xdr:rowOff>177800</xdr:rowOff>
    </xdr:to>
    <xdr:sp macro="" textlink="">
      <xdr:nvSpPr>
        <xdr:cNvPr id="587" name="Wall45"/>
        <xdr:cNvSpPr/>
      </xdr:nvSpPr>
      <xdr:spPr>
        <a:xfrm>
          <a:off x="5715000" y="1282700"/>
          <a:ext cx="5588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457200</xdr:colOff>
      <xdr:row>6</xdr:row>
      <xdr:rowOff>50800</xdr:rowOff>
    </xdr:from>
    <xdr:to>
      <xdr:col>9</xdr:col>
      <xdr:colOff>495300</xdr:colOff>
      <xdr:row>6</xdr:row>
      <xdr:rowOff>127000</xdr:rowOff>
    </xdr:to>
    <xdr:sp macro="" textlink="">
      <xdr:nvSpPr>
        <xdr:cNvPr id="588" name="Wall46"/>
        <xdr:cNvSpPr/>
      </xdr:nvSpPr>
      <xdr:spPr>
        <a:xfrm>
          <a:off x="5676900" y="1193800"/>
          <a:ext cx="38100" cy="76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520700</xdr:colOff>
      <xdr:row>2</xdr:row>
      <xdr:rowOff>139700</xdr:rowOff>
    </xdr:from>
    <xdr:to>
      <xdr:col>5</xdr:col>
      <xdr:colOff>584200</xdr:colOff>
      <xdr:row>2</xdr:row>
      <xdr:rowOff>177800</xdr:rowOff>
    </xdr:to>
    <xdr:sp macro="" textlink="">
      <xdr:nvSpPr>
        <xdr:cNvPr id="590" name="Wall47"/>
        <xdr:cNvSpPr/>
      </xdr:nvSpPr>
      <xdr:spPr>
        <a:xfrm>
          <a:off x="2692400" y="520700"/>
          <a:ext cx="6731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584200</xdr:colOff>
      <xdr:row>2</xdr:row>
      <xdr:rowOff>177800</xdr:rowOff>
    </xdr:from>
    <xdr:to>
      <xdr:col>6</xdr:col>
      <xdr:colOff>12700</xdr:colOff>
      <xdr:row>4</xdr:row>
      <xdr:rowOff>25400</xdr:rowOff>
    </xdr:to>
    <xdr:sp macro="" textlink="">
      <xdr:nvSpPr>
        <xdr:cNvPr id="591" name="Wall48"/>
        <xdr:cNvSpPr/>
      </xdr:nvSpPr>
      <xdr:spPr>
        <a:xfrm>
          <a:off x="3365500" y="558800"/>
          <a:ext cx="38100" cy="228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520700</xdr:colOff>
      <xdr:row>4</xdr:row>
      <xdr:rowOff>12700</xdr:rowOff>
    </xdr:from>
    <xdr:to>
      <xdr:col>5</xdr:col>
      <xdr:colOff>584200</xdr:colOff>
      <xdr:row>4</xdr:row>
      <xdr:rowOff>50800</xdr:rowOff>
    </xdr:to>
    <xdr:sp macro="" textlink="">
      <xdr:nvSpPr>
        <xdr:cNvPr id="592" name="Wall49"/>
        <xdr:cNvSpPr/>
      </xdr:nvSpPr>
      <xdr:spPr>
        <a:xfrm>
          <a:off x="2692400" y="774700"/>
          <a:ext cx="6731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482600</xdr:colOff>
      <xdr:row>2</xdr:row>
      <xdr:rowOff>177800</xdr:rowOff>
    </xdr:from>
    <xdr:to>
      <xdr:col>4</xdr:col>
      <xdr:colOff>520700</xdr:colOff>
      <xdr:row>4</xdr:row>
      <xdr:rowOff>25400</xdr:rowOff>
    </xdr:to>
    <xdr:sp macro="" textlink="">
      <xdr:nvSpPr>
        <xdr:cNvPr id="593" name="Wall50"/>
        <xdr:cNvSpPr/>
      </xdr:nvSpPr>
      <xdr:spPr>
        <a:xfrm>
          <a:off x="2654300" y="558800"/>
          <a:ext cx="38100" cy="228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457200</xdr:colOff>
      <xdr:row>2</xdr:row>
      <xdr:rowOff>139700</xdr:rowOff>
    </xdr:from>
    <xdr:to>
      <xdr:col>9</xdr:col>
      <xdr:colOff>63500</xdr:colOff>
      <xdr:row>2</xdr:row>
      <xdr:rowOff>177800</xdr:rowOff>
    </xdr:to>
    <xdr:sp macro="" textlink="">
      <xdr:nvSpPr>
        <xdr:cNvPr id="594" name="Wall51"/>
        <xdr:cNvSpPr/>
      </xdr:nvSpPr>
      <xdr:spPr>
        <a:xfrm>
          <a:off x="4457700" y="520700"/>
          <a:ext cx="8255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63500</xdr:colOff>
      <xdr:row>2</xdr:row>
      <xdr:rowOff>177800</xdr:rowOff>
    </xdr:from>
    <xdr:to>
      <xdr:col>9</xdr:col>
      <xdr:colOff>101600</xdr:colOff>
      <xdr:row>4</xdr:row>
      <xdr:rowOff>25400</xdr:rowOff>
    </xdr:to>
    <xdr:sp macro="" textlink="">
      <xdr:nvSpPr>
        <xdr:cNvPr id="595" name="Wall52"/>
        <xdr:cNvSpPr/>
      </xdr:nvSpPr>
      <xdr:spPr>
        <a:xfrm>
          <a:off x="5283200" y="558800"/>
          <a:ext cx="38100" cy="228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457200</xdr:colOff>
      <xdr:row>4</xdr:row>
      <xdr:rowOff>12700</xdr:rowOff>
    </xdr:from>
    <xdr:to>
      <xdr:col>9</xdr:col>
      <xdr:colOff>63500</xdr:colOff>
      <xdr:row>4</xdr:row>
      <xdr:rowOff>50800</xdr:rowOff>
    </xdr:to>
    <xdr:sp macro="" textlink="">
      <xdr:nvSpPr>
        <xdr:cNvPr id="596" name="Wall53"/>
        <xdr:cNvSpPr/>
      </xdr:nvSpPr>
      <xdr:spPr>
        <a:xfrm>
          <a:off x="4457700" y="774700"/>
          <a:ext cx="8255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419100</xdr:colOff>
      <xdr:row>2</xdr:row>
      <xdr:rowOff>177800</xdr:rowOff>
    </xdr:from>
    <xdr:to>
      <xdr:col>7</xdr:col>
      <xdr:colOff>457200</xdr:colOff>
      <xdr:row>4</xdr:row>
      <xdr:rowOff>25400</xdr:rowOff>
    </xdr:to>
    <xdr:sp macro="" textlink="">
      <xdr:nvSpPr>
        <xdr:cNvPr id="597" name="Wall54"/>
        <xdr:cNvSpPr/>
      </xdr:nvSpPr>
      <xdr:spPr>
        <a:xfrm>
          <a:off x="4419600" y="558800"/>
          <a:ext cx="38100" cy="228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520700</xdr:colOff>
      <xdr:row>6</xdr:row>
      <xdr:rowOff>12700</xdr:rowOff>
    </xdr:from>
    <xdr:to>
      <xdr:col>5</xdr:col>
      <xdr:colOff>63500</xdr:colOff>
      <xdr:row>6</xdr:row>
      <xdr:rowOff>50800</xdr:rowOff>
    </xdr:to>
    <xdr:sp macro="" textlink="">
      <xdr:nvSpPr>
        <xdr:cNvPr id="599" name="Wall55"/>
        <xdr:cNvSpPr/>
      </xdr:nvSpPr>
      <xdr:spPr>
        <a:xfrm>
          <a:off x="2692400" y="1155700"/>
          <a:ext cx="1524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482600</xdr:colOff>
      <xdr:row>6</xdr:row>
      <xdr:rowOff>50800</xdr:rowOff>
    </xdr:from>
    <xdr:to>
      <xdr:col>4</xdr:col>
      <xdr:colOff>520700</xdr:colOff>
      <xdr:row>11</xdr:row>
      <xdr:rowOff>171450</xdr:rowOff>
    </xdr:to>
    <xdr:sp macro="" textlink="">
      <xdr:nvSpPr>
        <xdr:cNvPr id="600" name="Wall56"/>
        <xdr:cNvSpPr/>
      </xdr:nvSpPr>
      <xdr:spPr>
        <a:xfrm>
          <a:off x="2654300" y="1193800"/>
          <a:ext cx="38100" cy="1092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520700</xdr:colOff>
      <xdr:row>11</xdr:row>
      <xdr:rowOff>184150</xdr:rowOff>
    </xdr:from>
    <xdr:to>
      <xdr:col>5</xdr:col>
      <xdr:colOff>63500</xdr:colOff>
      <xdr:row>12</xdr:row>
      <xdr:rowOff>22225</xdr:rowOff>
    </xdr:to>
    <xdr:sp macro="" textlink="">
      <xdr:nvSpPr>
        <xdr:cNvPr id="601" name="Wall57"/>
        <xdr:cNvSpPr/>
      </xdr:nvSpPr>
      <xdr:spPr>
        <a:xfrm>
          <a:off x="2692400" y="2298700"/>
          <a:ext cx="1524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63500</xdr:colOff>
      <xdr:row>6</xdr:row>
      <xdr:rowOff>50800</xdr:rowOff>
    </xdr:from>
    <xdr:to>
      <xdr:col>5</xdr:col>
      <xdr:colOff>101600</xdr:colOff>
      <xdr:row>8</xdr:row>
      <xdr:rowOff>139700</xdr:rowOff>
    </xdr:to>
    <xdr:sp macro="" textlink="">
      <xdr:nvSpPr>
        <xdr:cNvPr id="602" name="Wall58"/>
        <xdr:cNvSpPr/>
      </xdr:nvSpPr>
      <xdr:spPr>
        <a:xfrm>
          <a:off x="2844800" y="1193800"/>
          <a:ext cx="38100" cy="4699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101600</xdr:colOff>
      <xdr:row>8</xdr:row>
      <xdr:rowOff>139700</xdr:rowOff>
    </xdr:from>
    <xdr:to>
      <xdr:col>5</xdr:col>
      <xdr:colOff>584200</xdr:colOff>
      <xdr:row>8</xdr:row>
      <xdr:rowOff>177800</xdr:rowOff>
    </xdr:to>
    <xdr:sp macro="" textlink="">
      <xdr:nvSpPr>
        <xdr:cNvPr id="603" name="Wall59"/>
        <xdr:cNvSpPr/>
      </xdr:nvSpPr>
      <xdr:spPr>
        <a:xfrm>
          <a:off x="2882900" y="1663700"/>
          <a:ext cx="4826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584200</xdr:colOff>
      <xdr:row>8</xdr:row>
      <xdr:rowOff>177800</xdr:rowOff>
    </xdr:from>
    <xdr:to>
      <xdr:col>6</xdr:col>
      <xdr:colOff>12700</xdr:colOff>
      <xdr:row>9</xdr:row>
      <xdr:rowOff>88900</xdr:rowOff>
    </xdr:to>
    <xdr:sp macro="" textlink="">
      <xdr:nvSpPr>
        <xdr:cNvPr id="604" name="Wall60"/>
        <xdr:cNvSpPr/>
      </xdr:nvSpPr>
      <xdr:spPr>
        <a:xfrm>
          <a:off x="3365500" y="1701800"/>
          <a:ext cx="38100" cy="101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101600</xdr:colOff>
      <xdr:row>9</xdr:row>
      <xdr:rowOff>88900</xdr:rowOff>
    </xdr:from>
    <xdr:to>
      <xdr:col>5</xdr:col>
      <xdr:colOff>584200</xdr:colOff>
      <xdr:row>9</xdr:row>
      <xdr:rowOff>127000</xdr:rowOff>
    </xdr:to>
    <xdr:sp macro="" textlink="">
      <xdr:nvSpPr>
        <xdr:cNvPr id="605" name="Wall61"/>
        <xdr:cNvSpPr/>
      </xdr:nvSpPr>
      <xdr:spPr>
        <a:xfrm>
          <a:off x="2882900" y="1803400"/>
          <a:ext cx="4826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63500</xdr:colOff>
      <xdr:row>9</xdr:row>
      <xdr:rowOff>127000</xdr:rowOff>
    </xdr:from>
    <xdr:to>
      <xdr:col>5</xdr:col>
      <xdr:colOff>101600</xdr:colOff>
      <xdr:row>11</xdr:row>
      <xdr:rowOff>184150</xdr:rowOff>
    </xdr:to>
    <xdr:sp macro="" textlink="">
      <xdr:nvSpPr>
        <xdr:cNvPr id="606" name="Wall62"/>
        <xdr:cNvSpPr/>
      </xdr:nvSpPr>
      <xdr:spPr>
        <a:xfrm>
          <a:off x="2844800" y="1841500"/>
          <a:ext cx="38100" cy="457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469900</xdr:colOff>
      <xdr:row>6</xdr:row>
      <xdr:rowOff>12700</xdr:rowOff>
    </xdr:from>
    <xdr:to>
      <xdr:col>9</xdr:col>
      <xdr:colOff>38100</xdr:colOff>
      <xdr:row>6</xdr:row>
      <xdr:rowOff>50800</xdr:rowOff>
    </xdr:to>
    <xdr:sp macro="" textlink="">
      <xdr:nvSpPr>
        <xdr:cNvPr id="607" name="Wall63"/>
        <xdr:cNvSpPr/>
      </xdr:nvSpPr>
      <xdr:spPr>
        <a:xfrm>
          <a:off x="5080000" y="1155700"/>
          <a:ext cx="1778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50800</xdr:colOff>
      <xdr:row>6</xdr:row>
      <xdr:rowOff>50800</xdr:rowOff>
    </xdr:from>
    <xdr:to>
      <xdr:col>9</xdr:col>
      <xdr:colOff>88900</xdr:colOff>
      <xdr:row>11</xdr:row>
      <xdr:rowOff>171450</xdr:rowOff>
    </xdr:to>
    <xdr:sp macro="" textlink="">
      <xdr:nvSpPr>
        <xdr:cNvPr id="608" name="Wall64"/>
        <xdr:cNvSpPr/>
      </xdr:nvSpPr>
      <xdr:spPr>
        <a:xfrm>
          <a:off x="5270500" y="1193800"/>
          <a:ext cx="38100" cy="1092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469900</xdr:colOff>
      <xdr:row>11</xdr:row>
      <xdr:rowOff>184150</xdr:rowOff>
    </xdr:from>
    <xdr:to>
      <xdr:col>9</xdr:col>
      <xdr:colOff>38100</xdr:colOff>
      <xdr:row>12</xdr:row>
      <xdr:rowOff>22225</xdr:rowOff>
    </xdr:to>
    <xdr:sp macro="" textlink="">
      <xdr:nvSpPr>
        <xdr:cNvPr id="609" name="Wall65"/>
        <xdr:cNvSpPr/>
      </xdr:nvSpPr>
      <xdr:spPr>
        <a:xfrm>
          <a:off x="5080000" y="2298700"/>
          <a:ext cx="1778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431800</xdr:colOff>
      <xdr:row>6</xdr:row>
      <xdr:rowOff>50800</xdr:rowOff>
    </xdr:from>
    <xdr:to>
      <xdr:col>8</xdr:col>
      <xdr:colOff>469900</xdr:colOff>
      <xdr:row>8</xdr:row>
      <xdr:rowOff>139700</xdr:rowOff>
    </xdr:to>
    <xdr:sp macro="" textlink="">
      <xdr:nvSpPr>
        <xdr:cNvPr id="610" name="Wall66"/>
        <xdr:cNvSpPr/>
      </xdr:nvSpPr>
      <xdr:spPr>
        <a:xfrm>
          <a:off x="5041900" y="1193800"/>
          <a:ext cx="38100" cy="4699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482600</xdr:colOff>
      <xdr:row>8</xdr:row>
      <xdr:rowOff>139700</xdr:rowOff>
    </xdr:from>
    <xdr:to>
      <xdr:col>8</xdr:col>
      <xdr:colOff>431800</xdr:colOff>
      <xdr:row>8</xdr:row>
      <xdr:rowOff>177800</xdr:rowOff>
    </xdr:to>
    <xdr:sp macro="" textlink="">
      <xdr:nvSpPr>
        <xdr:cNvPr id="611" name="Wall67"/>
        <xdr:cNvSpPr/>
      </xdr:nvSpPr>
      <xdr:spPr>
        <a:xfrm>
          <a:off x="4483100" y="1663700"/>
          <a:ext cx="5588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444500</xdr:colOff>
      <xdr:row>8</xdr:row>
      <xdr:rowOff>177800</xdr:rowOff>
    </xdr:from>
    <xdr:to>
      <xdr:col>7</xdr:col>
      <xdr:colOff>482600</xdr:colOff>
      <xdr:row>9</xdr:row>
      <xdr:rowOff>88900</xdr:rowOff>
    </xdr:to>
    <xdr:sp macro="" textlink="">
      <xdr:nvSpPr>
        <xdr:cNvPr id="612" name="Wall68"/>
        <xdr:cNvSpPr/>
      </xdr:nvSpPr>
      <xdr:spPr>
        <a:xfrm>
          <a:off x="4445000" y="1701800"/>
          <a:ext cx="38100" cy="101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482600</xdr:colOff>
      <xdr:row>9</xdr:row>
      <xdr:rowOff>88900</xdr:rowOff>
    </xdr:from>
    <xdr:to>
      <xdr:col>8</xdr:col>
      <xdr:colOff>431800</xdr:colOff>
      <xdr:row>9</xdr:row>
      <xdr:rowOff>127000</xdr:rowOff>
    </xdr:to>
    <xdr:sp macro="" textlink="">
      <xdr:nvSpPr>
        <xdr:cNvPr id="613" name="Wall69"/>
        <xdr:cNvSpPr/>
      </xdr:nvSpPr>
      <xdr:spPr>
        <a:xfrm>
          <a:off x="4483100" y="1803400"/>
          <a:ext cx="5588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431800</xdr:colOff>
      <xdr:row>9</xdr:row>
      <xdr:rowOff>127000</xdr:rowOff>
    </xdr:from>
    <xdr:to>
      <xdr:col>8</xdr:col>
      <xdr:colOff>469900</xdr:colOff>
      <xdr:row>11</xdr:row>
      <xdr:rowOff>184150</xdr:rowOff>
    </xdr:to>
    <xdr:sp macro="" textlink="">
      <xdr:nvSpPr>
        <xdr:cNvPr id="614" name="Wall70"/>
        <xdr:cNvSpPr/>
      </xdr:nvSpPr>
      <xdr:spPr>
        <a:xfrm>
          <a:off x="5041900" y="1841500"/>
          <a:ext cx="38100" cy="457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520700</xdr:colOff>
      <xdr:row>6</xdr:row>
      <xdr:rowOff>12700</xdr:rowOff>
    </xdr:from>
    <xdr:to>
      <xdr:col>8</xdr:col>
      <xdr:colOff>12700</xdr:colOff>
      <xdr:row>6</xdr:row>
      <xdr:rowOff>50800</xdr:rowOff>
    </xdr:to>
    <xdr:sp macro="" textlink="">
      <xdr:nvSpPr>
        <xdr:cNvPr id="615" name="Wall71"/>
        <xdr:cNvSpPr/>
      </xdr:nvSpPr>
      <xdr:spPr>
        <a:xfrm>
          <a:off x="3302000" y="1155700"/>
          <a:ext cx="13208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482600</xdr:colOff>
      <xdr:row>6</xdr:row>
      <xdr:rowOff>50800</xdr:rowOff>
    </xdr:from>
    <xdr:to>
      <xdr:col>5</xdr:col>
      <xdr:colOff>520700</xdr:colOff>
      <xdr:row>6</xdr:row>
      <xdr:rowOff>127000</xdr:rowOff>
    </xdr:to>
    <xdr:sp macro="" textlink="">
      <xdr:nvSpPr>
        <xdr:cNvPr id="616" name="Wall72"/>
        <xdr:cNvSpPr/>
      </xdr:nvSpPr>
      <xdr:spPr>
        <a:xfrm>
          <a:off x="3263900" y="1193800"/>
          <a:ext cx="38100" cy="76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520700</xdr:colOff>
      <xdr:row>6</xdr:row>
      <xdr:rowOff>127000</xdr:rowOff>
    </xdr:from>
    <xdr:to>
      <xdr:col>6</xdr:col>
      <xdr:colOff>368300</xdr:colOff>
      <xdr:row>6</xdr:row>
      <xdr:rowOff>165100</xdr:rowOff>
    </xdr:to>
    <xdr:sp macro="" textlink="">
      <xdr:nvSpPr>
        <xdr:cNvPr id="617" name="Wall73"/>
        <xdr:cNvSpPr/>
      </xdr:nvSpPr>
      <xdr:spPr>
        <a:xfrm>
          <a:off x="3302000" y="1270000"/>
          <a:ext cx="4572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6</xdr:row>
      <xdr:rowOff>165100</xdr:rowOff>
    </xdr:from>
    <xdr:to>
      <xdr:col>6</xdr:col>
      <xdr:colOff>419100</xdr:colOff>
      <xdr:row>9</xdr:row>
      <xdr:rowOff>76200</xdr:rowOff>
    </xdr:to>
    <xdr:sp macro="" textlink="">
      <xdr:nvSpPr>
        <xdr:cNvPr id="618" name="Wall74"/>
        <xdr:cNvSpPr/>
      </xdr:nvSpPr>
      <xdr:spPr>
        <a:xfrm>
          <a:off x="3771900" y="1308100"/>
          <a:ext cx="38100" cy="482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419100</xdr:colOff>
      <xdr:row>9</xdr:row>
      <xdr:rowOff>88900</xdr:rowOff>
    </xdr:from>
    <xdr:to>
      <xdr:col>7</xdr:col>
      <xdr:colOff>12700</xdr:colOff>
      <xdr:row>9</xdr:row>
      <xdr:rowOff>127000</xdr:rowOff>
    </xdr:to>
    <xdr:sp macro="" textlink="">
      <xdr:nvSpPr>
        <xdr:cNvPr id="619" name="Wall75"/>
        <xdr:cNvSpPr/>
      </xdr:nvSpPr>
      <xdr:spPr>
        <a:xfrm>
          <a:off x="3810000" y="1803400"/>
          <a:ext cx="2032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12700</xdr:colOff>
      <xdr:row>6</xdr:row>
      <xdr:rowOff>165100</xdr:rowOff>
    </xdr:from>
    <xdr:to>
      <xdr:col>7</xdr:col>
      <xdr:colOff>50800</xdr:colOff>
      <xdr:row>9</xdr:row>
      <xdr:rowOff>76200</xdr:rowOff>
    </xdr:to>
    <xdr:sp macro="" textlink="">
      <xdr:nvSpPr>
        <xdr:cNvPr id="620" name="Wall76"/>
        <xdr:cNvSpPr/>
      </xdr:nvSpPr>
      <xdr:spPr>
        <a:xfrm>
          <a:off x="4013200" y="1308100"/>
          <a:ext cx="38100" cy="482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50800</xdr:colOff>
      <xdr:row>6</xdr:row>
      <xdr:rowOff>127000</xdr:rowOff>
    </xdr:from>
    <xdr:to>
      <xdr:col>8</xdr:col>
      <xdr:colOff>25400</xdr:colOff>
      <xdr:row>6</xdr:row>
      <xdr:rowOff>165100</xdr:rowOff>
    </xdr:to>
    <xdr:sp macro="" textlink="">
      <xdr:nvSpPr>
        <xdr:cNvPr id="621" name="Wall77"/>
        <xdr:cNvSpPr/>
      </xdr:nvSpPr>
      <xdr:spPr>
        <a:xfrm>
          <a:off x="4051300" y="1270000"/>
          <a:ext cx="5842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25400</xdr:colOff>
      <xdr:row>6</xdr:row>
      <xdr:rowOff>50800</xdr:rowOff>
    </xdr:from>
    <xdr:to>
      <xdr:col>8</xdr:col>
      <xdr:colOff>63500</xdr:colOff>
      <xdr:row>6</xdr:row>
      <xdr:rowOff>127000</xdr:rowOff>
    </xdr:to>
    <xdr:sp macro="" textlink="">
      <xdr:nvSpPr>
        <xdr:cNvPr id="622" name="Wall78"/>
        <xdr:cNvSpPr/>
      </xdr:nvSpPr>
      <xdr:spPr>
        <a:xfrm>
          <a:off x="4635500" y="1193800"/>
          <a:ext cx="38100" cy="76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520700</xdr:colOff>
      <xdr:row>15</xdr:row>
      <xdr:rowOff>177800</xdr:rowOff>
    </xdr:from>
    <xdr:to>
      <xdr:col>8</xdr:col>
      <xdr:colOff>12700</xdr:colOff>
      <xdr:row>16</xdr:row>
      <xdr:rowOff>25400</xdr:rowOff>
    </xdr:to>
    <xdr:sp macro="" textlink="">
      <xdr:nvSpPr>
        <xdr:cNvPr id="625" name="Wall79"/>
        <xdr:cNvSpPr/>
      </xdr:nvSpPr>
      <xdr:spPr>
        <a:xfrm>
          <a:off x="3302000" y="3073400"/>
          <a:ext cx="13208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482600</xdr:colOff>
      <xdr:row>16</xdr:row>
      <xdr:rowOff>25400</xdr:rowOff>
    </xdr:from>
    <xdr:to>
      <xdr:col>5</xdr:col>
      <xdr:colOff>520700</xdr:colOff>
      <xdr:row>16</xdr:row>
      <xdr:rowOff>101600</xdr:rowOff>
    </xdr:to>
    <xdr:sp macro="" textlink="">
      <xdr:nvSpPr>
        <xdr:cNvPr id="626" name="Wall80"/>
        <xdr:cNvSpPr/>
      </xdr:nvSpPr>
      <xdr:spPr>
        <a:xfrm>
          <a:off x="3263900" y="3111500"/>
          <a:ext cx="38100" cy="76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520700</xdr:colOff>
      <xdr:row>16</xdr:row>
      <xdr:rowOff>101600</xdr:rowOff>
    </xdr:from>
    <xdr:to>
      <xdr:col>6</xdr:col>
      <xdr:colOff>368300</xdr:colOff>
      <xdr:row>16</xdr:row>
      <xdr:rowOff>139700</xdr:rowOff>
    </xdr:to>
    <xdr:sp macro="" textlink="">
      <xdr:nvSpPr>
        <xdr:cNvPr id="627" name="Wall81"/>
        <xdr:cNvSpPr/>
      </xdr:nvSpPr>
      <xdr:spPr>
        <a:xfrm>
          <a:off x="3302000" y="3187700"/>
          <a:ext cx="4572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16</xdr:row>
      <xdr:rowOff>139700</xdr:rowOff>
    </xdr:from>
    <xdr:to>
      <xdr:col>6</xdr:col>
      <xdr:colOff>419100</xdr:colOff>
      <xdr:row>19</xdr:row>
      <xdr:rowOff>50800</xdr:rowOff>
    </xdr:to>
    <xdr:sp macro="" textlink="">
      <xdr:nvSpPr>
        <xdr:cNvPr id="628" name="Wall82"/>
        <xdr:cNvSpPr/>
      </xdr:nvSpPr>
      <xdr:spPr>
        <a:xfrm>
          <a:off x="3771900" y="3225800"/>
          <a:ext cx="38100" cy="482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419100</xdr:colOff>
      <xdr:row>19</xdr:row>
      <xdr:rowOff>38100</xdr:rowOff>
    </xdr:from>
    <xdr:to>
      <xdr:col>7</xdr:col>
      <xdr:colOff>12700</xdr:colOff>
      <xdr:row>19</xdr:row>
      <xdr:rowOff>76200</xdr:rowOff>
    </xdr:to>
    <xdr:sp macro="" textlink="">
      <xdr:nvSpPr>
        <xdr:cNvPr id="629" name="Wall83"/>
        <xdr:cNvSpPr/>
      </xdr:nvSpPr>
      <xdr:spPr>
        <a:xfrm>
          <a:off x="3810000" y="3695700"/>
          <a:ext cx="2032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12700</xdr:colOff>
      <xdr:row>16</xdr:row>
      <xdr:rowOff>139700</xdr:rowOff>
    </xdr:from>
    <xdr:to>
      <xdr:col>7</xdr:col>
      <xdr:colOff>50800</xdr:colOff>
      <xdr:row>19</xdr:row>
      <xdr:rowOff>50800</xdr:rowOff>
    </xdr:to>
    <xdr:sp macro="" textlink="">
      <xdr:nvSpPr>
        <xdr:cNvPr id="630" name="Wall84"/>
        <xdr:cNvSpPr/>
      </xdr:nvSpPr>
      <xdr:spPr>
        <a:xfrm>
          <a:off x="4013200" y="3225800"/>
          <a:ext cx="38100" cy="482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50800</xdr:colOff>
      <xdr:row>16</xdr:row>
      <xdr:rowOff>101600</xdr:rowOff>
    </xdr:from>
    <xdr:to>
      <xdr:col>8</xdr:col>
      <xdr:colOff>25400</xdr:colOff>
      <xdr:row>16</xdr:row>
      <xdr:rowOff>139700</xdr:rowOff>
    </xdr:to>
    <xdr:sp macro="" textlink="">
      <xdr:nvSpPr>
        <xdr:cNvPr id="631" name="Wall85"/>
        <xdr:cNvSpPr/>
      </xdr:nvSpPr>
      <xdr:spPr>
        <a:xfrm>
          <a:off x="4051300" y="3187700"/>
          <a:ext cx="5842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25400</xdr:colOff>
      <xdr:row>16</xdr:row>
      <xdr:rowOff>25400</xdr:rowOff>
    </xdr:from>
    <xdr:to>
      <xdr:col>8</xdr:col>
      <xdr:colOff>63500</xdr:colOff>
      <xdr:row>16</xdr:row>
      <xdr:rowOff>101600</xdr:rowOff>
    </xdr:to>
    <xdr:sp macro="" textlink="">
      <xdr:nvSpPr>
        <xdr:cNvPr id="632" name="Wall86"/>
        <xdr:cNvSpPr/>
      </xdr:nvSpPr>
      <xdr:spPr>
        <a:xfrm>
          <a:off x="4635500" y="3111500"/>
          <a:ext cx="38100" cy="76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520700</xdr:colOff>
      <xdr:row>21</xdr:row>
      <xdr:rowOff>38100</xdr:rowOff>
    </xdr:from>
    <xdr:to>
      <xdr:col>8</xdr:col>
      <xdr:colOff>12700</xdr:colOff>
      <xdr:row>21</xdr:row>
      <xdr:rowOff>76200</xdr:rowOff>
    </xdr:to>
    <xdr:sp macro="" textlink="">
      <xdr:nvSpPr>
        <xdr:cNvPr id="633" name="Wall87"/>
        <xdr:cNvSpPr/>
      </xdr:nvSpPr>
      <xdr:spPr>
        <a:xfrm>
          <a:off x="3302000" y="4076700"/>
          <a:ext cx="13208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482600</xdr:colOff>
      <xdr:row>21</xdr:row>
      <xdr:rowOff>76200</xdr:rowOff>
    </xdr:from>
    <xdr:to>
      <xdr:col>5</xdr:col>
      <xdr:colOff>520700</xdr:colOff>
      <xdr:row>21</xdr:row>
      <xdr:rowOff>152400</xdr:rowOff>
    </xdr:to>
    <xdr:sp macro="" textlink="">
      <xdr:nvSpPr>
        <xdr:cNvPr id="634" name="Wall88"/>
        <xdr:cNvSpPr/>
      </xdr:nvSpPr>
      <xdr:spPr>
        <a:xfrm>
          <a:off x="3263900" y="4114800"/>
          <a:ext cx="38100" cy="76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520700</xdr:colOff>
      <xdr:row>21</xdr:row>
      <xdr:rowOff>152400</xdr:rowOff>
    </xdr:from>
    <xdr:to>
      <xdr:col>6</xdr:col>
      <xdr:colOff>368300</xdr:colOff>
      <xdr:row>22</xdr:row>
      <xdr:rowOff>0</xdr:rowOff>
    </xdr:to>
    <xdr:sp macro="" textlink="">
      <xdr:nvSpPr>
        <xdr:cNvPr id="635" name="Wall89"/>
        <xdr:cNvSpPr/>
      </xdr:nvSpPr>
      <xdr:spPr>
        <a:xfrm>
          <a:off x="3302000" y="4191000"/>
          <a:ext cx="4572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22</xdr:row>
      <xdr:rowOff>0</xdr:rowOff>
    </xdr:from>
    <xdr:to>
      <xdr:col>6</xdr:col>
      <xdr:colOff>419100</xdr:colOff>
      <xdr:row>24</xdr:row>
      <xdr:rowOff>101600</xdr:rowOff>
    </xdr:to>
    <xdr:sp macro="" textlink="">
      <xdr:nvSpPr>
        <xdr:cNvPr id="636" name="Wall90"/>
        <xdr:cNvSpPr/>
      </xdr:nvSpPr>
      <xdr:spPr>
        <a:xfrm>
          <a:off x="3771900" y="4229100"/>
          <a:ext cx="38100" cy="482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419100</xdr:colOff>
      <xdr:row>24</xdr:row>
      <xdr:rowOff>88900</xdr:rowOff>
    </xdr:from>
    <xdr:to>
      <xdr:col>7</xdr:col>
      <xdr:colOff>12700</xdr:colOff>
      <xdr:row>24</xdr:row>
      <xdr:rowOff>127000</xdr:rowOff>
    </xdr:to>
    <xdr:sp macro="" textlink="">
      <xdr:nvSpPr>
        <xdr:cNvPr id="637" name="Wall91"/>
        <xdr:cNvSpPr/>
      </xdr:nvSpPr>
      <xdr:spPr>
        <a:xfrm>
          <a:off x="3810000" y="4699000"/>
          <a:ext cx="2032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12700</xdr:colOff>
      <xdr:row>22</xdr:row>
      <xdr:rowOff>0</xdr:rowOff>
    </xdr:from>
    <xdr:to>
      <xdr:col>7</xdr:col>
      <xdr:colOff>50800</xdr:colOff>
      <xdr:row>24</xdr:row>
      <xdr:rowOff>101600</xdr:rowOff>
    </xdr:to>
    <xdr:sp macro="" textlink="">
      <xdr:nvSpPr>
        <xdr:cNvPr id="638" name="Wall92"/>
        <xdr:cNvSpPr/>
      </xdr:nvSpPr>
      <xdr:spPr>
        <a:xfrm>
          <a:off x="4013200" y="4229100"/>
          <a:ext cx="38100" cy="482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50800</xdr:colOff>
      <xdr:row>21</xdr:row>
      <xdr:rowOff>165100</xdr:rowOff>
    </xdr:from>
    <xdr:to>
      <xdr:col>8</xdr:col>
      <xdr:colOff>25400</xdr:colOff>
      <xdr:row>22</xdr:row>
      <xdr:rowOff>12700</xdr:rowOff>
    </xdr:to>
    <xdr:sp macro="" textlink="">
      <xdr:nvSpPr>
        <xdr:cNvPr id="639" name="Wall93"/>
        <xdr:cNvSpPr/>
      </xdr:nvSpPr>
      <xdr:spPr>
        <a:xfrm>
          <a:off x="4051300" y="4203700"/>
          <a:ext cx="5842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25400</xdr:colOff>
      <xdr:row>21</xdr:row>
      <xdr:rowOff>76200</xdr:rowOff>
    </xdr:from>
    <xdr:to>
      <xdr:col>8</xdr:col>
      <xdr:colOff>63500</xdr:colOff>
      <xdr:row>21</xdr:row>
      <xdr:rowOff>152400</xdr:rowOff>
    </xdr:to>
    <xdr:sp macro="" textlink="">
      <xdr:nvSpPr>
        <xdr:cNvPr id="640" name="Wall94"/>
        <xdr:cNvSpPr/>
      </xdr:nvSpPr>
      <xdr:spPr>
        <a:xfrm>
          <a:off x="4635500" y="4114800"/>
          <a:ext cx="38100" cy="76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101600</xdr:colOff>
      <xdr:row>18</xdr:row>
      <xdr:rowOff>101600</xdr:rowOff>
    </xdr:from>
    <xdr:to>
      <xdr:col>4</xdr:col>
      <xdr:colOff>63500</xdr:colOff>
      <xdr:row>18</xdr:row>
      <xdr:rowOff>139700</xdr:rowOff>
    </xdr:to>
    <xdr:sp macro="" textlink="">
      <xdr:nvSpPr>
        <xdr:cNvPr id="641" name="Wall95"/>
        <xdr:cNvSpPr/>
      </xdr:nvSpPr>
      <xdr:spPr>
        <a:xfrm>
          <a:off x="1663700" y="3568700"/>
          <a:ext cx="5715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63500</xdr:colOff>
      <xdr:row>18</xdr:row>
      <xdr:rowOff>139700</xdr:rowOff>
    </xdr:from>
    <xdr:to>
      <xdr:col>3</xdr:col>
      <xdr:colOff>101600</xdr:colOff>
      <xdr:row>19</xdr:row>
      <xdr:rowOff>25400</xdr:rowOff>
    </xdr:to>
    <xdr:sp macro="" textlink="">
      <xdr:nvSpPr>
        <xdr:cNvPr id="642" name="Wall96"/>
        <xdr:cNvSpPr/>
      </xdr:nvSpPr>
      <xdr:spPr>
        <a:xfrm>
          <a:off x="1625600" y="3606800"/>
          <a:ext cx="38100" cy="76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101600</xdr:colOff>
      <xdr:row>19</xdr:row>
      <xdr:rowOff>12700</xdr:rowOff>
    </xdr:from>
    <xdr:to>
      <xdr:col>3</xdr:col>
      <xdr:colOff>431800</xdr:colOff>
      <xdr:row>19</xdr:row>
      <xdr:rowOff>50800</xdr:rowOff>
    </xdr:to>
    <xdr:sp macro="" textlink="">
      <xdr:nvSpPr>
        <xdr:cNvPr id="643" name="Wall97"/>
        <xdr:cNvSpPr/>
      </xdr:nvSpPr>
      <xdr:spPr>
        <a:xfrm>
          <a:off x="1663700" y="3670300"/>
          <a:ext cx="3302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431800</xdr:colOff>
      <xdr:row>19</xdr:row>
      <xdr:rowOff>50800</xdr:rowOff>
    </xdr:from>
    <xdr:to>
      <xdr:col>3</xdr:col>
      <xdr:colOff>469900</xdr:colOff>
      <xdr:row>21</xdr:row>
      <xdr:rowOff>152400</xdr:rowOff>
    </xdr:to>
    <xdr:sp macro="" textlink="">
      <xdr:nvSpPr>
        <xdr:cNvPr id="644" name="Wall98"/>
        <xdr:cNvSpPr/>
      </xdr:nvSpPr>
      <xdr:spPr>
        <a:xfrm>
          <a:off x="1993900" y="3708400"/>
          <a:ext cx="38100" cy="482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469900</xdr:colOff>
      <xdr:row>21</xdr:row>
      <xdr:rowOff>152400</xdr:rowOff>
    </xdr:from>
    <xdr:to>
      <xdr:col>4</xdr:col>
      <xdr:colOff>50800</xdr:colOff>
      <xdr:row>22</xdr:row>
      <xdr:rowOff>0</xdr:rowOff>
    </xdr:to>
    <xdr:sp macro="" textlink="">
      <xdr:nvSpPr>
        <xdr:cNvPr id="646" name="Wall99"/>
        <xdr:cNvSpPr/>
      </xdr:nvSpPr>
      <xdr:spPr>
        <a:xfrm>
          <a:off x="2032000" y="4191000"/>
          <a:ext cx="1905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50800</xdr:colOff>
      <xdr:row>18</xdr:row>
      <xdr:rowOff>139700</xdr:rowOff>
    </xdr:from>
    <xdr:to>
      <xdr:col>4</xdr:col>
      <xdr:colOff>88900</xdr:colOff>
      <xdr:row>21</xdr:row>
      <xdr:rowOff>139700</xdr:rowOff>
    </xdr:to>
    <xdr:sp macro="" textlink="">
      <xdr:nvSpPr>
        <xdr:cNvPr id="647" name="Wall100"/>
        <xdr:cNvSpPr/>
      </xdr:nvSpPr>
      <xdr:spPr>
        <a:xfrm>
          <a:off x="2222500" y="3606800"/>
          <a:ext cx="38100" cy="5715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495300</xdr:colOff>
      <xdr:row>18</xdr:row>
      <xdr:rowOff>101600</xdr:rowOff>
    </xdr:from>
    <xdr:to>
      <xdr:col>10</xdr:col>
      <xdr:colOff>457200</xdr:colOff>
      <xdr:row>18</xdr:row>
      <xdr:rowOff>139700</xdr:rowOff>
    </xdr:to>
    <xdr:sp macro="" textlink="">
      <xdr:nvSpPr>
        <xdr:cNvPr id="649" name="Wall101"/>
        <xdr:cNvSpPr/>
      </xdr:nvSpPr>
      <xdr:spPr>
        <a:xfrm>
          <a:off x="5715000" y="3568700"/>
          <a:ext cx="5715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457200</xdr:colOff>
      <xdr:row>18</xdr:row>
      <xdr:rowOff>139700</xdr:rowOff>
    </xdr:from>
    <xdr:to>
      <xdr:col>10</xdr:col>
      <xdr:colOff>495300</xdr:colOff>
      <xdr:row>19</xdr:row>
      <xdr:rowOff>25400</xdr:rowOff>
    </xdr:to>
    <xdr:sp macro="" textlink="">
      <xdr:nvSpPr>
        <xdr:cNvPr id="650" name="Wall102"/>
        <xdr:cNvSpPr/>
      </xdr:nvSpPr>
      <xdr:spPr>
        <a:xfrm>
          <a:off x="6286500" y="3606800"/>
          <a:ext cx="38100" cy="76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19</xdr:row>
      <xdr:rowOff>12700</xdr:rowOff>
    </xdr:from>
    <xdr:to>
      <xdr:col>10</xdr:col>
      <xdr:colOff>457200</xdr:colOff>
      <xdr:row>19</xdr:row>
      <xdr:rowOff>50800</xdr:rowOff>
    </xdr:to>
    <xdr:sp macro="" textlink="">
      <xdr:nvSpPr>
        <xdr:cNvPr id="651" name="Wall103"/>
        <xdr:cNvSpPr/>
      </xdr:nvSpPr>
      <xdr:spPr>
        <a:xfrm>
          <a:off x="5981700" y="3670300"/>
          <a:ext cx="3048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101600</xdr:colOff>
      <xdr:row>19</xdr:row>
      <xdr:rowOff>50800</xdr:rowOff>
    </xdr:from>
    <xdr:to>
      <xdr:col>10</xdr:col>
      <xdr:colOff>139700</xdr:colOff>
      <xdr:row>21</xdr:row>
      <xdr:rowOff>152400</xdr:rowOff>
    </xdr:to>
    <xdr:sp macro="" textlink="">
      <xdr:nvSpPr>
        <xdr:cNvPr id="652" name="Wall104"/>
        <xdr:cNvSpPr/>
      </xdr:nvSpPr>
      <xdr:spPr>
        <a:xfrm>
          <a:off x="5930900" y="3708400"/>
          <a:ext cx="38100" cy="482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495300</xdr:colOff>
      <xdr:row>21</xdr:row>
      <xdr:rowOff>152400</xdr:rowOff>
    </xdr:from>
    <xdr:to>
      <xdr:col>10</xdr:col>
      <xdr:colOff>88900</xdr:colOff>
      <xdr:row>22</xdr:row>
      <xdr:rowOff>0</xdr:rowOff>
    </xdr:to>
    <xdr:sp macro="" textlink="">
      <xdr:nvSpPr>
        <xdr:cNvPr id="653" name="Wall105"/>
        <xdr:cNvSpPr/>
      </xdr:nvSpPr>
      <xdr:spPr>
        <a:xfrm>
          <a:off x="5715000" y="4191000"/>
          <a:ext cx="2032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457200</xdr:colOff>
      <xdr:row>18</xdr:row>
      <xdr:rowOff>139700</xdr:rowOff>
    </xdr:from>
    <xdr:to>
      <xdr:col>9</xdr:col>
      <xdr:colOff>495300</xdr:colOff>
      <xdr:row>21</xdr:row>
      <xdr:rowOff>139700</xdr:rowOff>
    </xdr:to>
    <xdr:sp macro="" textlink="">
      <xdr:nvSpPr>
        <xdr:cNvPr id="654" name="Wall106"/>
        <xdr:cNvSpPr/>
      </xdr:nvSpPr>
      <xdr:spPr>
        <a:xfrm>
          <a:off x="5676900" y="3606800"/>
          <a:ext cx="38100" cy="5715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101600</xdr:colOff>
      <xdr:row>23</xdr:row>
      <xdr:rowOff>177800</xdr:rowOff>
    </xdr:from>
    <xdr:to>
      <xdr:col>4</xdr:col>
      <xdr:colOff>469900</xdr:colOff>
      <xdr:row>24</xdr:row>
      <xdr:rowOff>25400</xdr:rowOff>
    </xdr:to>
    <xdr:sp macro="" textlink="">
      <xdr:nvSpPr>
        <xdr:cNvPr id="655" name="Wall107"/>
        <xdr:cNvSpPr/>
      </xdr:nvSpPr>
      <xdr:spPr>
        <a:xfrm>
          <a:off x="1663700" y="4597400"/>
          <a:ext cx="9779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63500</xdr:colOff>
      <xdr:row>24</xdr:row>
      <xdr:rowOff>25400</xdr:rowOff>
    </xdr:from>
    <xdr:to>
      <xdr:col>3</xdr:col>
      <xdr:colOff>101600</xdr:colOff>
      <xdr:row>24</xdr:row>
      <xdr:rowOff>101600</xdr:rowOff>
    </xdr:to>
    <xdr:sp macro="" textlink="">
      <xdr:nvSpPr>
        <xdr:cNvPr id="656" name="Wall108"/>
        <xdr:cNvSpPr/>
      </xdr:nvSpPr>
      <xdr:spPr>
        <a:xfrm>
          <a:off x="1625600" y="4635500"/>
          <a:ext cx="38100" cy="76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482600</xdr:colOff>
      <xdr:row>21</xdr:row>
      <xdr:rowOff>76200</xdr:rowOff>
    </xdr:from>
    <xdr:to>
      <xdr:col>4</xdr:col>
      <xdr:colOff>520700</xdr:colOff>
      <xdr:row>23</xdr:row>
      <xdr:rowOff>177800</xdr:rowOff>
    </xdr:to>
    <xdr:sp macro="" textlink="">
      <xdr:nvSpPr>
        <xdr:cNvPr id="657" name="Wall109"/>
        <xdr:cNvSpPr/>
      </xdr:nvSpPr>
      <xdr:spPr>
        <a:xfrm>
          <a:off x="2654300" y="4114800"/>
          <a:ext cx="38100" cy="482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520700</xdr:colOff>
      <xdr:row>21</xdr:row>
      <xdr:rowOff>38100</xdr:rowOff>
    </xdr:from>
    <xdr:to>
      <xdr:col>5</xdr:col>
      <xdr:colOff>63500</xdr:colOff>
      <xdr:row>21</xdr:row>
      <xdr:rowOff>76200</xdr:rowOff>
    </xdr:to>
    <xdr:sp macro="" textlink="">
      <xdr:nvSpPr>
        <xdr:cNvPr id="658" name="Wall110"/>
        <xdr:cNvSpPr/>
      </xdr:nvSpPr>
      <xdr:spPr>
        <a:xfrm>
          <a:off x="2692400" y="4076700"/>
          <a:ext cx="1524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63500</xdr:colOff>
      <xdr:row>21</xdr:row>
      <xdr:rowOff>76200</xdr:rowOff>
    </xdr:from>
    <xdr:to>
      <xdr:col>5</xdr:col>
      <xdr:colOff>101600</xdr:colOff>
      <xdr:row>23</xdr:row>
      <xdr:rowOff>177800</xdr:rowOff>
    </xdr:to>
    <xdr:sp macro="" textlink="">
      <xdr:nvSpPr>
        <xdr:cNvPr id="659" name="Wall111"/>
        <xdr:cNvSpPr/>
      </xdr:nvSpPr>
      <xdr:spPr>
        <a:xfrm>
          <a:off x="2844800" y="4114800"/>
          <a:ext cx="38100" cy="482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101600</xdr:colOff>
      <xdr:row>23</xdr:row>
      <xdr:rowOff>177800</xdr:rowOff>
    </xdr:from>
    <xdr:to>
      <xdr:col>5</xdr:col>
      <xdr:colOff>584200</xdr:colOff>
      <xdr:row>24</xdr:row>
      <xdr:rowOff>25400</xdr:rowOff>
    </xdr:to>
    <xdr:sp macro="" textlink="">
      <xdr:nvSpPr>
        <xdr:cNvPr id="660" name="Wall112"/>
        <xdr:cNvSpPr/>
      </xdr:nvSpPr>
      <xdr:spPr>
        <a:xfrm>
          <a:off x="2882900" y="4597400"/>
          <a:ext cx="4826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584200</xdr:colOff>
      <xdr:row>24</xdr:row>
      <xdr:rowOff>25400</xdr:rowOff>
    </xdr:from>
    <xdr:to>
      <xdr:col>6</xdr:col>
      <xdr:colOff>12700</xdr:colOff>
      <xdr:row>24</xdr:row>
      <xdr:rowOff>101600</xdr:rowOff>
    </xdr:to>
    <xdr:sp macro="" textlink="">
      <xdr:nvSpPr>
        <xdr:cNvPr id="661" name="Wall113"/>
        <xdr:cNvSpPr/>
      </xdr:nvSpPr>
      <xdr:spPr>
        <a:xfrm>
          <a:off x="3365500" y="4635500"/>
          <a:ext cx="38100" cy="76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101600</xdr:colOff>
      <xdr:row>24</xdr:row>
      <xdr:rowOff>88900</xdr:rowOff>
    </xdr:from>
    <xdr:to>
      <xdr:col>5</xdr:col>
      <xdr:colOff>584200</xdr:colOff>
      <xdr:row>24</xdr:row>
      <xdr:rowOff>127000</xdr:rowOff>
    </xdr:to>
    <xdr:sp macro="" textlink="">
      <xdr:nvSpPr>
        <xdr:cNvPr id="662" name="Wall114"/>
        <xdr:cNvSpPr/>
      </xdr:nvSpPr>
      <xdr:spPr>
        <a:xfrm>
          <a:off x="1663700" y="4699000"/>
          <a:ext cx="17018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482600</xdr:colOff>
      <xdr:row>23</xdr:row>
      <xdr:rowOff>177800</xdr:rowOff>
    </xdr:from>
    <xdr:to>
      <xdr:col>8</xdr:col>
      <xdr:colOff>431800</xdr:colOff>
      <xdr:row>24</xdr:row>
      <xdr:rowOff>25400</xdr:rowOff>
    </xdr:to>
    <xdr:sp macro="" textlink="">
      <xdr:nvSpPr>
        <xdr:cNvPr id="664" name="Wall115"/>
        <xdr:cNvSpPr/>
      </xdr:nvSpPr>
      <xdr:spPr>
        <a:xfrm>
          <a:off x="4483100" y="4597400"/>
          <a:ext cx="5588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444500</xdr:colOff>
      <xdr:row>24</xdr:row>
      <xdr:rowOff>25400</xdr:rowOff>
    </xdr:from>
    <xdr:to>
      <xdr:col>7</xdr:col>
      <xdr:colOff>482600</xdr:colOff>
      <xdr:row>24</xdr:row>
      <xdr:rowOff>101600</xdr:rowOff>
    </xdr:to>
    <xdr:sp macro="" textlink="">
      <xdr:nvSpPr>
        <xdr:cNvPr id="665" name="Wall116"/>
        <xdr:cNvSpPr/>
      </xdr:nvSpPr>
      <xdr:spPr>
        <a:xfrm>
          <a:off x="4445000" y="4635500"/>
          <a:ext cx="38100" cy="76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431800</xdr:colOff>
      <xdr:row>21</xdr:row>
      <xdr:rowOff>76200</xdr:rowOff>
    </xdr:from>
    <xdr:to>
      <xdr:col>8</xdr:col>
      <xdr:colOff>469900</xdr:colOff>
      <xdr:row>23</xdr:row>
      <xdr:rowOff>177800</xdr:rowOff>
    </xdr:to>
    <xdr:sp macro="" textlink="">
      <xdr:nvSpPr>
        <xdr:cNvPr id="666" name="Wall117"/>
        <xdr:cNvSpPr/>
      </xdr:nvSpPr>
      <xdr:spPr>
        <a:xfrm>
          <a:off x="5041900" y="4114800"/>
          <a:ext cx="38100" cy="482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469900</xdr:colOff>
      <xdr:row>21</xdr:row>
      <xdr:rowOff>38100</xdr:rowOff>
    </xdr:from>
    <xdr:to>
      <xdr:col>9</xdr:col>
      <xdr:colOff>50800</xdr:colOff>
      <xdr:row>21</xdr:row>
      <xdr:rowOff>76200</xdr:rowOff>
    </xdr:to>
    <xdr:sp macro="" textlink="">
      <xdr:nvSpPr>
        <xdr:cNvPr id="667" name="Wall118"/>
        <xdr:cNvSpPr/>
      </xdr:nvSpPr>
      <xdr:spPr>
        <a:xfrm>
          <a:off x="5080000" y="4076700"/>
          <a:ext cx="1905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50800</xdr:colOff>
      <xdr:row>21</xdr:row>
      <xdr:rowOff>76200</xdr:rowOff>
    </xdr:from>
    <xdr:to>
      <xdr:col>9</xdr:col>
      <xdr:colOff>88900</xdr:colOff>
      <xdr:row>23</xdr:row>
      <xdr:rowOff>177800</xdr:rowOff>
    </xdr:to>
    <xdr:sp macro="" textlink="">
      <xdr:nvSpPr>
        <xdr:cNvPr id="668" name="Wall119"/>
        <xdr:cNvSpPr/>
      </xdr:nvSpPr>
      <xdr:spPr>
        <a:xfrm>
          <a:off x="5270500" y="4114800"/>
          <a:ext cx="38100" cy="4826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88900</xdr:colOff>
      <xdr:row>23</xdr:row>
      <xdr:rowOff>177800</xdr:rowOff>
    </xdr:from>
    <xdr:to>
      <xdr:col>10</xdr:col>
      <xdr:colOff>457200</xdr:colOff>
      <xdr:row>24</xdr:row>
      <xdr:rowOff>25400</xdr:rowOff>
    </xdr:to>
    <xdr:sp macro="" textlink="">
      <xdr:nvSpPr>
        <xdr:cNvPr id="669" name="Wall120"/>
        <xdr:cNvSpPr/>
      </xdr:nvSpPr>
      <xdr:spPr>
        <a:xfrm>
          <a:off x="5308600" y="4597400"/>
          <a:ext cx="9779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444500</xdr:colOff>
      <xdr:row>24</xdr:row>
      <xdr:rowOff>25400</xdr:rowOff>
    </xdr:from>
    <xdr:to>
      <xdr:col>10</xdr:col>
      <xdr:colOff>482600</xdr:colOff>
      <xdr:row>24</xdr:row>
      <xdr:rowOff>101600</xdr:rowOff>
    </xdr:to>
    <xdr:sp macro="" textlink="">
      <xdr:nvSpPr>
        <xdr:cNvPr id="670" name="Wall121"/>
        <xdr:cNvSpPr/>
      </xdr:nvSpPr>
      <xdr:spPr>
        <a:xfrm>
          <a:off x="6273800" y="4635500"/>
          <a:ext cx="38100" cy="76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482600</xdr:colOff>
      <xdr:row>24</xdr:row>
      <xdr:rowOff>88900</xdr:rowOff>
    </xdr:from>
    <xdr:to>
      <xdr:col>10</xdr:col>
      <xdr:colOff>444500</xdr:colOff>
      <xdr:row>24</xdr:row>
      <xdr:rowOff>127000</xdr:rowOff>
    </xdr:to>
    <xdr:sp macro="" textlink="">
      <xdr:nvSpPr>
        <xdr:cNvPr id="671" name="Wall122"/>
        <xdr:cNvSpPr/>
      </xdr:nvSpPr>
      <xdr:spPr>
        <a:xfrm>
          <a:off x="4483100" y="4699000"/>
          <a:ext cx="17907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520700</xdr:colOff>
      <xdr:row>13</xdr:row>
      <xdr:rowOff>177800</xdr:rowOff>
    </xdr:from>
    <xdr:to>
      <xdr:col>5</xdr:col>
      <xdr:colOff>63500</xdr:colOff>
      <xdr:row>14</xdr:row>
      <xdr:rowOff>25400</xdr:rowOff>
    </xdr:to>
    <xdr:sp macro="" textlink="">
      <xdr:nvSpPr>
        <xdr:cNvPr id="673" name="Wall123"/>
        <xdr:cNvSpPr/>
      </xdr:nvSpPr>
      <xdr:spPr>
        <a:xfrm>
          <a:off x="2692400" y="2692400"/>
          <a:ext cx="1524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482600</xdr:colOff>
      <xdr:row>14</xdr:row>
      <xdr:rowOff>25400</xdr:rowOff>
    </xdr:from>
    <xdr:to>
      <xdr:col>4</xdr:col>
      <xdr:colOff>520700</xdr:colOff>
      <xdr:row>16</xdr:row>
      <xdr:rowOff>88900</xdr:rowOff>
    </xdr:to>
    <xdr:sp macro="" textlink="">
      <xdr:nvSpPr>
        <xdr:cNvPr id="674" name="Wall124"/>
        <xdr:cNvSpPr/>
      </xdr:nvSpPr>
      <xdr:spPr>
        <a:xfrm>
          <a:off x="2654300" y="2730500"/>
          <a:ext cx="38100" cy="4445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63500</xdr:colOff>
      <xdr:row>14</xdr:row>
      <xdr:rowOff>25400</xdr:rowOff>
    </xdr:from>
    <xdr:to>
      <xdr:col>5</xdr:col>
      <xdr:colOff>101600</xdr:colOff>
      <xdr:row>16</xdr:row>
      <xdr:rowOff>88900</xdr:rowOff>
    </xdr:to>
    <xdr:sp macro="" textlink="">
      <xdr:nvSpPr>
        <xdr:cNvPr id="675" name="Wall125"/>
        <xdr:cNvSpPr/>
      </xdr:nvSpPr>
      <xdr:spPr>
        <a:xfrm>
          <a:off x="2844800" y="2730500"/>
          <a:ext cx="38100" cy="4445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520700</xdr:colOff>
      <xdr:row>16</xdr:row>
      <xdr:rowOff>88900</xdr:rowOff>
    </xdr:from>
    <xdr:to>
      <xdr:col>5</xdr:col>
      <xdr:colOff>63500</xdr:colOff>
      <xdr:row>16</xdr:row>
      <xdr:rowOff>127000</xdr:rowOff>
    </xdr:to>
    <xdr:sp macro="" textlink="">
      <xdr:nvSpPr>
        <xdr:cNvPr id="676" name="Wall126"/>
        <xdr:cNvSpPr/>
      </xdr:nvSpPr>
      <xdr:spPr>
        <a:xfrm>
          <a:off x="2692400" y="3175000"/>
          <a:ext cx="1524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469900</xdr:colOff>
      <xdr:row>13</xdr:row>
      <xdr:rowOff>177800</xdr:rowOff>
    </xdr:from>
    <xdr:to>
      <xdr:col>9</xdr:col>
      <xdr:colOff>50800</xdr:colOff>
      <xdr:row>14</xdr:row>
      <xdr:rowOff>25400</xdr:rowOff>
    </xdr:to>
    <xdr:sp macro="" textlink="">
      <xdr:nvSpPr>
        <xdr:cNvPr id="677" name="Wall127"/>
        <xdr:cNvSpPr/>
      </xdr:nvSpPr>
      <xdr:spPr>
        <a:xfrm>
          <a:off x="5080000" y="2692400"/>
          <a:ext cx="1905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431800</xdr:colOff>
      <xdr:row>14</xdr:row>
      <xdr:rowOff>25400</xdr:rowOff>
    </xdr:from>
    <xdr:to>
      <xdr:col>8</xdr:col>
      <xdr:colOff>469900</xdr:colOff>
      <xdr:row>16</xdr:row>
      <xdr:rowOff>88900</xdr:rowOff>
    </xdr:to>
    <xdr:sp macro="" textlink="">
      <xdr:nvSpPr>
        <xdr:cNvPr id="678" name="Wall128"/>
        <xdr:cNvSpPr/>
      </xdr:nvSpPr>
      <xdr:spPr>
        <a:xfrm>
          <a:off x="5041900" y="2730500"/>
          <a:ext cx="38100" cy="4445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50800</xdr:colOff>
      <xdr:row>14</xdr:row>
      <xdr:rowOff>25400</xdr:rowOff>
    </xdr:from>
    <xdr:to>
      <xdr:col>9</xdr:col>
      <xdr:colOff>88900</xdr:colOff>
      <xdr:row>16</xdr:row>
      <xdr:rowOff>88900</xdr:rowOff>
    </xdr:to>
    <xdr:sp macro="" textlink="">
      <xdr:nvSpPr>
        <xdr:cNvPr id="679" name="Wall129"/>
        <xdr:cNvSpPr/>
      </xdr:nvSpPr>
      <xdr:spPr>
        <a:xfrm>
          <a:off x="5270500" y="2730500"/>
          <a:ext cx="38100" cy="4445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469900</xdr:colOff>
      <xdr:row>16</xdr:row>
      <xdr:rowOff>88900</xdr:rowOff>
    </xdr:from>
    <xdr:to>
      <xdr:col>9</xdr:col>
      <xdr:colOff>50800</xdr:colOff>
      <xdr:row>16</xdr:row>
      <xdr:rowOff>127000</xdr:rowOff>
    </xdr:to>
    <xdr:sp macro="" textlink="">
      <xdr:nvSpPr>
        <xdr:cNvPr id="680" name="Wall130"/>
        <xdr:cNvSpPr/>
      </xdr:nvSpPr>
      <xdr:spPr>
        <a:xfrm>
          <a:off x="5080000" y="3175000"/>
          <a:ext cx="1905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520700</xdr:colOff>
      <xdr:row>18</xdr:row>
      <xdr:rowOff>101600</xdr:rowOff>
    </xdr:from>
    <xdr:to>
      <xdr:col>5</xdr:col>
      <xdr:colOff>584200</xdr:colOff>
      <xdr:row>18</xdr:row>
      <xdr:rowOff>139700</xdr:rowOff>
    </xdr:to>
    <xdr:sp macro="" textlink="">
      <xdr:nvSpPr>
        <xdr:cNvPr id="681" name="Wall131"/>
        <xdr:cNvSpPr/>
      </xdr:nvSpPr>
      <xdr:spPr>
        <a:xfrm>
          <a:off x="2692400" y="3568700"/>
          <a:ext cx="6731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584200</xdr:colOff>
      <xdr:row>18</xdr:row>
      <xdr:rowOff>139700</xdr:rowOff>
    </xdr:from>
    <xdr:to>
      <xdr:col>6</xdr:col>
      <xdr:colOff>12700</xdr:colOff>
      <xdr:row>19</xdr:row>
      <xdr:rowOff>25400</xdr:rowOff>
    </xdr:to>
    <xdr:sp macro="" textlink="">
      <xdr:nvSpPr>
        <xdr:cNvPr id="682" name="Wall132"/>
        <xdr:cNvSpPr/>
      </xdr:nvSpPr>
      <xdr:spPr>
        <a:xfrm>
          <a:off x="3365500" y="3606800"/>
          <a:ext cx="38100" cy="76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520700</xdr:colOff>
      <xdr:row>19</xdr:row>
      <xdr:rowOff>12700</xdr:rowOff>
    </xdr:from>
    <xdr:to>
      <xdr:col>5</xdr:col>
      <xdr:colOff>584200</xdr:colOff>
      <xdr:row>19</xdr:row>
      <xdr:rowOff>50800</xdr:rowOff>
    </xdr:to>
    <xdr:sp macro="" textlink="">
      <xdr:nvSpPr>
        <xdr:cNvPr id="683" name="Wall133"/>
        <xdr:cNvSpPr/>
      </xdr:nvSpPr>
      <xdr:spPr>
        <a:xfrm>
          <a:off x="2692400" y="3670300"/>
          <a:ext cx="6731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482600</xdr:colOff>
      <xdr:row>18</xdr:row>
      <xdr:rowOff>139700</xdr:rowOff>
    </xdr:from>
    <xdr:to>
      <xdr:col>4</xdr:col>
      <xdr:colOff>520700</xdr:colOff>
      <xdr:row>19</xdr:row>
      <xdr:rowOff>25400</xdr:rowOff>
    </xdr:to>
    <xdr:sp macro="" textlink="">
      <xdr:nvSpPr>
        <xdr:cNvPr id="684" name="Wall134"/>
        <xdr:cNvSpPr/>
      </xdr:nvSpPr>
      <xdr:spPr>
        <a:xfrm>
          <a:off x="2654300" y="3606800"/>
          <a:ext cx="38100" cy="76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469900</xdr:colOff>
      <xdr:row>18</xdr:row>
      <xdr:rowOff>101600</xdr:rowOff>
    </xdr:from>
    <xdr:to>
      <xdr:col>9</xdr:col>
      <xdr:colOff>38100</xdr:colOff>
      <xdr:row>18</xdr:row>
      <xdr:rowOff>139700</xdr:rowOff>
    </xdr:to>
    <xdr:sp macro="" textlink="">
      <xdr:nvSpPr>
        <xdr:cNvPr id="685" name="Wall135"/>
        <xdr:cNvSpPr/>
      </xdr:nvSpPr>
      <xdr:spPr>
        <a:xfrm>
          <a:off x="4470400" y="3568700"/>
          <a:ext cx="7874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50800</xdr:colOff>
      <xdr:row>18</xdr:row>
      <xdr:rowOff>139700</xdr:rowOff>
    </xdr:from>
    <xdr:to>
      <xdr:col>9</xdr:col>
      <xdr:colOff>88900</xdr:colOff>
      <xdr:row>19</xdr:row>
      <xdr:rowOff>25400</xdr:rowOff>
    </xdr:to>
    <xdr:sp macro="" textlink="">
      <xdr:nvSpPr>
        <xdr:cNvPr id="686" name="Wall136"/>
        <xdr:cNvSpPr/>
      </xdr:nvSpPr>
      <xdr:spPr>
        <a:xfrm>
          <a:off x="5270500" y="3606800"/>
          <a:ext cx="38100" cy="76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469900</xdr:colOff>
      <xdr:row>19</xdr:row>
      <xdr:rowOff>12700</xdr:rowOff>
    </xdr:from>
    <xdr:to>
      <xdr:col>9</xdr:col>
      <xdr:colOff>38100</xdr:colOff>
      <xdr:row>19</xdr:row>
      <xdr:rowOff>50800</xdr:rowOff>
    </xdr:to>
    <xdr:sp macro="" textlink="">
      <xdr:nvSpPr>
        <xdr:cNvPr id="687" name="Wall137"/>
        <xdr:cNvSpPr/>
      </xdr:nvSpPr>
      <xdr:spPr>
        <a:xfrm>
          <a:off x="4470400" y="3670300"/>
          <a:ext cx="7874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431800</xdr:colOff>
      <xdr:row>18</xdr:row>
      <xdr:rowOff>139700</xdr:rowOff>
    </xdr:from>
    <xdr:to>
      <xdr:col>7</xdr:col>
      <xdr:colOff>469900</xdr:colOff>
      <xdr:row>19</xdr:row>
      <xdr:rowOff>25400</xdr:rowOff>
    </xdr:to>
    <xdr:sp macro="" textlink="">
      <xdr:nvSpPr>
        <xdr:cNvPr id="688" name="Wall138"/>
        <xdr:cNvSpPr/>
      </xdr:nvSpPr>
      <xdr:spPr>
        <a:xfrm>
          <a:off x="4432300" y="3606800"/>
          <a:ext cx="38100" cy="762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520700</xdr:colOff>
      <xdr:row>13</xdr:row>
      <xdr:rowOff>139700</xdr:rowOff>
    </xdr:from>
    <xdr:to>
      <xdr:col>8</xdr:col>
      <xdr:colOff>12700</xdr:colOff>
      <xdr:row>13</xdr:row>
      <xdr:rowOff>177800</xdr:rowOff>
    </xdr:to>
    <xdr:sp macro="" textlink="">
      <xdr:nvSpPr>
        <xdr:cNvPr id="14" name="Wall139"/>
        <xdr:cNvSpPr/>
      </xdr:nvSpPr>
      <xdr:spPr>
        <a:xfrm>
          <a:off x="3302000" y="2654300"/>
          <a:ext cx="13208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482600</xdr:colOff>
      <xdr:row>11</xdr:row>
      <xdr:rowOff>107950</xdr:rowOff>
    </xdr:from>
    <xdr:to>
      <xdr:col>5</xdr:col>
      <xdr:colOff>520700</xdr:colOff>
      <xdr:row>13</xdr:row>
      <xdr:rowOff>114300</xdr:rowOff>
    </xdr:to>
    <xdr:sp macro="" textlink="">
      <xdr:nvSpPr>
        <xdr:cNvPr id="15" name="Wall140"/>
        <xdr:cNvSpPr/>
      </xdr:nvSpPr>
      <xdr:spPr>
        <a:xfrm>
          <a:off x="3263900" y="2222500"/>
          <a:ext cx="38100" cy="4064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520700</xdr:colOff>
      <xdr:row>11</xdr:row>
      <xdr:rowOff>69850</xdr:rowOff>
    </xdr:from>
    <xdr:to>
      <xdr:col>6</xdr:col>
      <xdr:colOff>368300</xdr:colOff>
      <xdr:row>11</xdr:row>
      <xdr:rowOff>107950</xdr:rowOff>
    </xdr:to>
    <xdr:sp macro="" textlink="">
      <xdr:nvSpPr>
        <xdr:cNvPr id="16" name="Wall141"/>
        <xdr:cNvSpPr/>
      </xdr:nvSpPr>
      <xdr:spPr>
        <a:xfrm>
          <a:off x="3302000" y="2184400"/>
          <a:ext cx="4572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11</xdr:row>
      <xdr:rowOff>69850</xdr:rowOff>
    </xdr:from>
    <xdr:to>
      <xdr:col>7</xdr:col>
      <xdr:colOff>152400</xdr:colOff>
      <xdr:row>11</xdr:row>
      <xdr:rowOff>107950</xdr:rowOff>
    </xdr:to>
    <xdr:sp macro="" textlink="">
      <xdr:nvSpPr>
        <xdr:cNvPr id="17" name="Wall142"/>
        <xdr:cNvSpPr/>
      </xdr:nvSpPr>
      <xdr:spPr>
        <a:xfrm>
          <a:off x="3771900" y="2184400"/>
          <a:ext cx="381000" cy="3810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165100</xdr:colOff>
      <xdr:row>11</xdr:row>
      <xdr:rowOff>69850</xdr:rowOff>
    </xdr:from>
    <xdr:to>
      <xdr:col>8</xdr:col>
      <xdr:colOff>12700</xdr:colOff>
      <xdr:row>11</xdr:row>
      <xdr:rowOff>107950</xdr:rowOff>
    </xdr:to>
    <xdr:sp macro="" textlink="">
      <xdr:nvSpPr>
        <xdr:cNvPr id="693" name="Wall143"/>
        <xdr:cNvSpPr/>
      </xdr:nvSpPr>
      <xdr:spPr>
        <a:xfrm>
          <a:off x="4165600" y="2184400"/>
          <a:ext cx="4572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101600</xdr:colOff>
      <xdr:row>14</xdr:row>
      <xdr:rowOff>25400</xdr:rowOff>
    </xdr:from>
    <xdr:to>
      <xdr:col>2</xdr:col>
      <xdr:colOff>139700</xdr:colOff>
      <xdr:row>27</xdr:row>
      <xdr:rowOff>88900</xdr:rowOff>
    </xdr:to>
    <xdr:sp macro="" textlink="">
      <xdr:nvSpPr>
        <xdr:cNvPr id="18" name="Wall147"/>
        <xdr:cNvSpPr/>
      </xdr:nvSpPr>
      <xdr:spPr>
        <a:xfrm>
          <a:off x="1054100" y="2730500"/>
          <a:ext cx="38100" cy="25400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25400</xdr:colOff>
      <xdr:row>11</xdr:row>
      <xdr:rowOff>107950</xdr:rowOff>
    </xdr:from>
    <xdr:to>
      <xdr:col>8</xdr:col>
      <xdr:colOff>63500</xdr:colOff>
      <xdr:row>13</xdr:row>
      <xdr:rowOff>114300</xdr:rowOff>
    </xdr:to>
    <xdr:sp macro="" textlink="">
      <xdr:nvSpPr>
        <xdr:cNvPr id="695" name="Wall144"/>
        <xdr:cNvSpPr/>
      </xdr:nvSpPr>
      <xdr:spPr>
        <a:xfrm>
          <a:off x="4635500" y="2222500"/>
          <a:ext cx="38100" cy="4064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393700</xdr:colOff>
      <xdr:row>14</xdr:row>
      <xdr:rowOff>25400</xdr:rowOff>
    </xdr:from>
    <xdr:to>
      <xdr:col>11</xdr:col>
      <xdr:colOff>431800</xdr:colOff>
      <xdr:row>27</xdr:row>
      <xdr:rowOff>88900</xdr:rowOff>
    </xdr:to>
    <xdr:sp macro="" textlink="">
      <xdr:nvSpPr>
        <xdr:cNvPr id="697" name="Wall148"/>
        <xdr:cNvSpPr/>
      </xdr:nvSpPr>
      <xdr:spPr>
        <a:xfrm>
          <a:off x="6832600" y="2730500"/>
          <a:ext cx="38100" cy="25400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393700</xdr:colOff>
      <xdr:row>0</xdr:row>
      <xdr:rowOff>50800</xdr:rowOff>
    </xdr:from>
    <xdr:to>
      <xdr:col>11</xdr:col>
      <xdr:colOff>431800</xdr:colOff>
      <xdr:row>12</xdr:row>
      <xdr:rowOff>22225</xdr:rowOff>
    </xdr:to>
    <xdr:sp macro="" textlink="">
      <xdr:nvSpPr>
        <xdr:cNvPr id="698" name="Wall146"/>
        <xdr:cNvSpPr/>
      </xdr:nvSpPr>
      <xdr:spPr>
        <a:xfrm>
          <a:off x="6832600" y="50800"/>
          <a:ext cx="38100" cy="22860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101600</xdr:colOff>
      <xdr:row>0</xdr:row>
      <xdr:rowOff>50800</xdr:rowOff>
    </xdr:from>
    <xdr:to>
      <xdr:col>2</xdr:col>
      <xdr:colOff>139700</xdr:colOff>
      <xdr:row>12</xdr:row>
      <xdr:rowOff>22225</xdr:rowOff>
    </xdr:to>
    <xdr:sp macro="" textlink="">
      <xdr:nvSpPr>
        <xdr:cNvPr id="699" name="Wall145"/>
        <xdr:cNvSpPr/>
      </xdr:nvSpPr>
      <xdr:spPr>
        <a:xfrm>
          <a:off x="1054100" y="50800"/>
          <a:ext cx="38100" cy="22860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419100</xdr:colOff>
      <xdr:row>14</xdr:row>
      <xdr:rowOff>25400</xdr:rowOff>
    </xdr:from>
    <xdr:to>
      <xdr:col>7</xdr:col>
      <xdr:colOff>127000</xdr:colOff>
      <xdr:row>15</xdr:row>
      <xdr:rowOff>152400</xdr:rowOff>
    </xdr:to>
    <xdr:sp macro="" textlink="">
      <xdr:nvSpPr>
        <xdr:cNvPr id="7" name="Pacmanc" hidden="1"/>
        <xdr:cNvSpPr/>
      </xdr:nvSpPr>
      <xdr:spPr>
        <a:xfrm>
          <a:off x="3810000" y="2730500"/>
          <a:ext cx="317500" cy="317500"/>
        </a:xfrm>
        <a:prstGeom prst="pie">
          <a:avLst>
            <a:gd name="adj1" fmla="val 238859"/>
            <a:gd name="adj2" fmla="val 21580068"/>
          </a:avLst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419100</xdr:colOff>
      <xdr:row>14</xdr:row>
      <xdr:rowOff>25400</xdr:rowOff>
    </xdr:from>
    <xdr:to>
      <xdr:col>7</xdr:col>
      <xdr:colOff>127000</xdr:colOff>
      <xdr:row>15</xdr:row>
      <xdr:rowOff>152400</xdr:rowOff>
    </xdr:to>
    <xdr:sp macro="" textlink="">
      <xdr:nvSpPr>
        <xdr:cNvPr id="2" name="Pacman"/>
        <xdr:cNvSpPr/>
      </xdr:nvSpPr>
      <xdr:spPr>
        <a:xfrm>
          <a:off x="3810000" y="2730500"/>
          <a:ext cx="317500" cy="317500"/>
        </a:xfrm>
        <a:prstGeom prst="pie">
          <a:avLst>
            <a:gd name="adj1" fmla="val 2719223"/>
            <a:gd name="adj2" fmla="val 19125997"/>
          </a:avLst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139700</xdr:colOff>
      <xdr:row>27</xdr:row>
      <xdr:rowOff>88900</xdr:rowOff>
    </xdr:from>
    <xdr:to>
      <xdr:col>11</xdr:col>
      <xdr:colOff>381000</xdr:colOff>
      <xdr:row>27</xdr:row>
      <xdr:rowOff>127000</xdr:rowOff>
    </xdr:to>
    <xdr:sp macro="" textlink="">
      <xdr:nvSpPr>
        <xdr:cNvPr id="700" name="Wall149"/>
        <xdr:cNvSpPr/>
      </xdr:nvSpPr>
      <xdr:spPr>
        <a:xfrm>
          <a:off x="1092200" y="5270500"/>
          <a:ext cx="57277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139699</xdr:colOff>
      <xdr:row>0</xdr:row>
      <xdr:rowOff>12700</xdr:rowOff>
    </xdr:from>
    <xdr:to>
      <xdr:col>11</xdr:col>
      <xdr:colOff>380999</xdr:colOff>
      <xdr:row>0</xdr:row>
      <xdr:rowOff>50800</xdr:rowOff>
    </xdr:to>
    <xdr:sp macro="" textlink="">
      <xdr:nvSpPr>
        <xdr:cNvPr id="701" name="Wall150"/>
        <xdr:cNvSpPr/>
      </xdr:nvSpPr>
      <xdr:spPr>
        <a:xfrm>
          <a:off x="1092199" y="12700"/>
          <a:ext cx="5727700" cy="38100"/>
        </a:xfrm>
        <a:prstGeom prst="rect">
          <a:avLst/>
        </a:prstGeom>
        <a:solidFill>
          <a:srgbClr val="21C5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465667</xdr:colOff>
      <xdr:row>0</xdr:row>
      <xdr:rowOff>10583</xdr:rowOff>
    </xdr:from>
    <xdr:to>
      <xdr:col>12</xdr:col>
      <xdr:colOff>10584</xdr:colOff>
      <xdr:row>28</xdr:row>
      <xdr:rowOff>21167</xdr:rowOff>
    </xdr:to>
    <xdr:sp macro="" textlink="">
      <xdr:nvSpPr>
        <xdr:cNvPr id="19" name="Rectangle 18"/>
        <xdr:cNvSpPr/>
      </xdr:nvSpPr>
      <xdr:spPr>
        <a:xfrm>
          <a:off x="941917" y="10583"/>
          <a:ext cx="6159500" cy="5386917"/>
        </a:xfrm>
        <a:prstGeom prst="rect">
          <a:avLst/>
        </a:prstGeom>
        <a:solidFill>
          <a:srgbClr val="5B9BD5">
            <a:alpha val="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54429</xdr:colOff>
      <xdr:row>0</xdr:row>
      <xdr:rowOff>108858</xdr:rowOff>
    </xdr:from>
    <xdr:to>
      <xdr:col>52</xdr:col>
      <xdr:colOff>201227</xdr:colOff>
      <xdr:row>20</xdr:row>
      <xdr:rowOff>13608</xdr:rowOff>
    </xdr:to>
    <xdr:pic>
      <xdr:nvPicPr>
        <xdr:cNvPr id="2" name="Picture 1" descr="Image result for pacman gam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61179" y="108858"/>
          <a:ext cx="3820726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54429</xdr:colOff>
      <xdr:row>21</xdr:row>
      <xdr:rowOff>95250</xdr:rowOff>
    </xdr:from>
    <xdr:to>
      <xdr:col>47</xdr:col>
      <xdr:colOff>340179</xdr:colOff>
      <xdr:row>24</xdr:row>
      <xdr:rowOff>54429</xdr:rowOff>
    </xdr:to>
    <xdr:sp macro="[0]!M_Visible" textlink="">
      <xdr:nvSpPr>
        <xdr:cNvPr id="4" name="Rounded Rectangle 3"/>
        <xdr:cNvSpPr/>
      </xdr:nvSpPr>
      <xdr:spPr>
        <a:xfrm>
          <a:off x="15961179" y="4095750"/>
          <a:ext cx="898071" cy="53067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Visible</a:t>
          </a:r>
        </a:p>
      </xdr:txBody>
    </xdr:sp>
    <xdr:clientData/>
  </xdr:twoCellAnchor>
  <xdr:twoCellAnchor>
    <xdr:from>
      <xdr:col>47</xdr:col>
      <xdr:colOff>544286</xdr:colOff>
      <xdr:row>21</xdr:row>
      <xdr:rowOff>108857</xdr:rowOff>
    </xdr:from>
    <xdr:to>
      <xdr:col>49</xdr:col>
      <xdr:colOff>381000</xdr:colOff>
      <xdr:row>24</xdr:row>
      <xdr:rowOff>54429</xdr:rowOff>
    </xdr:to>
    <xdr:sp macro="[0]!Create_Dots" textlink="">
      <xdr:nvSpPr>
        <xdr:cNvPr id="3" name="Rounded Rectangle 2"/>
        <xdr:cNvSpPr/>
      </xdr:nvSpPr>
      <xdr:spPr>
        <a:xfrm>
          <a:off x="18478500" y="4109357"/>
          <a:ext cx="1061357" cy="5170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Dots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9"/>
  <sheetViews>
    <sheetView tabSelected="1" zoomScale="90" zoomScaleNormal="90" workbookViewId="0">
      <selection activeCell="A7" sqref="A7"/>
    </sheetView>
  </sheetViews>
  <sheetFormatPr defaultColWidth="0" defaultRowHeight="15" zeroHeight="1" x14ac:dyDescent="0.25"/>
  <cols>
    <col min="1" max="2" width="7.140625" style="2" customWidth="1"/>
    <col min="3" max="17" width="9.140625" style="2" customWidth="1"/>
    <col min="18" max="18" width="0" style="2" hidden="1" customWidth="1"/>
    <col min="19" max="16384" width="9.140625" style="2" hidden="1"/>
  </cols>
  <sheetData>
    <row r="1" spans="1:18" x14ac:dyDescent="0.25">
      <c r="A1" s="1">
        <v>180</v>
      </c>
      <c r="B1" s="1">
        <v>15</v>
      </c>
      <c r="C1" s="9"/>
      <c r="D1" s="9"/>
      <c r="E1" s="9"/>
      <c r="F1" s="9"/>
      <c r="G1" s="9"/>
      <c r="H1" s="9"/>
      <c r="I1" s="9"/>
      <c r="J1" s="9"/>
      <c r="K1" s="9"/>
      <c r="L1" s="9"/>
    </row>
    <row r="2" spans="1:18" x14ac:dyDescent="0.25">
      <c r="C2" s="9"/>
      <c r="D2" s="9"/>
      <c r="E2" s="9"/>
      <c r="F2" s="9"/>
      <c r="G2" s="9"/>
      <c r="H2" s="9"/>
      <c r="I2" s="9"/>
      <c r="J2" s="9"/>
      <c r="K2" s="9"/>
      <c r="L2" s="9"/>
    </row>
    <row r="3" spans="1:18" x14ac:dyDescent="0.25">
      <c r="C3" s="9"/>
      <c r="D3" s="9"/>
      <c r="E3" s="9"/>
      <c r="F3" s="9"/>
      <c r="G3" s="9"/>
      <c r="H3" s="9"/>
      <c r="I3" s="9"/>
      <c r="J3" s="9"/>
      <c r="K3" s="9"/>
      <c r="L3" s="9"/>
    </row>
    <row r="4" spans="1:18" x14ac:dyDescent="0.25">
      <c r="C4" s="9"/>
      <c r="D4" s="9"/>
      <c r="E4" s="9"/>
      <c r="F4" s="9"/>
      <c r="G4" s="9"/>
      <c r="H4" s="9"/>
      <c r="I4" s="9"/>
      <c r="J4" s="9"/>
      <c r="K4" s="9"/>
      <c r="L4" s="9"/>
    </row>
    <row r="5" spans="1:18" x14ac:dyDescent="0.25">
      <c r="C5" s="9"/>
      <c r="D5" s="9"/>
      <c r="E5" s="9"/>
      <c r="F5" s="9"/>
      <c r="G5" s="9"/>
      <c r="H5" s="9"/>
      <c r="I5" s="9"/>
      <c r="J5" s="9"/>
      <c r="K5" s="9"/>
      <c r="L5" s="9"/>
    </row>
    <row r="6" spans="1:18" x14ac:dyDescent="0.25">
      <c r="C6" s="9"/>
      <c r="D6" s="9"/>
      <c r="E6" s="9"/>
      <c r="F6" s="9"/>
      <c r="G6" s="9"/>
      <c r="H6" s="9"/>
      <c r="I6" s="9"/>
      <c r="J6" s="9"/>
      <c r="K6" s="9"/>
      <c r="L6" s="9"/>
    </row>
    <row r="7" spans="1:18" x14ac:dyDescent="0.25">
      <c r="C7" s="9"/>
      <c r="D7" s="9"/>
      <c r="E7" s="9"/>
      <c r="F7" s="9"/>
      <c r="G7" s="9"/>
      <c r="H7" s="9"/>
      <c r="I7" s="9"/>
      <c r="J7" s="9"/>
      <c r="K7" s="9"/>
      <c r="L7" s="9"/>
      <c r="M7"/>
    </row>
    <row r="8" spans="1:18" x14ac:dyDescent="0.25">
      <c r="C8" s="9"/>
      <c r="D8" s="9"/>
      <c r="E8" s="9"/>
      <c r="F8" s="9"/>
      <c r="G8" s="9"/>
      <c r="H8" s="9"/>
      <c r="I8" s="9"/>
      <c r="J8" s="9"/>
      <c r="K8" s="9"/>
      <c r="L8" s="9"/>
    </row>
    <row r="9" spans="1:18" x14ac:dyDescent="0.25">
      <c r="C9" s="9"/>
      <c r="D9" s="9"/>
      <c r="E9" s="9"/>
      <c r="F9" s="9"/>
      <c r="G9" s="9"/>
      <c r="H9" s="9"/>
      <c r="I9" s="9"/>
      <c r="J9" s="9"/>
      <c r="K9" s="9"/>
      <c r="L9" s="9"/>
    </row>
    <row r="10" spans="1:18" ht="16.5" thickBot="1" x14ac:dyDescent="0.3">
      <c r="C10" s="9"/>
      <c r="D10" s="9"/>
      <c r="E10" s="9"/>
      <c r="F10" s="9"/>
      <c r="G10" s="9"/>
      <c r="H10" s="9"/>
      <c r="I10" s="9"/>
      <c r="J10" s="9"/>
      <c r="K10" s="9"/>
      <c r="L10" s="9"/>
      <c r="M10" s="8" t="s">
        <v>0</v>
      </c>
      <c r="N10" s="8"/>
      <c r="O10" s="8" t="s">
        <v>1</v>
      </c>
      <c r="P10" s="8"/>
    </row>
    <row r="11" spans="1:18" ht="15" customHeight="1" thickTop="1" x14ac:dyDescent="0.25">
      <c r="C11" s="9"/>
      <c r="D11" s="9"/>
      <c r="E11" s="9"/>
      <c r="F11" s="9"/>
      <c r="G11" s="9"/>
      <c r="H11" s="9"/>
      <c r="I11" s="9"/>
      <c r="J11" s="9"/>
      <c r="K11" s="9"/>
      <c r="L11" s="9"/>
      <c r="M11" s="6">
        <v>0</v>
      </c>
      <c r="N11" s="6"/>
      <c r="O11" s="6">
        <v>3715</v>
      </c>
      <c r="P11" s="6"/>
      <c r="R11"/>
    </row>
    <row r="12" spans="1:18" ht="15.75" customHeight="1" thickBot="1" x14ac:dyDescent="0.3">
      <c r="C12" s="9"/>
      <c r="D12" s="9"/>
      <c r="E12" s="9"/>
      <c r="F12" s="9"/>
      <c r="G12" s="9"/>
      <c r="H12" s="9"/>
      <c r="I12" s="9"/>
      <c r="J12" s="9"/>
      <c r="K12" s="9"/>
      <c r="L12" s="9"/>
      <c r="M12" s="7"/>
      <c r="N12" s="7"/>
      <c r="O12" s="7"/>
      <c r="P12" s="7"/>
    </row>
    <row r="13" spans="1:18" ht="15.75" thickTop="1" x14ac:dyDescent="0.25">
      <c r="C13" s="9"/>
      <c r="D13" s="9"/>
      <c r="E13" s="9"/>
      <c r="F13" s="9"/>
      <c r="G13" s="9"/>
      <c r="H13" s="9"/>
      <c r="I13" s="9"/>
      <c r="J13" s="9"/>
      <c r="K13" s="9"/>
      <c r="L13" s="9"/>
    </row>
    <row r="14" spans="1:18" x14ac:dyDescent="0.25">
      <c r="C14" s="9"/>
      <c r="D14" s="9"/>
      <c r="E14" s="9"/>
      <c r="F14" s="9"/>
      <c r="G14" s="9"/>
      <c r="H14" s="9"/>
      <c r="I14" s="9"/>
      <c r="J14" s="9"/>
      <c r="K14" s="9"/>
      <c r="L14" s="9"/>
    </row>
    <row r="15" spans="1:18" x14ac:dyDescent="0.25">
      <c r="C15" s="9"/>
      <c r="D15" s="9"/>
      <c r="E15" s="9"/>
      <c r="F15" s="9"/>
      <c r="G15" s="9"/>
      <c r="H15" s="9"/>
      <c r="I15" s="9"/>
      <c r="J15" s="9"/>
      <c r="K15" s="9"/>
      <c r="L15" s="9"/>
    </row>
    <row r="16" spans="1:18" x14ac:dyDescent="0.25">
      <c r="C16" s="9"/>
      <c r="D16" s="9"/>
      <c r="E16" s="9"/>
      <c r="F16" s="9"/>
      <c r="G16" s="9"/>
      <c r="H16" s="9"/>
      <c r="I16" s="9"/>
      <c r="J16" s="9"/>
      <c r="K16" s="9"/>
      <c r="L16" s="9"/>
    </row>
    <row r="17" spans="3:12" x14ac:dyDescent="0.25">
      <c r="C17" s="9"/>
      <c r="D17" s="9"/>
      <c r="E17" s="9"/>
      <c r="F17" s="9"/>
      <c r="G17" s="9"/>
      <c r="H17" s="9"/>
      <c r="I17" s="9"/>
      <c r="J17" s="9"/>
      <c r="K17" s="9"/>
      <c r="L17" s="9"/>
    </row>
    <row r="18" spans="3:12" x14ac:dyDescent="0.25">
      <c r="C18" s="9"/>
      <c r="D18" s="9"/>
      <c r="E18" s="9"/>
      <c r="F18" s="9"/>
      <c r="G18" s="9"/>
      <c r="H18" s="9"/>
      <c r="I18" s="9"/>
      <c r="J18" s="9"/>
      <c r="K18" s="9"/>
      <c r="L18" s="9"/>
    </row>
    <row r="19" spans="3:12" x14ac:dyDescent="0.25">
      <c r="C19" s="9"/>
      <c r="D19" s="9"/>
      <c r="E19" s="9"/>
      <c r="F19" s="9"/>
      <c r="G19" s="9"/>
      <c r="H19" s="9"/>
      <c r="I19" s="9"/>
      <c r="J19" s="9"/>
      <c r="K19" s="9"/>
      <c r="L19" s="9"/>
    </row>
    <row r="20" spans="3:12" x14ac:dyDescent="0.25">
      <c r="C20" s="9"/>
      <c r="D20" s="9"/>
      <c r="E20" s="9"/>
      <c r="F20" s="9"/>
      <c r="G20" s="9"/>
      <c r="H20" s="9"/>
      <c r="I20" s="9"/>
      <c r="J20" s="9"/>
      <c r="K20" s="9"/>
      <c r="L20" s="9"/>
    </row>
    <row r="21" spans="3:12" x14ac:dyDescent="0.25">
      <c r="C21" s="9"/>
      <c r="D21" s="9"/>
      <c r="E21" s="9"/>
      <c r="F21" s="9"/>
      <c r="G21" s="9"/>
      <c r="H21" s="9"/>
      <c r="I21" s="9"/>
      <c r="J21" s="9"/>
      <c r="K21" s="9"/>
      <c r="L21" s="9"/>
    </row>
    <row r="22" spans="3:12" x14ac:dyDescent="0.25">
      <c r="C22" s="9"/>
      <c r="D22" s="9"/>
      <c r="E22" s="9"/>
      <c r="F22" s="9"/>
      <c r="G22" s="9"/>
      <c r="H22" s="9"/>
      <c r="I22" s="9"/>
      <c r="J22" s="9"/>
      <c r="K22" s="9"/>
      <c r="L22" s="9"/>
    </row>
    <row r="23" spans="3:12" x14ac:dyDescent="0.25">
      <c r="C23" s="9"/>
      <c r="D23" s="9"/>
      <c r="E23" s="9"/>
      <c r="F23" s="9"/>
      <c r="G23" s="9"/>
      <c r="H23" s="9"/>
      <c r="I23" s="9"/>
      <c r="J23" s="9"/>
      <c r="K23" s="9"/>
      <c r="L23" s="9"/>
    </row>
    <row r="24" spans="3:12" x14ac:dyDescent="0.25">
      <c r="C24" s="9"/>
      <c r="D24" s="9"/>
      <c r="E24" s="9"/>
      <c r="F24" s="9"/>
      <c r="G24" s="9"/>
      <c r="H24" s="9"/>
      <c r="I24" s="9"/>
      <c r="J24" s="9"/>
      <c r="K24" s="9"/>
      <c r="L24" s="9"/>
    </row>
    <row r="25" spans="3:12" x14ac:dyDescent="0.25">
      <c r="C25" s="9"/>
      <c r="D25" s="9"/>
      <c r="E25" s="9"/>
      <c r="F25" s="9"/>
      <c r="G25" s="9"/>
      <c r="H25" s="9"/>
      <c r="I25" s="9"/>
      <c r="J25" s="9"/>
      <c r="K25" s="9"/>
      <c r="L25" s="9"/>
    </row>
    <row r="26" spans="3:12" x14ac:dyDescent="0.25">
      <c r="C26" s="9"/>
      <c r="D26" s="9"/>
      <c r="E26" s="9"/>
      <c r="F26" s="9"/>
      <c r="G26" s="9"/>
      <c r="H26" s="9"/>
      <c r="I26" s="9"/>
      <c r="J26" s="9"/>
      <c r="K26" s="9"/>
      <c r="L26" s="9"/>
    </row>
    <row r="27" spans="3:12" x14ac:dyDescent="0.25">
      <c r="C27" s="9"/>
      <c r="D27" s="9"/>
      <c r="E27" s="9"/>
      <c r="F27" s="9"/>
      <c r="G27" s="9"/>
      <c r="H27" s="9"/>
      <c r="I27" s="9"/>
      <c r="J27" s="9"/>
      <c r="K27" s="9"/>
      <c r="L27" s="9"/>
    </row>
    <row r="28" spans="3:12" x14ac:dyDescent="0.25">
      <c r="C28" s="9"/>
      <c r="D28" s="9"/>
      <c r="E28" s="9"/>
      <c r="F28" s="9"/>
      <c r="G28" s="9"/>
      <c r="H28" s="9"/>
      <c r="I28" s="9"/>
      <c r="J28" s="9"/>
      <c r="K28" s="9"/>
      <c r="L28" s="9"/>
    </row>
    <row r="29" spans="3:12" x14ac:dyDescent="0.25">
      <c r="L29" s="2" t="s">
        <v>6</v>
      </c>
    </row>
  </sheetData>
  <mergeCells count="4">
    <mergeCell ref="M11:N12"/>
    <mergeCell ref="O11:P12"/>
    <mergeCell ref="M10:N10"/>
    <mergeCell ref="O10:P1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S437"/>
  <sheetViews>
    <sheetView zoomScale="70" zoomScaleNormal="70" workbookViewId="0">
      <selection activeCell="B100" sqref="B100"/>
    </sheetView>
  </sheetViews>
  <sheetFormatPr defaultRowHeight="15" x14ac:dyDescent="0.25"/>
  <cols>
    <col min="1" max="2" width="15.7109375" bestFit="1" customWidth="1"/>
    <col min="3" max="3" width="4.85546875" customWidth="1"/>
    <col min="4" max="45" width="5" bestFit="1" customWidth="1"/>
  </cols>
  <sheetData>
    <row r="1" spans="1:45" x14ac:dyDescent="0.25">
      <c r="A1">
        <v>300</v>
      </c>
      <c r="B1">
        <v>215</v>
      </c>
      <c r="D1" s="3"/>
      <c r="E1" s="3">
        <v>100</v>
      </c>
      <c r="F1" s="3">
        <v>110</v>
      </c>
      <c r="G1" s="3">
        <v>120</v>
      </c>
      <c r="H1" s="3">
        <v>130</v>
      </c>
      <c r="I1" s="3">
        <v>140</v>
      </c>
      <c r="J1" s="3">
        <v>150</v>
      </c>
      <c r="K1" s="3">
        <v>160</v>
      </c>
      <c r="L1" s="3">
        <v>170</v>
      </c>
      <c r="M1" s="3">
        <v>180</v>
      </c>
      <c r="N1" s="3">
        <v>190</v>
      </c>
      <c r="O1" s="3">
        <v>200</v>
      </c>
      <c r="P1" s="3">
        <v>210</v>
      </c>
      <c r="Q1" s="3">
        <v>220</v>
      </c>
      <c r="R1" s="3">
        <v>230</v>
      </c>
      <c r="S1" s="3">
        <v>240</v>
      </c>
      <c r="T1" s="3">
        <v>250</v>
      </c>
      <c r="U1" s="3">
        <v>260</v>
      </c>
      <c r="V1" s="3">
        <v>270</v>
      </c>
      <c r="W1" s="3">
        <v>280</v>
      </c>
      <c r="X1" s="3">
        <v>290</v>
      </c>
      <c r="Y1" s="3">
        <v>300</v>
      </c>
      <c r="Z1" s="3">
        <v>310</v>
      </c>
      <c r="AA1" s="3">
        <v>320</v>
      </c>
      <c r="AB1" s="3">
        <v>330</v>
      </c>
      <c r="AC1" s="3">
        <v>340</v>
      </c>
      <c r="AD1" s="3">
        <v>350</v>
      </c>
      <c r="AE1" s="3">
        <v>360</v>
      </c>
      <c r="AF1" s="3">
        <v>370</v>
      </c>
      <c r="AG1" s="3">
        <v>380</v>
      </c>
      <c r="AH1" s="3">
        <v>390</v>
      </c>
      <c r="AI1" s="3">
        <v>400</v>
      </c>
      <c r="AJ1" s="3">
        <v>410</v>
      </c>
      <c r="AK1" s="3">
        <v>420</v>
      </c>
      <c r="AL1" s="3">
        <v>430</v>
      </c>
      <c r="AM1" s="3">
        <v>440</v>
      </c>
      <c r="AN1" s="3">
        <v>450</v>
      </c>
      <c r="AO1" s="3">
        <v>460</v>
      </c>
      <c r="AP1" s="3">
        <v>470</v>
      </c>
      <c r="AQ1" s="3">
        <v>480</v>
      </c>
      <c r="AR1" s="3">
        <v>490</v>
      </c>
      <c r="AS1" s="3">
        <v>500</v>
      </c>
    </row>
    <row r="2" spans="1:45" x14ac:dyDescent="0.25">
      <c r="A2" s="4">
        <v>43002.918703703705</v>
      </c>
      <c r="B2">
        <v>0</v>
      </c>
      <c r="D2" s="3">
        <v>15</v>
      </c>
      <c r="E2" s="3">
        <v>3</v>
      </c>
      <c r="F2" s="3">
        <v>3</v>
      </c>
      <c r="G2" s="3">
        <v>3</v>
      </c>
      <c r="H2" s="3">
        <v>3</v>
      </c>
      <c r="I2" s="3">
        <v>3</v>
      </c>
      <c r="J2" s="3">
        <v>3</v>
      </c>
      <c r="K2" s="3">
        <v>3</v>
      </c>
      <c r="L2" s="3">
        <v>3</v>
      </c>
      <c r="M2" s="3">
        <v>3</v>
      </c>
      <c r="N2" s="3">
        <v>3</v>
      </c>
      <c r="O2" s="3">
        <v>3</v>
      </c>
      <c r="P2" s="3">
        <v>3</v>
      </c>
      <c r="Q2" s="3">
        <v>3</v>
      </c>
      <c r="R2" s="3">
        <v>3</v>
      </c>
      <c r="S2" s="3">
        <v>3</v>
      </c>
      <c r="T2" s="3">
        <v>3</v>
      </c>
      <c r="U2" s="3">
        <v>3</v>
      </c>
      <c r="V2" s="3">
        <v>3</v>
      </c>
      <c r="W2" s="3"/>
      <c r="X2" s="3"/>
      <c r="Y2" s="3"/>
      <c r="Z2" s="3"/>
      <c r="AA2" s="3">
        <v>3</v>
      </c>
      <c r="AB2" s="3">
        <v>3</v>
      </c>
      <c r="AC2" s="3">
        <v>3</v>
      </c>
      <c r="AD2" s="3">
        <v>3</v>
      </c>
      <c r="AE2" s="3">
        <v>3</v>
      </c>
      <c r="AF2" s="3">
        <v>3</v>
      </c>
      <c r="AG2" s="3">
        <v>3</v>
      </c>
      <c r="AH2" s="3">
        <v>3</v>
      </c>
      <c r="AI2" s="3">
        <v>3</v>
      </c>
      <c r="AJ2" s="3">
        <v>3</v>
      </c>
      <c r="AK2" s="3">
        <v>3</v>
      </c>
      <c r="AL2" s="3">
        <v>3</v>
      </c>
      <c r="AM2" s="3">
        <v>3</v>
      </c>
      <c r="AN2" s="3">
        <v>3</v>
      </c>
      <c r="AO2" s="3">
        <v>3</v>
      </c>
      <c r="AP2" s="3">
        <v>3</v>
      </c>
      <c r="AQ2" s="3">
        <v>3</v>
      </c>
      <c r="AR2" s="3">
        <v>3</v>
      </c>
      <c r="AS2" s="3">
        <v>3</v>
      </c>
    </row>
    <row r="3" spans="1:45" x14ac:dyDescent="0.25">
      <c r="A3">
        <f>MATCH(A1,E1:AS1,0)</f>
        <v>21</v>
      </c>
      <c r="B3">
        <f>MATCH(B1,D2:D38,0)</f>
        <v>21</v>
      </c>
      <c r="D3" s="3">
        <v>25</v>
      </c>
      <c r="E3" s="3">
        <v>3</v>
      </c>
      <c r="F3" s="3"/>
      <c r="G3" s="3"/>
      <c r="H3" s="3"/>
      <c r="I3" s="3"/>
      <c r="J3" s="3"/>
      <c r="K3" s="3"/>
      <c r="L3" s="3"/>
      <c r="M3" s="3">
        <v>3</v>
      </c>
      <c r="N3" s="3"/>
      <c r="O3" s="3"/>
      <c r="P3" s="3"/>
      <c r="Q3" s="3"/>
      <c r="R3" s="3"/>
      <c r="S3" s="3"/>
      <c r="T3" s="3"/>
      <c r="U3" s="3"/>
      <c r="V3" s="3">
        <v>3</v>
      </c>
      <c r="W3" s="3"/>
      <c r="X3" s="3"/>
      <c r="Y3" s="3"/>
      <c r="Z3" s="3"/>
      <c r="AA3" s="3">
        <v>3</v>
      </c>
      <c r="AB3" s="3"/>
      <c r="AC3" s="3"/>
      <c r="AD3" s="3"/>
      <c r="AE3" s="3"/>
      <c r="AF3" s="3"/>
      <c r="AG3" s="3"/>
      <c r="AH3" s="3"/>
      <c r="AI3" s="3"/>
      <c r="AJ3" s="3"/>
      <c r="AK3" s="3">
        <v>3</v>
      </c>
      <c r="AL3" s="3"/>
      <c r="AM3" s="3"/>
      <c r="AN3" s="3"/>
      <c r="AO3" s="3"/>
      <c r="AP3" s="3"/>
      <c r="AQ3" s="3"/>
      <c r="AR3" s="3"/>
      <c r="AS3" s="3">
        <v>3</v>
      </c>
    </row>
    <row r="4" spans="1:45" x14ac:dyDescent="0.25">
      <c r="A4" s="4">
        <f>A2+TIME(0,0,30)</f>
        <v>43002.919050925928</v>
      </c>
      <c r="B4">
        <f>INDEX(E52:AS88,B3,A3)</f>
        <v>1</v>
      </c>
      <c r="D4" s="3">
        <v>35</v>
      </c>
      <c r="E4" s="3">
        <v>8</v>
      </c>
      <c r="F4" s="3"/>
      <c r="G4" s="3"/>
      <c r="H4" s="3"/>
      <c r="I4" s="3"/>
      <c r="J4" s="3"/>
      <c r="K4" s="3"/>
      <c r="L4" s="3"/>
      <c r="M4" s="3">
        <v>3</v>
      </c>
      <c r="N4" s="3"/>
      <c r="O4" s="3"/>
      <c r="P4" s="3"/>
      <c r="Q4" s="3"/>
      <c r="R4" s="3"/>
      <c r="S4" s="3"/>
      <c r="T4" s="3"/>
      <c r="U4" s="3"/>
      <c r="V4" s="3">
        <v>3</v>
      </c>
      <c r="W4" s="3"/>
      <c r="X4" s="3"/>
      <c r="Y4" s="3"/>
      <c r="Z4" s="3"/>
      <c r="AA4" s="3">
        <v>3</v>
      </c>
      <c r="AB4" s="3"/>
      <c r="AC4" s="3"/>
      <c r="AD4" s="3"/>
      <c r="AE4" s="3"/>
      <c r="AF4" s="3"/>
      <c r="AG4" s="3"/>
      <c r="AH4" s="3"/>
      <c r="AI4" s="3"/>
      <c r="AJ4" s="3"/>
      <c r="AK4" s="3">
        <v>3</v>
      </c>
      <c r="AL4" s="3"/>
      <c r="AM4" s="3"/>
      <c r="AN4" s="3"/>
      <c r="AO4" s="3"/>
      <c r="AP4" s="3"/>
      <c r="AQ4" s="3"/>
      <c r="AR4" s="3"/>
      <c r="AS4" s="3">
        <v>8</v>
      </c>
    </row>
    <row r="5" spans="1:45" x14ac:dyDescent="0.25">
      <c r="A5" s="5">
        <v>43002.919074074074</v>
      </c>
      <c r="D5" s="3">
        <v>45</v>
      </c>
      <c r="E5" s="3">
        <v>3</v>
      </c>
      <c r="F5" s="3"/>
      <c r="G5" s="3"/>
      <c r="H5" s="3"/>
      <c r="I5" s="3"/>
      <c r="J5" s="3"/>
      <c r="K5" s="3"/>
      <c r="L5" s="3"/>
      <c r="M5" s="3">
        <v>3</v>
      </c>
      <c r="N5" s="3"/>
      <c r="O5" s="3"/>
      <c r="P5" s="3"/>
      <c r="Q5" s="3"/>
      <c r="R5" s="3"/>
      <c r="S5" s="3"/>
      <c r="T5" s="3"/>
      <c r="U5" s="3"/>
      <c r="V5" s="3">
        <v>3</v>
      </c>
      <c r="W5" s="3"/>
      <c r="X5" s="3"/>
      <c r="Y5" s="3"/>
      <c r="Z5" s="3"/>
      <c r="AA5" s="3">
        <v>3</v>
      </c>
      <c r="AB5" s="3"/>
      <c r="AC5" s="3"/>
      <c r="AD5" s="3"/>
      <c r="AE5" s="3"/>
      <c r="AF5" s="3"/>
      <c r="AG5" s="3"/>
      <c r="AH5" s="3"/>
      <c r="AI5" s="3"/>
      <c r="AJ5" s="3"/>
      <c r="AK5" s="3">
        <v>3</v>
      </c>
      <c r="AL5" s="3"/>
      <c r="AM5" s="3"/>
      <c r="AN5" s="3"/>
      <c r="AO5" s="3"/>
      <c r="AP5" s="3"/>
      <c r="AQ5" s="3"/>
      <c r="AR5" s="3"/>
      <c r="AS5" s="3">
        <v>3</v>
      </c>
    </row>
    <row r="6" spans="1:45" x14ac:dyDescent="0.25">
      <c r="A6">
        <f>IF(A5&gt;A4,1,0)</f>
        <v>1</v>
      </c>
      <c r="D6" s="3">
        <v>55</v>
      </c>
      <c r="E6" s="3">
        <v>3</v>
      </c>
      <c r="F6" s="3"/>
      <c r="G6" s="3"/>
      <c r="H6" s="3"/>
      <c r="I6" s="3"/>
      <c r="J6" s="3"/>
      <c r="K6" s="3"/>
      <c r="L6" s="3"/>
      <c r="M6" s="3">
        <v>3</v>
      </c>
      <c r="N6" s="3"/>
      <c r="O6" s="3"/>
      <c r="P6" s="3"/>
      <c r="Q6" s="3"/>
      <c r="R6" s="3"/>
      <c r="S6" s="3"/>
      <c r="T6" s="3"/>
      <c r="U6" s="3"/>
      <c r="V6" s="3">
        <v>3</v>
      </c>
      <c r="W6" s="3"/>
      <c r="X6" s="3"/>
      <c r="Y6" s="3"/>
      <c r="Z6" s="3"/>
      <c r="AA6" s="3">
        <v>3</v>
      </c>
      <c r="AB6" s="3"/>
      <c r="AC6" s="3"/>
      <c r="AD6" s="3"/>
      <c r="AE6" s="3"/>
      <c r="AF6" s="3"/>
      <c r="AG6" s="3"/>
      <c r="AH6" s="3"/>
      <c r="AI6" s="3"/>
      <c r="AJ6" s="3"/>
      <c r="AK6" s="3">
        <v>3</v>
      </c>
      <c r="AL6" s="3"/>
      <c r="AM6" s="3"/>
      <c r="AN6" s="3"/>
      <c r="AO6" s="3"/>
      <c r="AP6" s="3"/>
      <c r="AQ6" s="3"/>
      <c r="AR6" s="3"/>
      <c r="AS6" s="3">
        <v>3</v>
      </c>
    </row>
    <row r="7" spans="1:45" x14ac:dyDescent="0.25">
      <c r="D7" s="3">
        <v>65</v>
      </c>
      <c r="E7" s="3">
        <v>3</v>
      </c>
      <c r="F7" s="3">
        <v>3</v>
      </c>
      <c r="G7" s="3">
        <v>3</v>
      </c>
      <c r="H7" s="3">
        <v>3</v>
      </c>
      <c r="I7" s="3">
        <v>3</v>
      </c>
      <c r="J7" s="3">
        <v>3</v>
      </c>
      <c r="K7" s="3">
        <v>3</v>
      </c>
      <c r="L7" s="3">
        <v>3</v>
      </c>
      <c r="M7" s="3">
        <v>3</v>
      </c>
      <c r="N7" s="3">
        <v>3</v>
      </c>
      <c r="O7" s="3">
        <v>3</v>
      </c>
      <c r="P7" s="3">
        <v>3</v>
      </c>
      <c r="Q7" s="3">
        <v>3</v>
      </c>
      <c r="R7" s="3">
        <v>3</v>
      </c>
      <c r="S7" s="3">
        <v>3</v>
      </c>
      <c r="T7" s="3">
        <v>3</v>
      </c>
      <c r="U7" s="3">
        <v>3</v>
      </c>
      <c r="V7" s="3">
        <v>3</v>
      </c>
      <c r="W7" s="3">
        <v>3</v>
      </c>
      <c r="X7" s="3">
        <v>3</v>
      </c>
      <c r="Y7" s="3">
        <v>3</v>
      </c>
      <c r="Z7" s="3">
        <v>3</v>
      </c>
      <c r="AA7" s="3">
        <v>3</v>
      </c>
      <c r="AB7" s="3">
        <v>3</v>
      </c>
      <c r="AC7" s="3">
        <v>3</v>
      </c>
      <c r="AD7" s="3">
        <v>3</v>
      </c>
      <c r="AE7" s="3">
        <v>3</v>
      </c>
      <c r="AF7" s="3">
        <v>3</v>
      </c>
      <c r="AG7" s="3">
        <v>3</v>
      </c>
      <c r="AH7" s="3">
        <v>3</v>
      </c>
      <c r="AI7" s="3">
        <v>3</v>
      </c>
      <c r="AJ7" s="3">
        <v>3</v>
      </c>
      <c r="AK7" s="3">
        <v>3</v>
      </c>
      <c r="AL7" s="3">
        <v>3</v>
      </c>
      <c r="AM7" s="3">
        <v>3</v>
      </c>
      <c r="AN7" s="3">
        <v>3</v>
      </c>
      <c r="AO7" s="3">
        <v>3</v>
      </c>
      <c r="AP7" s="3">
        <v>3</v>
      </c>
      <c r="AQ7" s="3">
        <v>3</v>
      </c>
      <c r="AR7" s="3">
        <v>3</v>
      </c>
      <c r="AS7" s="3">
        <v>3</v>
      </c>
    </row>
    <row r="8" spans="1:45" x14ac:dyDescent="0.25">
      <c r="D8" s="3">
        <v>75</v>
      </c>
      <c r="E8" s="3">
        <v>3</v>
      </c>
      <c r="F8" s="3"/>
      <c r="G8" s="3"/>
      <c r="H8" s="3"/>
      <c r="I8" s="3"/>
      <c r="J8" s="3"/>
      <c r="K8" s="3"/>
      <c r="L8" s="3"/>
      <c r="M8" s="3">
        <v>3</v>
      </c>
      <c r="N8" s="3"/>
      <c r="O8" s="3"/>
      <c r="P8" s="3"/>
      <c r="Q8" s="3"/>
      <c r="R8" s="3">
        <v>3</v>
      </c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>
        <v>3</v>
      </c>
      <c r="AG8" s="3"/>
      <c r="AH8" s="3"/>
      <c r="AI8" s="3"/>
      <c r="AJ8" s="3"/>
      <c r="AK8" s="3">
        <v>3</v>
      </c>
      <c r="AL8" s="3"/>
      <c r="AM8" s="3"/>
      <c r="AN8" s="3"/>
      <c r="AO8" s="3"/>
      <c r="AP8" s="3"/>
      <c r="AQ8" s="3"/>
      <c r="AR8" s="3"/>
      <c r="AS8" s="3">
        <v>3</v>
      </c>
    </row>
    <row r="9" spans="1:45" x14ac:dyDescent="0.25">
      <c r="D9" s="3">
        <v>85</v>
      </c>
      <c r="E9" s="3">
        <v>3</v>
      </c>
      <c r="F9" s="3"/>
      <c r="G9" s="3"/>
      <c r="H9" s="3"/>
      <c r="I9" s="3"/>
      <c r="J9" s="3"/>
      <c r="K9" s="3"/>
      <c r="L9" s="3"/>
      <c r="M9" s="3">
        <v>3</v>
      </c>
      <c r="N9" s="3"/>
      <c r="O9" s="3"/>
      <c r="P9" s="3"/>
      <c r="Q9" s="3"/>
      <c r="R9" s="3">
        <v>3</v>
      </c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>
        <v>3</v>
      </c>
      <c r="AG9" s="3"/>
      <c r="AH9" s="3"/>
      <c r="AI9" s="3"/>
      <c r="AJ9" s="3"/>
      <c r="AK9" s="3">
        <v>3</v>
      </c>
      <c r="AL9" s="3"/>
      <c r="AM9" s="3"/>
      <c r="AN9" s="3"/>
      <c r="AO9" s="3"/>
      <c r="AP9" s="3"/>
      <c r="AQ9" s="3"/>
      <c r="AR9" s="3"/>
      <c r="AS9" s="3">
        <v>3</v>
      </c>
    </row>
    <row r="10" spans="1:45" x14ac:dyDescent="0.25">
      <c r="A10">
        <v>1</v>
      </c>
      <c r="D10" s="3">
        <v>95</v>
      </c>
      <c r="E10" s="3">
        <v>3</v>
      </c>
      <c r="F10" s="3"/>
      <c r="G10" s="3"/>
      <c r="H10" s="3"/>
      <c r="I10" s="3"/>
      <c r="J10" s="3"/>
      <c r="K10" s="3"/>
      <c r="L10" s="3"/>
      <c r="M10" s="3">
        <v>3</v>
      </c>
      <c r="N10" s="3"/>
      <c r="O10" s="3"/>
      <c r="P10" s="3"/>
      <c r="Q10" s="3"/>
      <c r="R10" s="3">
        <v>3</v>
      </c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>
        <v>3</v>
      </c>
      <c r="AG10" s="3"/>
      <c r="AH10" s="3"/>
      <c r="AI10" s="3"/>
      <c r="AJ10" s="3"/>
      <c r="AK10" s="3">
        <v>3</v>
      </c>
      <c r="AL10" s="3"/>
      <c r="AM10" s="3"/>
      <c r="AN10" s="3"/>
      <c r="AO10" s="3"/>
      <c r="AP10" s="3"/>
      <c r="AQ10" s="3"/>
      <c r="AR10" s="3"/>
      <c r="AS10" s="3">
        <v>3</v>
      </c>
    </row>
    <row r="11" spans="1:45" x14ac:dyDescent="0.25">
      <c r="D11" s="3">
        <v>105</v>
      </c>
      <c r="E11" s="3">
        <v>3</v>
      </c>
      <c r="F11" s="3">
        <v>3</v>
      </c>
      <c r="G11" s="3">
        <v>3</v>
      </c>
      <c r="H11" s="3">
        <v>3</v>
      </c>
      <c r="I11" s="3">
        <v>3</v>
      </c>
      <c r="J11" s="3">
        <v>3</v>
      </c>
      <c r="K11" s="3">
        <v>3</v>
      </c>
      <c r="L11" s="3">
        <v>3</v>
      </c>
      <c r="M11" s="3">
        <v>3</v>
      </c>
      <c r="N11" s="3"/>
      <c r="O11" s="3"/>
      <c r="P11" s="3"/>
      <c r="Q11" s="3"/>
      <c r="R11" s="3">
        <v>3</v>
      </c>
      <c r="S11" s="3">
        <v>3</v>
      </c>
      <c r="T11" s="3">
        <v>3</v>
      </c>
      <c r="U11" s="3">
        <v>3</v>
      </c>
      <c r="V11" s="3">
        <v>3</v>
      </c>
      <c r="W11" s="3"/>
      <c r="X11" s="3"/>
      <c r="Y11" s="3"/>
      <c r="Z11" s="3"/>
      <c r="AA11" s="3">
        <v>3</v>
      </c>
      <c r="AB11" s="3">
        <v>3</v>
      </c>
      <c r="AC11" s="3">
        <v>3</v>
      </c>
      <c r="AD11" s="3">
        <v>3</v>
      </c>
      <c r="AE11" s="3">
        <v>3</v>
      </c>
      <c r="AF11" s="3">
        <v>3</v>
      </c>
      <c r="AG11" s="3"/>
      <c r="AH11" s="3"/>
      <c r="AI11" s="3"/>
      <c r="AJ11" s="3"/>
      <c r="AK11" s="3">
        <v>3</v>
      </c>
      <c r="AL11" s="3">
        <v>3</v>
      </c>
      <c r="AM11" s="3">
        <v>3</v>
      </c>
      <c r="AN11" s="3">
        <v>3</v>
      </c>
      <c r="AO11" s="3">
        <v>3</v>
      </c>
      <c r="AP11" s="3">
        <v>3</v>
      </c>
      <c r="AQ11" s="3">
        <v>3</v>
      </c>
      <c r="AR11" s="3">
        <v>3</v>
      </c>
      <c r="AS11" s="3">
        <v>3</v>
      </c>
    </row>
    <row r="12" spans="1:45" x14ac:dyDescent="0.25">
      <c r="D12" s="3">
        <v>115</v>
      </c>
      <c r="E12" s="3"/>
      <c r="F12" s="3"/>
      <c r="G12" s="3"/>
      <c r="H12" s="3"/>
      <c r="I12" s="3"/>
      <c r="J12" s="3"/>
      <c r="K12" s="3"/>
      <c r="L12" s="3"/>
      <c r="M12" s="3">
        <v>3</v>
      </c>
      <c r="N12" s="3"/>
      <c r="O12" s="3"/>
      <c r="P12" s="3"/>
      <c r="Q12" s="3"/>
      <c r="R12" s="3"/>
      <c r="S12" s="3"/>
      <c r="T12" s="3"/>
      <c r="U12" s="3"/>
      <c r="V12" s="3">
        <v>3</v>
      </c>
      <c r="W12" s="3"/>
      <c r="X12" s="3"/>
      <c r="Y12" s="3"/>
      <c r="Z12" s="3"/>
      <c r="AA12" s="3">
        <v>3</v>
      </c>
      <c r="AB12" s="3"/>
      <c r="AC12" s="3"/>
      <c r="AD12" s="3"/>
      <c r="AE12" s="3"/>
      <c r="AF12" s="3"/>
      <c r="AG12" s="3"/>
      <c r="AH12" s="3"/>
      <c r="AI12" s="3"/>
      <c r="AJ12" s="3"/>
      <c r="AK12" s="3">
        <v>3</v>
      </c>
      <c r="AL12" s="3"/>
      <c r="AM12" s="3"/>
      <c r="AN12" s="3"/>
      <c r="AO12" s="3"/>
      <c r="AP12" s="3"/>
      <c r="AQ12" s="3"/>
      <c r="AR12" s="3"/>
      <c r="AS12" s="3"/>
    </row>
    <row r="13" spans="1:45" x14ac:dyDescent="0.25">
      <c r="D13" s="3">
        <v>125</v>
      </c>
      <c r="E13" s="3"/>
      <c r="F13" s="3"/>
      <c r="G13" s="3"/>
      <c r="H13" s="3"/>
      <c r="I13" s="3"/>
      <c r="J13" s="3"/>
      <c r="K13" s="3"/>
      <c r="L13" s="3"/>
      <c r="M13" s="3">
        <v>3</v>
      </c>
      <c r="N13" s="3"/>
      <c r="O13" s="3"/>
      <c r="P13" s="3"/>
      <c r="Q13" s="3"/>
      <c r="R13" s="3"/>
      <c r="S13" s="3"/>
      <c r="T13" s="3"/>
      <c r="U13" s="3"/>
      <c r="V13" s="3">
        <v>3</v>
      </c>
      <c r="W13" s="3"/>
      <c r="X13" s="3"/>
      <c r="Y13" s="3"/>
      <c r="Z13" s="3"/>
      <c r="AA13" s="3">
        <v>3</v>
      </c>
      <c r="AB13" s="3"/>
      <c r="AC13" s="3"/>
      <c r="AD13" s="3"/>
      <c r="AE13" s="3"/>
      <c r="AF13" s="3"/>
      <c r="AG13" s="3"/>
      <c r="AH13" s="3"/>
      <c r="AI13" s="3"/>
      <c r="AJ13" s="3"/>
      <c r="AK13" s="3">
        <v>3</v>
      </c>
      <c r="AL13" s="3"/>
      <c r="AM13" s="3"/>
      <c r="AN13" s="3"/>
      <c r="AO13" s="3"/>
      <c r="AP13" s="3"/>
      <c r="AQ13" s="3"/>
      <c r="AR13" s="3"/>
      <c r="AS13" s="3"/>
    </row>
    <row r="14" spans="1:45" x14ac:dyDescent="0.25">
      <c r="D14" s="3">
        <v>135</v>
      </c>
      <c r="E14" s="3"/>
      <c r="F14" s="3"/>
      <c r="G14" s="3"/>
      <c r="H14" s="3"/>
      <c r="I14" s="3"/>
      <c r="J14" s="3"/>
      <c r="K14" s="3"/>
      <c r="L14" s="3"/>
      <c r="M14" s="3">
        <v>3</v>
      </c>
      <c r="N14" s="3"/>
      <c r="O14" s="3"/>
      <c r="P14" s="3"/>
      <c r="Q14" s="3"/>
      <c r="R14" s="3"/>
      <c r="S14" s="3"/>
      <c r="T14" s="3"/>
      <c r="U14" s="3"/>
      <c r="V14" s="3">
        <v>3</v>
      </c>
      <c r="W14" s="3"/>
      <c r="X14" s="3"/>
      <c r="Y14" s="3"/>
      <c r="Z14" s="3"/>
      <c r="AA14" s="3">
        <v>3</v>
      </c>
      <c r="AB14" s="3"/>
      <c r="AC14" s="3"/>
      <c r="AD14" s="3"/>
      <c r="AE14" s="3"/>
      <c r="AF14" s="3"/>
      <c r="AG14" s="3"/>
      <c r="AH14" s="3"/>
      <c r="AI14" s="3"/>
      <c r="AJ14" s="3"/>
      <c r="AK14" s="3">
        <v>3</v>
      </c>
      <c r="AL14" s="3"/>
      <c r="AM14" s="3"/>
      <c r="AN14" s="3"/>
      <c r="AO14" s="3"/>
      <c r="AP14" s="3"/>
      <c r="AQ14" s="3"/>
      <c r="AR14" s="3"/>
      <c r="AS14" s="3"/>
    </row>
    <row r="15" spans="1:45" x14ac:dyDescent="0.25">
      <c r="D15" s="3">
        <v>145</v>
      </c>
      <c r="E15" s="3"/>
      <c r="F15" s="3"/>
      <c r="G15" s="3"/>
      <c r="H15" s="3"/>
      <c r="I15" s="3"/>
      <c r="J15" s="3"/>
      <c r="K15" s="3"/>
      <c r="L15" s="3"/>
      <c r="M15" s="3">
        <v>3</v>
      </c>
      <c r="N15" s="3"/>
      <c r="O15" s="3"/>
      <c r="P15" s="3"/>
      <c r="Q15" s="3"/>
      <c r="R15" s="3">
        <v>3</v>
      </c>
      <c r="S15" s="3">
        <v>3</v>
      </c>
      <c r="T15" s="3">
        <v>3</v>
      </c>
      <c r="U15" s="3">
        <v>3</v>
      </c>
      <c r="V15" s="3">
        <v>3</v>
      </c>
      <c r="W15" s="3">
        <v>3</v>
      </c>
      <c r="X15" s="3">
        <v>3</v>
      </c>
      <c r="Y15" s="3">
        <v>3</v>
      </c>
      <c r="Z15" s="3">
        <v>3</v>
      </c>
      <c r="AA15" s="3">
        <v>3</v>
      </c>
      <c r="AB15" s="3">
        <v>3</v>
      </c>
      <c r="AC15" s="3">
        <v>3</v>
      </c>
      <c r="AD15" s="3">
        <v>3</v>
      </c>
      <c r="AE15" s="3">
        <v>3</v>
      </c>
      <c r="AF15" s="3">
        <v>3</v>
      </c>
      <c r="AG15" s="3"/>
      <c r="AH15" s="3"/>
      <c r="AI15" s="3"/>
      <c r="AJ15" s="3"/>
      <c r="AK15" s="3">
        <v>3</v>
      </c>
      <c r="AL15" s="3"/>
      <c r="AM15" s="3"/>
      <c r="AN15" s="3"/>
      <c r="AO15" s="3"/>
      <c r="AP15" s="3"/>
      <c r="AQ15" s="3"/>
      <c r="AR15" s="3"/>
      <c r="AS15" s="3"/>
    </row>
    <row r="16" spans="1:45" x14ac:dyDescent="0.25">
      <c r="D16" s="3">
        <v>155</v>
      </c>
      <c r="E16" s="3"/>
      <c r="F16" s="3"/>
      <c r="G16" s="3"/>
      <c r="H16" s="3"/>
      <c r="I16" s="3"/>
      <c r="J16" s="3"/>
      <c r="K16" s="3"/>
      <c r="L16" s="3"/>
      <c r="M16" s="3">
        <v>3</v>
      </c>
      <c r="N16" s="3"/>
      <c r="O16" s="3"/>
      <c r="P16" s="3"/>
      <c r="Q16" s="3"/>
      <c r="R16" s="3">
        <v>3</v>
      </c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>
        <v>3</v>
      </c>
      <c r="AG16" s="3"/>
      <c r="AH16" s="3"/>
      <c r="AI16" s="3"/>
      <c r="AJ16" s="3"/>
      <c r="AK16" s="3">
        <v>3</v>
      </c>
      <c r="AL16" s="3"/>
      <c r="AM16" s="3"/>
      <c r="AN16" s="3"/>
      <c r="AO16" s="3"/>
      <c r="AP16" s="3"/>
      <c r="AQ16" s="3"/>
      <c r="AR16" s="3"/>
      <c r="AS16" s="3"/>
    </row>
    <row r="17" spans="4:45" x14ac:dyDescent="0.25">
      <c r="D17" s="3">
        <v>165</v>
      </c>
      <c r="E17" s="3"/>
      <c r="F17" s="3"/>
      <c r="G17" s="3"/>
      <c r="H17" s="3"/>
      <c r="I17" s="3"/>
      <c r="J17" s="3"/>
      <c r="K17" s="3"/>
      <c r="L17" s="3"/>
      <c r="M17" s="3">
        <v>3</v>
      </c>
      <c r="N17" s="3"/>
      <c r="O17" s="3"/>
      <c r="P17" s="3"/>
      <c r="Q17" s="3"/>
      <c r="R17" s="3">
        <v>3</v>
      </c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>
        <v>3</v>
      </c>
      <c r="AG17" s="3"/>
      <c r="AH17" s="3"/>
      <c r="AI17" s="3"/>
      <c r="AJ17" s="3"/>
      <c r="AK17" s="3">
        <v>3</v>
      </c>
      <c r="AL17" s="3"/>
      <c r="AM17" s="3"/>
      <c r="AN17" s="3"/>
      <c r="AO17" s="3"/>
      <c r="AP17" s="3"/>
      <c r="AQ17" s="3"/>
      <c r="AR17" s="3"/>
      <c r="AS17" s="3"/>
    </row>
    <row r="18" spans="4:45" x14ac:dyDescent="0.25">
      <c r="D18" s="3">
        <v>175</v>
      </c>
      <c r="E18" s="3"/>
      <c r="F18" s="3"/>
      <c r="G18" s="3"/>
      <c r="H18" s="3"/>
      <c r="I18" s="3"/>
      <c r="J18" s="3"/>
      <c r="K18" s="3"/>
      <c r="L18" s="3"/>
      <c r="M18" s="3">
        <v>3</v>
      </c>
      <c r="R18" s="3">
        <v>3</v>
      </c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>
        <v>3</v>
      </c>
      <c r="AG18" s="3"/>
      <c r="AH18" s="3"/>
      <c r="AI18" s="3"/>
      <c r="AJ18" s="3"/>
      <c r="AK18" s="3">
        <v>3</v>
      </c>
      <c r="AL18" s="3"/>
      <c r="AM18" s="3"/>
      <c r="AN18" s="3"/>
      <c r="AO18" s="3"/>
      <c r="AP18" s="3"/>
      <c r="AQ18" s="3"/>
      <c r="AR18" s="3"/>
      <c r="AS18" s="3"/>
    </row>
    <row r="19" spans="4:45" x14ac:dyDescent="0.25">
      <c r="D19" s="3">
        <v>185</v>
      </c>
      <c r="E19" s="3"/>
      <c r="F19" s="3"/>
      <c r="G19" s="3"/>
      <c r="H19" s="3"/>
      <c r="I19" s="3"/>
      <c r="J19" s="3"/>
      <c r="K19" s="3"/>
      <c r="L19" s="3"/>
      <c r="M19" s="3">
        <v>3</v>
      </c>
      <c r="N19" s="3">
        <v>3</v>
      </c>
      <c r="O19" s="3">
        <v>3</v>
      </c>
      <c r="P19" s="3">
        <v>3</v>
      </c>
      <c r="Q19" s="3">
        <v>3</v>
      </c>
      <c r="R19" s="3">
        <v>3</v>
      </c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>
        <v>3</v>
      </c>
      <c r="AG19" s="3">
        <v>3</v>
      </c>
      <c r="AH19" s="3">
        <v>3</v>
      </c>
      <c r="AI19" s="3">
        <v>3</v>
      </c>
      <c r="AJ19" s="3">
        <v>3</v>
      </c>
      <c r="AK19" s="3">
        <v>3</v>
      </c>
      <c r="AL19" s="3"/>
      <c r="AM19" s="3"/>
      <c r="AN19" s="3"/>
      <c r="AO19" s="3"/>
      <c r="AP19" s="3"/>
      <c r="AQ19" s="3"/>
      <c r="AR19" s="3"/>
      <c r="AS19" s="3"/>
    </row>
    <row r="20" spans="4:45" x14ac:dyDescent="0.25">
      <c r="D20" s="3">
        <v>195</v>
      </c>
      <c r="E20" s="3"/>
      <c r="F20" s="3"/>
      <c r="G20" s="3"/>
      <c r="H20" s="3"/>
      <c r="I20" s="3"/>
      <c r="J20" s="3"/>
      <c r="K20" s="3"/>
      <c r="L20" s="3"/>
      <c r="M20" s="3">
        <v>3</v>
      </c>
      <c r="N20" s="3"/>
      <c r="O20" s="3"/>
      <c r="P20" s="3"/>
      <c r="Q20" s="3"/>
      <c r="R20" s="3">
        <v>3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>
        <v>3</v>
      </c>
      <c r="AK20" s="3">
        <v>3</v>
      </c>
      <c r="AL20" s="3"/>
      <c r="AM20" s="3"/>
      <c r="AN20" s="3"/>
      <c r="AO20" s="3"/>
      <c r="AP20" s="3"/>
      <c r="AQ20" s="3"/>
      <c r="AR20" s="3"/>
      <c r="AS20" s="3"/>
    </row>
    <row r="21" spans="4:45" x14ac:dyDescent="0.25">
      <c r="D21" s="3">
        <v>205</v>
      </c>
      <c r="E21" s="3"/>
      <c r="F21" s="3"/>
      <c r="G21" s="3"/>
      <c r="H21" s="3"/>
      <c r="I21" s="3"/>
      <c r="J21" s="3"/>
      <c r="K21" s="3"/>
      <c r="L21" s="3"/>
      <c r="M21" s="3">
        <v>3</v>
      </c>
      <c r="N21" s="3"/>
      <c r="O21" s="3"/>
      <c r="P21" s="3"/>
      <c r="Q21" s="3"/>
      <c r="R21" s="3">
        <v>3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>
        <v>3</v>
      </c>
      <c r="AG21" s="3"/>
      <c r="AH21" s="3"/>
      <c r="AI21" s="3"/>
      <c r="AJ21" s="3"/>
      <c r="AK21" s="3">
        <v>3</v>
      </c>
      <c r="AL21" s="3"/>
      <c r="AM21" s="3"/>
      <c r="AN21" s="3"/>
      <c r="AO21" s="3"/>
      <c r="AP21" s="3"/>
      <c r="AQ21" s="3"/>
      <c r="AR21" s="3"/>
      <c r="AS21" s="3"/>
    </row>
    <row r="22" spans="4:45" x14ac:dyDescent="0.25">
      <c r="D22" s="3">
        <v>215</v>
      </c>
      <c r="E22" s="3"/>
      <c r="F22" s="3"/>
      <c r="G22" s="3"/>
      <c r="H22" s="3"/>
      <c r="I22" s="3"/>
      <c r="J22" s="3"/>
      <c r="K22" s="3"/>
      <c r="L22" s="3"/>
      <c r="M22" s="3">
        <v>3</v>
      </c>
      <c r="N22" s="3"/>
      <c r="O22" s="3"/>
      <c r="P22" s="3"/>
      <c r="Q22" s="3"/>
      <c r="R22" s="3">
        <v>3</v>
      </c>
      <c r="S22" s="3">
        <v>3</v>
      </c>
      <c r="T22" s="3">
        <v>3</v>
      </c>
      <c r="U22" s="3">
        <v>3</v>
      </c>
      <c r="V22" s="3">
        <v>3</v>
      </c>
      <c r="W22" s="3">
        <v>3</v>
      </c>
      <c r="X22" s="3">
        <v>3</v>
      </c>
      <c r="Y22" s="3">
        <v>3</v>
      </c>
      <c r="Z22" s="3">
        <v>3</v>
      </c>
      <c r="AA22" s="3">
        <v>3</v>
      </c>
      <c r="AB22" s="3">
        <v>3</v>
      </c>
      <c r="AC22" s="3">
        <v>3</v>
      </c>
      <c r="AD22" s="3">
        <v>3</v>
      </c>
      <c r="AE22" s="3">
        <v>3</v>
      </c>
      <c r="AF22" s="3">
        <v>3</v>
      </c>
      <c r="AG22" s="3"/>
      <c r="AH22" s="3"/>
      <c r="AI22" s="3"/>
      <c r="AJ22" s="3"/>
      <c r="AK22" s="3">
        <v>3</v>
      </c>
      <c r="AL22" s="3"/>
      <c r="AM22" s="3"/>
      <c r="AN22" s="3"/>
      <c r="AO22" s="3"/>
      <c r="AP22" s="3"/>
      <c r="AQ22" s="3"/>
      <c r="AR22" s="3"/>
      <c r="AS22" s="3"/>
    </row>
    <row r="23" spans="4:45" x14ac:dyDescent="0.25">
      <c r="D23" s="3">
        <v>225</v>
      </c>
      <c r="E23" s="3"/>
      <c r="F23" s="3"/>
      <c r="G23" s="3"/>
      <c r="H23" s="3"/>
      <c r="I23" s="3"/>
      <c r="J23" s="3"/>
      <c r="K23" s="3"/>
      <c r="L23" s="3"/>
      <c r="M23" s="3">
        <v>3</v>
      </c>
      <c r="N23" s="3"/>
      <c r="O23" s="3"/>
      <c r="P23" s="3"/>
      <c r="Q23" s="3"/>
      <c r="R23" s="3">
        <v>3</v>
      </c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>
        <v>3</v>
      </c>
      <c r="AG23" s="3"/>
      <c r="AH23" s="3"/>
      <c r="AI23" s="3"/>
      <c r="AJ23" s="3"/>
      <c r="AK23" s="3">
        <v>3</v>
      </c>
      <c r="AL23" s="3"/>
      <c r="AM23" s="3"/>
      <c r="AN23" s="3"/>
      <c r="AO23" s="3"/>
      <c r="AP23" s="3"/>
      <c r="AQ23" s="3"/>
      <c r="AR23" s="3"/>
      <c r="AS23" s="3"/>
    </row>
    <row r="24" spans="4:45" x14ac:dyDescent="0.25">
      <c r="D24" s="3">
        <v>235</v>
      </c>
      <c r="E24" s="3"/>
      <c r="F24" s="3"/>
      <c r="G24" s="3"/>
      <c r="H24" s="3"/>
      <c r="I24" s="3"/>
      <c r="J24" s="3"/>
      <c r="K24" s="3"/>
      <c r="L24" s="3"/>
      <c r="M24" s="3">
        <v>3</v>
      </c>
      <c r="N24" s="3"/>
      <c r="O24" s="3"/>
      <c r="P24" s="3"/>
      <c r="Q24" s="3"/>
      <c r="R24" s="3">
        <v>3</v>
      </c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>
        <v>3</v>
      </c>
      <c r="AG24" s="3"/>
      <c r="AH24" s="3"/>
      <c r="AI24" s="3"/>
      <c r="AJ24" s="3"/>
      <c r="AK24" s="3">
        <v>3</v>
      </c>
      <c r="AL24" s="3"/>
      <c r="AM24" s="3"/>
      <c r="AN24" s="3"/>
      <c r="AO24" s="3"/>
      <c r="AP24" s="3"/>
      <c r="AQ24" s="3"/>
      <c r="AR24" s="3"/>
      <c r="AS24" s="3"/>
    </row>
    <row r="25" spans="4:45" x14ac:dyDescent="0.25">
      <c r="D25" s="3">
        <v>245</v>
      </c>
      <c r="E25" s="3"/>
      <c r="F25" s="3"/>
      <c r="G25" s="3"/>
      <c r="H25" s="3"/>
      <c r="I25" s="3"/>
      <c r="J25" s="3"/>
      <c r="K25" s="3"/>
      <c r="L25" s="3"/>
      <c r="M25" s="3">
        <v>3</v>
      </c>
      <c r="N25" s="3"/>
      <c r="O25" s="3"/>
      <c r="P25" s="3"/>
      <c r="Q25" s="3"/>
      <c r="R25" s="3">
        <v>3</v>
      </c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>
        <v>3</v>
      </c>
      <c r="AG25" s="3"/>
      <c r="AH25" s="3"/>
      <c r="AI25" s="3"/>
      <c r="AJ25" s="3"/>
      <c r="AK25" s="3">
        <v>3</v>
      </c>
      <c r="AL25" s="3"/>
      <c r="AM25" s="3"/>
      <c r="AN25" s="3"/>
      <c r="AO25" s="3"/>
      <c r="AP25" s="3"/>
      <c r="AQ25" s="3"/>
      <c r="AR25" s="3"/>
      <c r="AS25" s="3"/>
    </row>
    <row r="26" spans="4:45" x14ac:dyDescent="0.25">
      <c r="D26" s="3">
        <v>255</v>
      </c>
      <c r="E26" s="3">
        <v>3</v>
      </c>
      <c r="F26" s="3">
        <v>3</v>
      </c>
      <c r="G26" s="3">
        <v>3</v>
      </c>
      <c r="H26" s="3">
        <v>3</v>
      </c>
      <c r="I26" s="3">
        <v>3</v>
      </c>
      <c r="J26" s="3">
        <v>3</v>
      </c>
      <c r="K26" s="3">
        <v>3</v>
      </c>
      <c r="L26" s="3">
        <v>3</v>
      </c>
      <c r="M26" s="3">
        <v>3</v>
      </c>
      <c r="N26" s="3">
        <v>3</v>
      </c>
      <c r="O26" s="3">
        <v>3</v>
      </c>
      <c r="P26" s="3">
        <v>3</v>
      </c>
      <c r="Q26" s="3">
        <v>3</v>
      </c>
      <c r="R26" s="3">
        <v>3</v>
      </c>
      <c r="S26" s="3">
        <v>3</v>
      </c>
      <c r="T26" s="3">
        <v>3</v>
      </c>
      <c r="U26" s="3">
        <v>3</v>
      </c>
      <c r="V26" s="3">
        <v>3</v>
      </c>
      <c r="W26" s="3"/>
      <c r="X26" s="3"/>
      <c r="Y26" s="3"/>
      <c r="Z26" s="3"/>
      <c r="AA26" s="3">
        <v>3</v>
      </c>
      <c r="AB26" s="3">
        <v>3</v>
      </c>
      <c r="AC26" s="3">
        <v>3</v>
      </c>
      <c r="AD26" s="3">
        <v>3</v>
      </c>
      <c r="AE26" s="3">
        <v>3</v>
      </c>
      <c r="AF26" s="3">
        <v>3</v>
      </c>
      <c r="AG26" s="3">
        <v>3</v>
      </c>
      <c r="AH26" s="3">
        <v>3</v>
      </c>
      <c r="AI26" s="3">
        <v>3</v>
      </c>
      <c r="AJ26" s="3">
        <v>3</v>
      </c>
      <c r="AK26" s="3">
        <v>3</v>
      </c>
      <c r="AL26" s="3">
        <v>3</v>
      </c>
      <c r="AM26" s="3">
        <v>3</v>
      </c>
      <c r="AN26" s="3">
        <v>3</v>
      </c>
      <c r="AO26" s="3">
        <v>3</v>
      </c>
      <c r="AP26" s="3">
        <v>3</v>
      </c>
      <c r="AQ26" s="3">
        <v>3</v>
      </c>
      <c r="AR26" s="3">
        <v>3</v>
      </c>
      <c r="AS26" s="3">
        <v>3</v>
      </c>
    </row>
    <row r="27" spans="4:45" x14ac:dyDescent="0.25">
      <c r="D27" s="3">
        <v>265</v>
      </c>
      <c r="E27" s="3">
        <v>3</v>
      </c>
      <c r="F27" s="3"/>
      <c r="G27" s="3"/>
      <c r="H27" s="3"/>
      <c r="I27" s="3"/>
      <c r="J27" s="3"/>
      <c r="K27" s="3"/>
      <c r="L27" s="3"/>
      <c r="M27" s="3">
        <v>3</v>
      </c>
      <c r="N27" s="3"/>
      <c r="O27" s="3"/>
      <c r="P27" s="3"/>
      <c r="Q27" s="3"/>
      <c r="R27" s="3"/>
      <c r="S27" s="3"/>
      <c r="T27" s="3"/>
      <c r="U27" s="3"/>
      <c r="V27" s="3">
        <v>3</v>
      </c>
      <c r="W27" s="3"/>
      <c r="X27" s="3"/>
      <c r="Y27" s="3"/>
      <c r="Z27" s="3"/>
      <c r="AA27" s="3">
        <v>3</v>
      </c>
      <c r="AB27" s="3"/>
      <c r="AC27" s="3"/>
      <c r="AD27" s="3"/>
      <c r="AE27" s="3"/>
      <c r="AF27" s="3"/>
      <c r="AG27" s="3"/>
      <c r="AH27" s="3"/>
      <c r="AI27" s="3"/>
      <c r="AJ27" s="3"/>
      <c r="AK27" s="3">
        <v>3</v>
      </c>
      <c r="AL27" s="3"/>
      <c r="AM27" s="3"/>
      <c r="AN27" s="3"/>
      <c r="AO27" s="3"/>
      <c r="AP27" s="3"/>
      <c r="AQ27" s="3"/>
      <c r="AR27" s="3"/>
      <c r="AS27" s="3">
        <v>3</v>
      </c>
    </row>
    <row r="28" spans="4:45" x14ac:dyDescent="0.25">
      <c r="D28" s="3">
        <v>275</v>
      </c>
      <c r="E28" s="3">
        <v>8</v>
      </c>
      <c r="F28" s="3"/>
      <c r="G28" s="3"/>
      <c r="H28" s="3"/>
      <c r="I28" s="3"/>
      <c r="J28" s="3"/>
      <c r="K28" s="3"/>
      <c r="L28" s="3"/>
      <c r="M28" s="3">
        <v>3</v>
      </c>
      <c r="N28" s="3"/>
      <c r="O28" s="3"/>
      <c r="P28" s="3"/>
      <c r="Q28" s="3"/>
      <c r="R28" s="3"/>
      <c r="S28" s="3"/>
      <c r="T28" s="3"/>
      <c r="U28" s="3"/>
      <c r="V28" s="3">
        <v>3</v>
      </c>
      <c r="W28" s="3"/>
      <c r="X28" s="3"/>
      <c r="Y28" s="3"/>
      <c r="Z28" s="3"/>
      <c r="AA28" s="3">
        <v>3</v>
      </c>
      <c r="AB28" s="3"/>
      <c r="AC28" s="3"/>
      <c r="AD28" s="3"/>
      <c r="AE28" s="3"/>
      <c r="AF28" s="3"/>
      <c r="AG28" s="3"/>
      <c r="AH28" s="3"/>
      <c r="AI28" s="3"/>
      <c r="AJ28" s="3"/>
      <c r="AK28" s="3">
        <v>3</v>
      </c>
      <c r="AL28" s="3"/>
      <c r="AM28" s="3"/>
      <c r="AN28" s="3"/>
      <c r="AO28" s="3"/>
      <c r="AP28" s="3"/>
      <c r="AQ28" s="3"/>
      <c r="AR28" s="3"/>
      <c r="AS28" s="3">
        <v>8</v>
      </c>
    </row>
    <row r="29" spans="4:45" x14ac:dyDescent="0.25">
      <c r="D29" s="3">
        <v>285</v>
      </c>
      <c r="E29" s="3">
        <v>3</v>
      </c>
      <c r="F29" s="3"/>
      <c r="G29" s="3"/>
      <c r="H29" s="3"/>
      <c r="I29" s="3"/>
      <c r="J29" s="3"/>
      <c r="K29" s="3"/>
      <c r="L29" s="3"/>
      <c r="M29" s="3">
        <v>3</v>
      </c>
      <c r="N29" s="3"/>
      <c r="O29" s="3"/>
      <c r="P29" s="3"/>
      <c r="Q29" s="3"/>
      <c r="R29" s="3"/>
      <c r="S29" s="3"/>
      <c r="T29" s="3"/>
      <c r="U29" s="3"/>
      <c r="V29" s="3">
        <v>3</v>
      </c>
      <c r="W29" s="3"/>
      <c r="X29" s="3"/>
      <c r="Y29" s="3"/>
      <c r="Z29" s="3"/>
      <c r="AA29" s="3">
        <v>3</v>
      </c>
      <c r="AB29" s="3"/>
      <c r="AC29" s="3"/>
      <c r="AD29" s="3"/>
      <c r="AE29" s="3"/>
      <c r="AF29" s="3"/>
      <c r="AG29" s="3"/>
      <c r="AH29" s="3"/>
      <c r="AI29" s="3"/>
      <c r="AJ29" s="3"/>
      <c r="AK29" s="3">
        <v>3</v>
      </c>
      <c r="AL29" s="3"/>
      <c r="AM29" s="3"/>
      <c r="AN29" s="3"/>
      <c r="AO29" s="3"/>
      <c r="AP29" s="3"/>
      <c r="AQ29" s="3"/>
      <c r="AR29" s="3"/>
      <c r="AS29" s="3">
        <v>3</v>
      </c>
    </row>
    <row r="30" spans="4:45" x14ac:dyDescent="0.25">
      <c r="D30" s="3">
        <v>295</v>
      </c>
      <c r="E30" s="3">
        <v>3</v>
      </c>
      <c r="F30" s="3">
        <v>3</v>
      </c>
      <c r="G30" s="3">
        <v>3</v>
      </c>
      <c r="H30" s="3">
        <v>3</v>
      </c>
      <c r="I30" s="3"/>
      <c r="J30" s="3"/>
      <c r="K30" s="3"/>
      <c r="L30" s="3"/>
      <c r="M30" s="3">
        <v>3</v>
      </c>
      <c r="N30" s="3">
        <v>3</v>
      </c>
      <c r="O30" s="3">
        <v>3</v>
      </c>
      <c r="P30" s="3">
        <v>3</v>
      </c>
      <c r="Q30" s="3">
        <v>3</v>
      </c>
      <c r="R30" s="3">
        <v>3</v>
      </c>
      <c r="S30" s="3">
        <v>3</v>
      </c>
      <c r="T30" s="3">
        <v>3</v>
      </c>
      <c r="U30" s="3">
        <v>3</v>
      </c>
      <c r="V30" s="3">
        <v>3</v>
      </c>
      <c r="W30" s="3">
        <v>3</v>
      </c>
      <c r="X30" s="3">
        <v>3</v>
      </c>
      <c r="Y30" s="3">
        <v>3</v>
      </c>
      <c r="Z30" s="3">
        <v>3</v>
      </c>
      <c r="AA30" s="3">
        <v>3</v>
      </c>
      <c r="AB30" s="3">
        <v>3</v>
      </c>
      <c r="AC30" s="3">
        <v>3</v>
      </c>
      <c r="AD30" s="3">
        <v>3</v>
      </c>
      <c r="AE30" s="3">
        <v>3</v>
      </c>
      <c r="AF30" s="3">
        <v>3</v>
      </c>
      <c r="AG30" s="3">
        <v>3</v>
      </c>
      <c r="AH30" s="3">
        <v>3</v>
      </c>
      <c r="AI30" s="3">
        <v>3</v>
      </c>
      <c r="AJ30" s="3">
        <v>3</v>
      </c>
      <c r="AK30" s="3">
        <v>3</v>
      </c>
      <c r="AL30" s="3"/>
      <c r="AM30" s="3"/>
      <c r="AN30" s="3"/>
      <c r="AO30" s="3"/>
      <c r="AP30" s="3">
        <v>3</v>
      </c>
      <c r="AQ30" s="3">
        <v>3</v>
      </c>
      <c r="AR30" s="3">
        <v>3</v>
      </c>
      <c r="AS30" s="3">
        <v>3</v>
      </c>
    </row>
    <row r="31" spans="4:45" x14ac:dyDescent="0.25">
      <c r="D31" s="3">
        <v>305</v>
      </c>
      <c r="E31" s="3"/>
      <c r="F31" s="3"/>
      <c r="G31" s="3"/>
      <c r="H31" s="3">
        <v>3</v>
      </c>
      <c r="I31" s="3"/>
      <c r="J31" s="3"/>
      <c r="K31" s="3"/>
      <c r="L31" s="3"/>
      <c r="M31" s="3">
        <v>3</v>
      </c>
      <c r="N31" s="3"/>
      <c r="O31" s="3"/>
      <c r="P31" s="3"/>
      <c r="Q31" s="3"/>
      <c r="R31" s="3">
        <v>3</v>
      </c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F31" s="3">
        <v>3</v>
      </c>
      <c r="AG31" s="3"/>
      <c r="AH31" s="3"/>
      <c r="AI31" s="3"/>
      <c r="AK31" s="3">
        <v>3</v>
      </c>
      <c r="AL31" s="3"/>
      <c r="AM31" s="3"/>
      <c r="AN31" s="3"/>
      <c r="AP31" s="3">
        <v>3</v>
      </c>
      <c r="AQ31" s="3"/>
      <c r="AR31" s="3"/>
      <c r="AS31" s="3"/>
    </row>
    <row r="32" spans="4:45" x14ac:dyDescent="0.25">
      <c r="D32" s="3">
        <v>315</v>
      </c>
      <c r="E32" s="3"/>
      <c r="F32" s="3"/>
      <c r="G32" s="3"/>
      <c r="H32" s="3">
        <v>3</v>
      </c>
      <c r="I32" s="3"/>
      <c r="J32" s="3"/>
      <c r="K32" s="3"/>
      <c r="L32" s="3"/>
      <c r="M32" s="3">
        <v>3</v>
      </c>
      <c r="N32" s="3"/>
      <c r="O32" s="3"/>
      <c r="P32" s="3"/>
      <c r="Q32" s="3"/>
      <c r="R32" s="3">
        <v>3</v>
      </c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F32" s="3">
        <v>3</v>
      </c>
      <c r="AG32" s="3"/>
      <c r="AH32" s="3"/>
      <c r="AI32" s="3"/>
      <c r="AK32" s="3">
        <v>3</v>
      </c>
      <c r="AL32" s="3"/>
      <c r="AM32" s="3"/>
      <c r="AN32" s="3"/>
      <c r="AP32" s="3">
        <v>3</v>
      </c>
      <c r="AQ32" s="3"/>
      <c r="AR32" s="3"/>
      <c r="AS32" s="3"/>
    </row>
    <row r="33" spans="4:45" x14ac:dyDescent="0.25">
      <c r="D33" s="3">
        <v>325</v>
      </c>
      <c r="E33" s="3"/>
      <c r="F33" s="3"/>
      <c r="G33" s="3"/>
      <c r="H33" s="3">
        <v>3</v>
      </c>
      <c r="I33" s="3"/>
      <c r="J33" s="3"/>
      <c r="K33" s="3"/>
      <c r="L33" s="3"/>
      <c r="M33" s="3">
        <v>3</v>
      </c>
      <c r="N33" s="3"/>
      <c r="O33" s="3"/>
      <c r="P33" s="3"/>
      <c r="Q33" s="3"/>
      <c r="R33" s="3">
        <v>3</v>
      </c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F33" s="3">
        <v>3</v>
      </c>
      <c r="AG33" s="3"/>
      <c r="AH33" s="3"/>
      <c r="AI33" s="3"/>
      <c r="AK33" s="3">
        <v>3</v>
      </c>
      <c r="AL33" s="3"/>
      <c r="AM33" s="3"/>
      <c r="AN33" s="3"/>
      <c r="AP33" s="3">
        <v>3</v>
      </c>
      <c r="AQ33" s="3"/>
      <c r="AR33" s="3"/>
      <c r="AS33" s="3"/>
    </row>
    <row r="34" spans="4:45" x14ac:dyDescent="0.25">
      <c r="D34" s="3">
        <v>335</v>
      </c>
      <c r="E34" s="3">
        <v>3</v>
      </c>
      <c r="F34" s="3">
        <v>3</v>
      </c>
      <c r="G34" s="3">
        <v>3</v>
      </c>
      <c r="H34" s="3">
        <v>3</v>
      </c>
      <c r="I34" s="3">
        <v>3</v>
      </c>
      <c r="J34" s="3">
        <v>3</v>
      </c>
      <c r="K34" s="3">
        <v>3</v>
      </c>
      <c r="L34" s="3">
        <v>3</v>
      </c>
      <c r="M34" s="3">
        <v>3</v>
      </c>
      <c r="N34" s="3"/>
      <c r="O34" s="3"/>
      <c r="P34" s="3"/>
      <c r="Q34" s="3"/>
      <c r="R34" s="3">
        <v>3</v>
      </c>
      <c r="S34" s="3">
        <v>3</v>
      </c>
      <c r="T34" s="3">
        <v>3</v>
      </c>
      <c r="U34" s="3">
        <v>3</v>
      </c>
      <c r="V34" s="3">
        <v>3</v>
      </c>
      <c r="W34" s="3"/>
      <c r="X34" s="3"/>
      <c r="Y34" s="3"/>
      <c r="Z34" s="3"/>
      <c r="AA34" s="3">
        <v>3</v>
      </c>
      <c r="AB34" s="3">
        <v>3</v>
      </c>
      <c r="AC34" s="3">
        <v>3</v>
      </c>
      <c r="AD34" s="3">
        <v>3</v>
      </c>
      <c r="AE34" s="3">
        <v>3</v>
      </c>
      <c r="AF34" s="3">
        <v>3</v>
      </c>
      <c r="AG34" s="3"/>
      <c r="AH34" s="3"/>
      <c r="AI34" s="3"/>
      <c r="AJ34" s="3"/>
      <c r="AK34" s="3">
        <v>3</v>
      </c>
      <c r="AL34" s="3">
        <v>3</v>
      </c>
      <c r="AM34" s="3">
        <v>3</v>
      </c>
      <c r="AN34" s="3">
        <v>3</v>
      </c>
      <c r="AO34" s="3">
        <v>3</v>
      </c>
      <c r="AP34" s="3">
        <v>3</v>
      </c>
      <c r="AQ34" s="3">
        <v>3</v>
      </c>
      <c r="AR34" s="3">
        <v>3</v>
      </c>
      <c r="AS34" s="3">
        <v>3</v>
      </c>
    </row>
    <row r="35" spans="4:45" x14ac:dyDescent="0.25">
      <c r="D35" s="3">
        <v>345</v>
      </c>
      <c r="E35" s="3">
        <v>3</v>
      </c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>
        <v>3</v>
      </c>
      <c r="W35" s="3"/>
      <c r="X35" s="3"/>
      <c r="Y35" s="3"/>
      <c r="Z35" s="3"/>
      <c r="AA35" s="3">
        <v>3</v>
      </c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>
        <v>3</v>
      </c>
    </row>
    <row r="36" spans="4:45" x14ac:dyDescent="0.25">
      <c r="D36" s="3">
        <v>355</v>
      </c>
      <c r="E36" s="3">
        <v>3</v>
      </c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>
        <v>3</v>
      </c>
      <c r="W36" s="3"/>
      <c r="X36" s="3"/>
      <c r="Y36" s="3"/>
      <c r="Z36" s="3"/>
      <c r="AA36" s="3">
        <v>3</v>
      </c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>
        <v>3</v>
      </c>
    </row>
    <row r="37" spans="4:45" x14ac:dyDescent="0.25">
      <c r="D37" s="3">
        <v>365</v>
      </c>
      <c r="E37" s="3">
        <v>3</v>
      </c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>
        <v>3</v>
      </c>
      <c r="W37" s="3"/>
      <c r="X37" s="3"/>
      <c r="Y37" s="3"/>
      <c r="Z37" s="3"/>
      <c r="AA37" s="3">
        <v>3</v>
      </c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>
        <v>3</v>
      </c>
    </row>
    <row r="38" spans="4:45" x14ac:dyDescent="0.25">
      <c r="D38" s="3">
        <v>375</v>
      </c>
      <c r="E38" s="3">
        <v>3</v>
      </c>
      <c r="F38" s="3">
        <v>3</v>
      </c>
      <c r="G38" s="3">
        <v>3</v>
      </c>
      <c r="H38" s="3">
        <v>3</v>
      </c>
      <c r="I38" s="3">
        <v>3</v>
      </c>
      <c r="J38" s="3">
        <v>3</v>
      </c>
      <c r="K38" s="3">
        <v>3</v>
      </c>
      <c r="L38" s="3">
        <v>3</v>
      </c>
      <c r="M38" s="3">
        <v>3</v>
      </c>
      <c r="N38" s="3">
        <v>3</v>
      </c>
      <c r="O38" s="3">
        <v>3</v>
      </c>
      <c r="P38" s="3">
        <v>3</v>
      </c>
      <c r="Q38" s="3">
        <v>3</v>
      </c>
      <c r="R38" s="3">
        <v>3</v>
      </c>
      <c r="S38" s="3">
        <v>3</v>
      </c>
      <c r="T38" s="3">
        <v>3</v>
      </c>
      <c r="U38" s="3">
        <v>3</v>
      </c>
      <c r="V38" s="3">
        <v>3</v>
      </c>
      <c r="W38" s="3">
        <v>3</v>
      </c>
      <c r="X38" s="3">
        <v>3</v>
      </c>
      <c r="Y38" s="3">
        <v>3</v>
      </c>
      <c r="Z38" s="3">
        <v>3</v>
      </c>
      <c r="AA38" s="3">
        <v>3</v>
      </c>
      <c r="AB38" s="3">
        <v>3</v>
      </c>
      <c r="AC38" s="3">
        <v>3</v>
      </c>
      <c r="AD38" s="3">
        <v>3</v>
      </c>
      <c r="AE38" s="3">
        <v>3</v>
      </c>
      <c r="AF38" s="3">
        <v>3</v>
      </c>
      <c r="AG38" s="3">
        <v>3</v>
      </c>
      <c r="AH38" s="3">
        <v>3</v>
      </c>
      <c r="AI38" s="3">
        <v>3</v>
      </c>
      <c r="AJ38" s="3">
        <v>3</v>
      </c>
      <c r="AK38" s="3">
        <v>3</v>
      </c>
      <c r="AL38" s="3">
        <v>3</v>
      </c>
      <c r="AM38" s="3">
        <v>3</v>
      </c>
      <c r="AN38" s="3">
        <v>3</v>
      </c>
      <c r="AO38" s="3">
        <v>3</v>
      </c>
      <c r="AP38" s="3">
        <v>3</v>
      </c>
      <c r="AQ38" s="3">
        <v>3</v>
      </c>
      <c r="AR38" s="3">
        <v>3</v>
      </c>
      <c r="AS38" s="3">
        <v>3</v>
      </c>
    </row>
    <row r="50" spans="1:45" x14ac:dyDescent="0.25">
      <c r="A50">
        <f>COUNTIF(E52:AS88,1)</f>
        <v>427</v>
      </c>
    </row>
    <row r="52" spans="1:45" x14ac:dyDescent="0.25"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K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Q52">
        <v>1</v>
      </c>
      <c r="AR52">
        <v>1</v>
      </c>
      <c r="AS52">
        <v>1</v>
      </c>
    </row>
    <row r="53" spans="1:45" x14ac:dyDescent="0.25">
      <c r="E53">
        <v>1</v>
      </c>
      <c r="M53">
        <v>1</v>
      </c>
      <c r="V53">
        <v>1</v>
      </c>
      <c r="AA53">
        <v>1</v>
      </c>
      <c r="AK53">
        <v>1</v>
      </c>
      <c r="AS53">
        <v>1</v>
      </c>
    </row>
    <row r="54" spans="1:45" x14ac:dyDescent="0.25">
      <c r="E54">
        <v>1</v>
      </c>
      <c r="M54">
        <v>1</v>
      </c>
      <c r="V54">
        <v>1</v>
      </c>
      <c r="AA54">
        <v>1</v>
      </c>
      <c r="AK54">
        <v>1</v>
      </c>
      <c r="AS54">
        <v>1</v>
      </c>
    </row>
    <row r="55" spans="1:45" x14ac:dyDescent="0.25">
      <c r="E55">
        <v>1</v>
      </c>
      <c r="M55">
        <v>1</v>
      </c>
      <c r="V55">
        <v>1</v>
      </c>
      <c r="AA55">
        <v>1</v>
      </c>
      <c r="AK55">
        <v>1</v>
      </c>
      <c r="AS55">
        <v>1</v>
      </c>
    </row>
    <row r="56" spans="1:45" x14ac:dyDescent="0.25">
      <c r="E56">
        <v>1</v>
      </c>
      <c r="M56">
        <v>1</v>
      </c>
      <c r="V56">
        <v>1</v>
      </c>
      <c r="AA56">
        <v>1</v>
      </c>
      <c r="AK56">
        <v>1</v>
      </c>
      <c r="AS56">
        <v>1</v>
      </c>
    </row>
    <row r="57" spans="1:45" x14ac:dyDescent="0.25">
      <c r="E57">
        <v>1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1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</row>
    <row r="58" spans="1:45" x14ac:dyDescent="0.25">
      <c r="E58">
        <v>1</v>
      </c>
      <c r="M58">
        <v>1</v>
      </c>
      <c r="R58">
        <v>1</v>
      </c>
      <c r="AF58">
        <v>1</v>
      </c>
      <c r="AK58">
        <v>1</v>
      </c>
      <c r="AS58">
        <v>1</v>
      </c>
    </row>
    <row r="59" spans="1:45" x14ac:dyDescent="0.25">
      <c r="E59">
        <v>1</v>
      </c>
      <c r="M59">
        <v>1</v>
      </c>
      <c r="R59">
        <v>1</v>
      </c>
      <c r="AF59">
        <v>1</v>
      </c>
      <c r="AK59">
        <v>1</v>
      </c>
      <c r="AS59">
        <v>1</v>
      </c>
    </row>
    <row r="60" spans="1:45" x14ac:dyDescent="0.25">
      <c r="E60">
        <v>1</v>
      </c>
      <c r="M60">
        <v>1</v>
      </c>
      <c r="R60">
        <v>1</v>
      </c>
      <c r="AF60">
        <v>1</v>
      </c>
      <c r="AK60">
        <v>1</v>
      </c>
      <c r="AS60">
        <v>1</v>
      </c>
    </row>
    <row r="61" spans="1:45" x14ac:dyDescent="0.25"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R61">
        <v>1</v>
      </c>
      <c r="S61">
        <v>1</v>
      </c>
      <c r="T61">
        <v>1</v>
      </c>
      <c r="U61">
        <v>1</v>
      </c>
      <c r="V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</row>
    <row r="62" spans="1:45" x14ac:dyDescent="0.25">
      <c r="M62">
        <v>1</v>
      </c>
      <c r="V62">
        <v>1</v>
      </c>
      <c r="AA62">
        <v>1</v>
      </c>
      <c r="AK62">
        <v>1</v>
      </c>
    </row>
    <row r="63" spans="1:45" x14ac:dyDescent="0.25">
      <c r="M63">
        <v>1</v>
      </c>
      <c r="V63">
        <v>1</v>
      </c>
      <c r="AA63">
        <v>1</v>
      </c>
      <c r="AK63">
        <v>1</v>
      </c>
    </row>
    <row r="64" spans="1:45" x14ac:dyDescent="0.25">
      <c r="M64">
        <v>1</v>
      </c>
      <c r="V64">
        <v>1</v>
      </c>
      <c r="AA64">
        <v>1</v>
      </c>
      <c r="AK64">
        <v>1</v>
      </c>
    </row>
    <row r="65" spans="5:45" x14ac:dyDescent="0.25">
      <c r="M65">
        <v>1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K65">
        <v>1</v>
      </c>
    </row>
    <row r="66" spans="5:45" x14ac:dyDescent="0.25">
      <c r="M66">
        <v>1</v>
      </c>
      <c r="R66">
        <v>1</v>
      </c>
      <c r="AF66">
        <v>1</v>
      </c>
      <c r="AK66">
        <v>1</v>
      </c>
    </row>
    <row r="67" spans="5:45" x14ac:dyDescent="0.25">
      <c r="M67">
        <v>1</v>
      </c>
      <c r="R67">
        <v>1</v>
      </c>
      <c r="AF67">
        <v>1</v>
      </c>
      <c r="AK67">
        <v>1</v>
      </c>
    </row>
    <row r="68" spans="5:45" x14ac:dyDescent="0.25">
      <c r="M68">
        <v>1</v>
      </c>
      <c r="R68">
        <v>1</v>
      </c>
      <c r="AF68">
        <v>1</v>
      </c>
      <c r="AK68">
        <v>1</v>
      </c>
    </row>
    <row r="69" spans="5:45" x14ac:dyDescent="0.25">
      <c r="M69">
        <v>1</v>
      </c>
      <c r="N69">
        <v>1</v>
      </c>
      <c r="O69">
        <v>1</v>
      </c>
      <c r="P69">
        <v>1</v>
      </c>
      <c r="Q69">
        <v>1</v>
      </c>
      <c r="R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</row>
    <row r="70" spans="5:45" x14ac:dyDescent="0.25">
      <c r="M70">
        <v>1</v>
      </c>
      <c r="R70">
        <v>1</v>
      </c>
      <c r="AF70">
        <v>1</v>
      </c>
      <c r="AK70">
        <v>1</v>
      </c>
    </row>
    <row r="71" spans="5:45" x14ac:dyDescent="0.25">
      <c r="M71">
        <v>1</v>
      </c>
      <c r="R71">
        <v>1</v>
      </c>
      <c r="AF71">
        <v>1</v>
      </c>
      <c r="AK71">
        <v>1</v>
      </c>
    </row>
    <row r="72" spans="5:45" x14ac:dyDescent="0.25">
      <c r="M72">
        <v>1</v>
      </c>
      <c r="R72">
        <v>1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K72">
        <v>1</v>
      </c>
    </row>
    <row r="73" spans="5:45" x14ac:dyDescent="0.25">
      <c r="M73">
        <v>1</v>
      </c>
      <c r="R73">
        <v>1</v>
      </c>
      <c r="AF73">
        <v>1</v>
      </c>
      <c r="AK73">
        <v>1</v>
      </c>
    </row>
    <row r="74" spans="5:45" x14ac:dyDescent="0.25">
      <c r="M74">
        <v>1</v>
      </c>
      <c r="R74">
        <v>1</v>
      </c>
      <c r="AF74">
        <v>1</v>
      </c>
      <c r="AK74">
        <v>1</v>
      </c>
    </row>
    <row r="75" spans="5:45" x14ac:dyDescent="0.25">
      <c r="M75">
        <v>1</v>
      </c>
      <c r="R75">
        <v>1</v>
      </c>
      <c r="AF75">
        <v>1</v>
      </c>
      <c r="AK75">
        <v>1</v>
      </c>
    </row>
    <row r="76" spans="5:45" x14ac:dyDescent="0.25">
      <c r="E76">
        <v>1</v>
      </c>
      <c r="F76">
        <v>1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1</v>
      </c>
      <c r="AH76">
        <v>1</v>
      </c>
      <c r="AI76">
        <v>1</v>
      </c>
      <c r="AJ76">
        <v>1</v>
      </c>
      <c r="AK76">
        <v>1</v>
      </c>
      <c r="AL76">
        <v>1</v>
      </c>
      <c r="AM76">
        <v>1</v>
      </c>
      <c r="AN76">
        <v>1</v>
      </c>
      <c r="AO76">
        <v>1</v>
      </c>
      <c r="AP76">
        <v>1</v>
      </c>
      <c r="AQ76">
        <v>1</v>
      </c>
      <c r="AR76">
        <v>1</v>
      </c>
      <c r="AS76">
        <v>1</v>
      </c>
    </row>
    <row r="77" spans="5:45" x14ac:dyDescent="0.25">
      <c r="E77">
        <v>1</v>
      </c>
      <c r="M77">
        <v>1</v>
      </c>
      <c r="V77">
        <v>1</v>
      </c>
      <c r="AA77">
        <v>1</v>
      </c>
      <c r="AK77">
        <v>1</v>
      </c>
      <c r="AS77">
        <v>1</v>
      </c>
    </row>
    <row r="78" spans="5:45" x14ac:dyDescent="0.25">
      <c r="E78">
        <v>1</v>
      </c>
      <c r="M78">
        <v>1</v>
      </c>
      <c r="V78">
        <v>1</v>
      </c>
      <c r="AA78">
        <v>1</v>
      </c>
      <c r="AK78">
        <v>1</v>
      </c>
      <c r="AS78">
        <v>1</v>
      </c>
    </row>
    <row r="79" spans="5:45" x14ac:dyDescent="0.25">
      <c r="E79">
        <v>1</v>
      </c>
      <c r="M79">
        <v>1</v>
      </c>
      <c r="V79">
        <v>1</v>
      </c>
      <c r="AA79">
        <v>1</v>
      </c>
      <c r="AK79">
        <v>1</v>
      </c>
      <c r="AS79">
        <v>1</v>
      </c>
    </row>
    <row r="80" spans="5:45" x14ac:dyDescent="0.25">
      <c r="E80">
        <v>1</v>
      </c>
      <c r="F80">
        <v>1</v>
      </c>
      <c r="G80">
        <v>1</v>
      </c>
      <c r="H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P80">
        <v>1</v>
      </c>
      <c r="AQ80">
        <v>1</v>
      </c>
      <c r="AR80">
        <v>1</v>
      </c>
      <c r="AS80">
        <v>1</v>
      </c>
    </row>
    <row r="81" spans="1:45" x14ac:dyDescent="0.25">
      <c r="H81">
        <v>1</v>
      </c>
      <c r="M81">
        <v>1</v>
      </c>
      <c r="R81">
        <v>1</v>
      </c>
      <c r="AF81">
        <v>1</v>
      </c>
      <c r="AK81">
        <v>1</v>
      </c>
      <c r="AP81">
        <v>1</v>
      </c>
    </row>
    <row r="82" spans="1:45" x14ac:dyDescent="0.25">
      <c r="H82">
        <v>1</v>
      </c>
      <c r="M82">
        <v>1</v>
      </c>
      <c r="R82">
        <v>1</v>
      </c>
      <c r="AF82">
        <v>1</v>
      </c>
      <c r="AK82">
        <v>1</v>
      </c>
      <c r="AP82">
        <v>1</v>
      </c>
    </row>
    <row r="83" spans="1:45" x14ac:dyDescent="0.25">
      <c r="H83">
        <v>1</v>
      </c>
      <c r="M83">
        <v>1</v>
      </c>
      <c r="R83">
        <v>1</v>
      </c>
      <c r="AF83">
        <v>1</v>
      </c>
      <c r="AK83">
        <v>1</v>
      </c>
      <c r="AP83">
        <v>1</v>
      </c>
    </row>
    <row r="84" spans="1:45" x14ac:dyDescent="0.25"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  <c r="L84">
        <v>1</v>
      </c>
      <c r="M84">
        <v>1</v>
      </c>
      <c r="R84">
        <v>1</v>
      </c>
      <c r="S84">
        <v>1</v>
      </c>
      <c r="T84">
        <v>1</v>
      </c>
      <c r="U84">
        <v>1</v>
      </c>
      <c r="V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K84">
        <v>1</v>
      </c>
      <c r="AL84">
        <v>1</v>
      </c>
      <c r="AM84">
        <v>1</v>
      </c>
      <c r="AN84">
        <v>1</v>
      </c>
      <c r="AO84">
        <v>1</v>
      </c>
      <c r="AP84">
        <v>1</v>
      </c>
      <c r="AQ84">
        <v>1</v>
      </c>
      <c r="AR84">
        <v>1</v>
      </c>
      <c r="AS84">
        <v>1</v>
      </c>
    </row>
    <row r="85" spans="1:45" x14ac:dyDescent="0.25">
      <c r="E85">
        <v>1</v>
      </c>
      <c r="V85">
        <v>1</v>
      </c>
      <c r="AA85">
        <v>1</v>
      </c>
      <c r="AS85">
        <v>1</v>
      </c>
    </row>
    <row r="86" spans="1:45" x14ac:dyDescent="0.25">
      <c r="E86">
        <v>1</v>
      </c>
      <c r="V86">
        <v>1</v>
      </c>
      <c r="AA86">
        <v>1</v>
      </c>
      <c r="AS86">
        <v>1</v>
      </c>
    </row>
    <row r="87" spans="1:45" x14ac:dyDescent="0.25">
      <c r="E87">
        <v>1</v>
      </c>
      <c r="V87">
        <v>1</v>
      </c>
      <c r="AA87">
        <v>1</v>
      </c>
      <c r="AS87">
        <v>1</v>
      </c>
    </row>
    <row r="88" spans="1:45" x14ac:dyDescent="0.25"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  <c r="P88">
        <v>1</v>
      </c>
      <c r="Q88">
        <v>1</v>
      </c>
      <c r="R88">
        <v>1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>
        <v>1</v>
      </c>
      <c r="AH88">
        <v>1</v>
      </c>
      <c r="AI88">
        <v>1</v>
      </c>
      <c r="AJ88">
        <v>1</v>
      </c>
      <c r="AK88">
        <v>1</v>
      </c>
      <c r="AL88">
        <v>1</v>
      </c>
      <c r="AM88">
        <v>1</v>
      </c>
      <c r="AN88">
        <v>1</v>
      </c>
      <c r="AO88">
        <v>1</v>
      </c>
      <c r="AP88">
        <v>1</v>
      </c>
      <c r="AQ88">
        <v>1</v>
      </c>
      <c r="AR88">
        <v>1</v>
      </c>
      <c r="AS88">
        <v>1</v>
      </c>
    </row>
    <row r="95" spans="1:45" x14ac:dyDescent="0.25">
      <c r="A95" s="5">
        <v>43002.919618055559</v>
      </c>
      <c r="B95" s="5"/>
    </row>
    <row r="96" spans="1:45" x14ac:dyDescent="0.25">
      <c r="A96" s="5">
        <f>A95+TIME(0,0,10)</f>
        <v>43002.919733796298</v>
      </c>
      <c r="B96" s="5"/>
    </row>
    <row r="97" spans="1:45" x14ac:dyDescent="0.25">
      <c r="A97" s="5">
        <f>A96+TIME(0,0,10)</f>
        <v>43002.919849537036</v>
      </c>
      <c r="B97" s="5"/>
    </row>
    <row r="98" spans="1:45" x14ac:dyDescent="0.25">
      <c r="A98" s="5">
        <f>A97+TIME(0,0,10)</f>
        <v>43002.919965277775</v>
      </c>
      <c r="B98" s="5"/>
    </row>
    <row r="99" spans="1:45" x14ac:dyDescent="0.25">
      <c r="A99" s="5">
        <f>A98+TIME(0,0,10)</f>
        <v>43002.920081018514</v>
      </c>
      <c r="B99" s="5"/>
    </row>
    <row r="100" spans="1:45" x14ac:dyDescent="0.25">
      <c r="A100">
        <v>300</v>
      </c>
      <c r="B100">
        <v>145</v>
      </c>
      <c r="C100">
        <v>0</v>
      </c>
    </row>
    <row r="101" spans="1:45" x14ac:dyDescent="0.25">
      <c r="A101">
        <v>9</v>
      </c>
      <c r="B101">
        <v>125</v>
      </c>
      <c r="E101" s="3">
        <v>1</v>
      </c>
      <c r="F101" s="3">
        <v>1</v>
      </c>
      <c r="G101" s="3">
        <v>1</v>
      </c>
      <c r="H101" s="3">
        <v>1</v>
      </c>
      <c r="I101" s="3">
        <v>1</v>
      </c>
      <c r="J101" s="3">
        <v>1</v>
      </c>
      <c r="K101" s="3">
        <v>1</v>
      </c>
      <c r="L101" s="3">
        <v>1</v>
      </c>
      <c r="M101" s="3">
        <v>1</v>
      </c>
      <c r="N101" s="3">
        <v>1</v>
      </c>
      <c r="O101" s="3">
        <v>1</v>
      </c>
      <c r="P101" s="3">
        <v>1</v>
      </c>
      <c r="Q101" s="3">
        <v>1</v>
      </c>
      <c r="R101" s="3">
        <v>1</v>
      </c>
      <c r="S101" s="3">
        <v>1</v>
      </c>
      <c r="T101" s="3">
        <v>1</v>
      </c>
      <c r="U101" s="3">
        <v>1</v>
      </c>
      <c r="V101" s="3">
        <v>1</v>
      </c>
      <c r="W101" s="3"/>
      <c r="X101" s="3"/>
      <c r="Y101" s="3"/>
      <c r="Z101" s="3"/>
      <c r="AA101" s="3">
        <v>1</v>
      </c>
      <c r="AB101" s="3">
        <v>1</v>
      </c>
      <c r="AC101" s="3">
        <v>1</v>
      </c>
      <c r="AD101" s="3">
        <v>1</v>
      </c>
      <c r="AE101" s="3">
        <v>1</v>
      </c>
      <c r="AF101" s="3">
        <v>1</v>
      </c>
      <c r="AG101" s="3">
        <v>1</v>
      </c>
      <c r="AH101" s="3">
        <v>1</v>
      </c>
      <c r="AI101" s="3">
        <v>1</v>
      </c>
      <c r="AJ101" s="3">
        <v>1</v>
      </c>
      <c r="AK101" s="3">
        <v>1</v>
      </c>
      <c r="AL101" s="3">
        <v>1</v>
      </c>
      <c r="AM101" s="3">
        <v>1</v>
      </c>
      <c r="AN101" s="3">
        <v>1</v>
      </c>
      <c r="AO101" s="3">
        <v>1</v>
      </c>
      <c r="AP101" s="3">
        <v>1</v>
      </c>
      <c r="AQ101" s="3">
        <v>1</v>
      </c>
      <c r="AR101" s="3">
        <v>1</v>
      </c>
      <c r="AS101" s="3">
        <v>1</v>
      </c>
    </row>
    <row r="102" spans="1:45" x14ac:dyDescent="0.25">
      <c r="E102" s="3">
        <v>1</v>
      </c>
      <c r="F102" s="3"/>
      <c r="G102" s="3"/>
      <c r="H102" s="3"/>
      <c r="I102" s="3"/>
      <c r="J102" s="3"/>
      <c r="K102" s="3"/>
      <c r="L102" s="3"/>
      <c r="M102" s="3">
        <v>1</v>
      </c>
      <c r="N102" s="3"/>
      <c r="O102" s="3"/>
      <c r="P102" s="3"/>
      <c r="Q102" s="3"/>
      <c r="R102" s="3"/>
      <c r="S102" s="3"/>
      <c r="T102" s="3"/>
      <c r="U102" s="3"/>
      <c r="V102" s="3">
        <v>1</v>
      </c>
      <c r="W102" s="3"/>
      <c r="X102" s="3"/>
      <c r="Y102" s="3"/>
      <c r="Z102" s="3"/>
      <c r="AA102" s="3">
        <v>1</v>
      </c>
      <c r="AB102" s="3"/>
      <c r="AC102" s="3"/>
      <c r="AD102" s="3"/>
      <c r="AE102" s="3"/>
      <c r="AF102" s="3"/>
      <c r="AG102" s="3"/>
      <c r="AH102" s="3"/>
      <c r="AI102" s="3"/>
      <c r="AJ102" s="3"/>
      <c r="AK102" s="3">
        <v>1</v>
      </c>
      <c r="AL102" s="3"/>
      <c r="AM102" s="3"/>
      <c r="AN102" s="3"/>
      <c r="AO102" s="3"/>
      <c r="AP102" s="3"/>
      <c r="AQ102" s="3"/>
      <c r="AR102" s="3"/>
      <c r="AS102" s="3">
        <v>1</v>
      </c>
    </row>
    <row r="103" spans="1:45" x14ac:dyDescent="0.25">
      <c r="A103">
        <v>1</v>
      </c>
      <c r="B103">
        <v>10</v>
      </c>
      <c r="E103" s="3">
        <v>1</v>
      </c>
      <c r="F103" s="3"/>
      <c r="G103" s="3"/>
      <c r="H103" s="3"/>
      <c r="I103" s="3"/>
      <c r="J103" s="3"/>
      <c r="K103" s="3"/>
      <c r="L103" s="3"/>
      <c r="M103" s="3">
        <v>1</v>
      </c>
      <c r="N103" s="3"/>
      <c r="O103" s="3"/>
      <c r="P103" s="3"/>
      <c r="Q103" s="3"/>
      <c r="R103" s="3"/>
      <c r="S103" s="3"/>
      <c r="T103" s="3"/>
      <c r="U103" s="3"/>
      <c r="V103" s="3">
        <v>1</v>
      </c>
      <c r="W103" s="3">
        <v>1</v>
      </c>
      <c r="X103" s="3">
        <v>1</v>
      </c>
      <c r="Y103" s="3">
        <v>1</v>
      </c>
      <c r="Z103" s="3">
        <v>1</v>
      </c>
      <c r="AA103" s="3">
        <v>1</v>
      </c>
      <c r="AB103" s="3"/>
      <c r="AC103" s="3"/>
      <c r="AD103" s="3"/>
      <c r="AE103" s="3"/>
      <c r="AF103" s="3"/>
      <c r="AG103" s="3"/>
      <c r="AH103" s="3"/>
      <c r="AI103" s="3"/>
      <c r="AJ103" s="3"/>
      <c r="AK103" s="3">
        <v>1</v>
      </c>
      <c r="AL103" s="3"/>
      <c r="AM103" s="3"/>
      <c r="AN103" s="3"/>
      <c r="AO103" s="3"/>
      <c r="AP103" s="3"/>
      <c r="AQ103" s="3"/>
      <c r="AR103" s="3"/>
      <c r="AS103" s="3">
        <v>1</v>
      </c>
    </row>
    <row r="104" spans="1:45" x14ac:dyDescent="0.25">
      <c r="A104">
        <v>1</v>
      </c>
      <c r="B104">
        <v>10</v>
      </c>
      <c r="E104" s="3">
        <v>1</v>
      </c>
      <c r="F104" s="3"/>
      <c r="G104" s="3"/>
      <c r="H104" s="3"/>
      <c r="I104" s="3"/>
      <c r="J104" s="3"/>
      <c r="K104" s="3"/>
      <c r="L104" s="3"/>
      <c r="M104" s="3">
        <v>1</v>
      </c>
      <c r="N104" s="3"/>
      <c r="O104" s="3"/>
      <c r="P104" s="3"/>
      <c r="Q104" s="3"/>
      <c r="R104" s="3"/>
      <c r="S104" s="3"/>
      <c r="T104" s="3"/>
      <c r="U104" s="3"/>
      <c r="V104" s="3">
        <v>1</v>
      </c>
      <c r="W104" s="3"/>
      <c r="X104" s="3"/>
      <c r="Y104" s="3"/>
      <c r="Z104" s="3"/>
      <c r="AA104" s="3">
        <v>1</v>
      </c>
      <c r="AB104" s="3"/>
      <c r="AC104" s="3"/>
      <c r="AD104" s="3"/>
      <c r="AE104" s="3"/>
      <c r="AF104" s="3"/>
      <c r="AG104" s="3"/>
      <c r="AH104" s="3"/>
      <c r="AI104" s="3"/>
      <c r="AJ104" s="3"/>
      <c r="AK104" s="3">
        <v>1</v>
      </c>
      <c r="AL104" s="3"/>
      <c r="AM104" s="3"/>
      <c r="AN104" s="3"/>
      <c r="AO104" s="3"/>
      <c r="AP104" s="3"/>
      <c r="AQ104" s="3"/>
      <c r="AR104" s="3"/>
      <c r="AS104" s="3">
        <v>1</v>
      </c>
    </row>
    <row r="105" spans="1:45" x14ac:dyDescent="0.25">
      <c r="A105" t="s">
        <v>2</v>
      </c>
      <c r="E105" s="3">
        <v>1</v>
      </c>
      <c r="F105" s="3"/>
      <c r="G105" s="3"/>
      <c r="H105" s="3"/>
      <c r="I105" s="3"/>
      <c r="J105" s="3"/>
      <c r="K105" s="3"/>
      <c r="L105" s="3"/>
      <c r="M105" s="3">
        <v>1</v>
      </c>
      <c r="N105" s="3"/>
      <c r="O105" s="3"/>
      <c r="P105" s="3"/>
      <c r="Q105" s="3"/>
      <c r="R105" s="3"/>
      <c r="S105" s="3"/>
      <c r="T105" s="3"/>
      <c r="U105" s="3"/>
      <c r="V105" s="3">
        <v>1</v>
      </c>
      <c r="W105" s="3"/>
      <c r="X105" s="3"/>
      <c r="Y105" s="3"/>
      <c r="Z105" s="3"/>
      <c r="AA105" s="3">
        <v>1</v>
      </c>
      <c r="AB105" s="3"/>
      <c r="AC105" s="3"/>
      <c r="AD105" s="3"/>
      <c r="AE105" s="3"/>
      <c r="AF105" s="3"/>
      <c r="AG105" s="3"/>
      <c r="AH105" s="3"/>
      <c r="AI105" s="3"/>
      <c r="AJ105" s="3"/>
      <c r="AK105" s="3">
        <v>1</v>
      </c>
      <c r="AL105" s="3"/>
      <c r="AM105" s="3"/>
      <c r="AN105" s="3"/>
      <c r="AO105" s="3"/>
      <c r="AP105" s="3"/>
      <c r="AQ105" s="3"/>
      <c r="AR105" s="3"/>
      <c r="AS105" s="3">
        <v>1</v>
      </c>
    </row>
    <row r="106" spans="1:45" x14ac:dyDescent="0.25">
      <c r="E106" s="3">
        <v>1</v>
      </c>
      <c r="F106" s="3">
        <v>1</v>
      </c>
      <c r="G106" s="3">
        <v>1</v>
      </c>
      <c r="H106" s="3">
        <v>1</v>
      </c>
      <c r="I106" s="3">
        <v>1</v>
      </c>
      <c r="J106" s="3">
        <v>1</v>
      </c>
      <c r="K106" s="3">
        <v>1</v>
      </c>
      <c r="L106" s="3">
        <v>1</v>
      </c>
      <c r="M106" s="3">
        <v>1</v>
      </c>
      <c r="N106" s="3">
        <v>1</v>
      </c>
      <c r="O106" s="3">
        <v>1</v>
      </c>
      <c r="P106" s="3">
        <v>1</v>
      </c>
      <c r="Q106" s="3">
        <v>1</v>
      </c>
      <c r="R106" s="3">
        <v>1</v>
      </c>
      <c r="S106" s="3">
        <v>1</v>
      </c>
      <c r="T106" s="3">
        <v>1</v>
      </c>
      <c r="U106" s="3">
        <v>1</v>
      </c>
      <c r="V106" s="3">
        <v>1</v>
      </c>
      <c r="W106" s="3">
        <v>1</v>
      </c>
      <c r="X106" s="3">
        <v>1</v>
      </c>
      <c r="Y106" s="3">
        <v>1</v>
      </c>
      <c r="Z106" s="3">
        <v>1</v>
      </c>
      <c r="AA106" s="3">
        <v>1</v>
      </c>
      <c r="AB106" s="3">
        <v>1</v>
      </c>
      <c r="AC106" s="3">
        <v>1</v>
      </c>
      <c r="AD106" s="3">
        <v>1</v>
      </c>
      <c r="AE106" s="3">
        <v>1</v>
      </c>
      <c r="AF106" s="3">
        <v>1</v>
      </c>
      <c r="AG106" s="3">
        <v>1</v>
      </c>
      <c r="AH106" s="3">
        <v>1</v>
      </c>
      <c r="AI106" s="3">
        <v>1</v>
      </c>
      <c r="AJ106" s="3">
        <v>1</v>
      </c>
      <c r="AK106" s="3">
        <v>1</v>
      </c>
      <c r="AL106" s="3">
        <v>1</v>
      </c>
      <c r="AM106" s="3">
        <v>1</v>
      </c>
      <c r="AN106" s="3">
        <v>1</v>
      </c>
      <c r="AO106" s="3">
        <v>1</v>
      </c>
      <c r="AP106" s="3">
        <v>1</v>
      </c>
      <c r="AQ106" s="3">
        <v>1</v>
      </c>
      <c r="AR106" s="3">
        <v>1</v>
      </c>
      <c r="AS106" s="3">
        <v>1</v>
      </c>
    </row>
    <row r="107" spans="1:45" x14ac:dyDescent="0.25">
      <c r="E107" s="3">
        <v>1</v>
      </c>
      <c r="F107" s="3"/>
      <c r="G107" s="3"/>
      <c r="H107" s="3"/>
      <c r="I107" s="3"/>
      <c r="J107" s="3"/>
      <c r="K107" s="3"/>
      <c r="L107" s="3"/>
      <c r="M107" s="3">
        <v>1</v>
      </c>
      <c r="N107" s="3"/>
      <c r="O107" s="3"/>
      <c r="P107" s="3"/>
      <c r="Q107" s="3"/>
      <c r="R107" s="3">
        <v>1</v>
      </c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>
        <v>1</v>
      </c>
      <c r="AG107" s="3"/>
      <c r="AH107" s="3"/>
      <c r="AI107" s="3"/>
      <c r="AJ107" s="3"/>
      <c r="AK107" s="3">
        <v>1</v>
      </c>
      <c r="AL107" s="3"/>
      <c r="AM107" s="3"/>
      <c r="AN107" s="3"/>
      <c r="AO107" s="3"/>
      <c r="AP107" s="3"/>
      <c r="AQ107" s="3"/>
      <c r="AR107" s="3"/>
      <c r="AS107" s="3">
        <v>1</v>
      </c>
    </row>
    <row r="108" spans="1:45" x14ac:dyDescent="0.25">
      <c r="E108" s="3">
        <v>1</v>
      </c>
      <c r="F108" s="3"/>
      <c r="G108" s="3"/>
      <c r="H108" s="3"/>
      <c r="I108" s="3"/>
      <c r="J108" s="3"/>
      <c r="K108" s="3"/>
      <c r="L108" s="3"/>
      <c r="M108" s="3">
        <v>1</v>
      </c>
      <c r="N108" s="3"/>
      <c r="O108" s="3"/>
      <c r="P108" s="3"/>
      <c r="Q108" s="3"/>
      <c r="R108" s="3">
        <v>1</v>
      </c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>
        <v>1</v>
      </c>
      <c r="AG108" s="3"/>
      <c r="AH108" s="3"/>
      <c r="AI108" s="3"/>
      <c r="AJ108" s="3"/>
      <c r="AK108" s="3">
        <v>1</v>
      </c>
      <c r="AL108" s="3"/>
      <c r="AM108" s="3"/>
      <c r="AN108" s="3"/>
      <c r="AO108" s="3"/>
      <c r="AP108" s="3"/>
      <c r="AQ108" s="3"/>
      <c r="AR108" s="3"/>
      <c r="AS108" s="3">
        <v>1</v>
      </c>
    </row>
    <row r="109" spans="1:45" x14ac:dyDescent="0.25">
      <c r="E109" s="3">
        <v>1</v>
      </c>
      <c r="F109" s="3"/>
      <c r="G109" s="3"/>
      <c r="H109" s="3"/>
      <c r="I109" s="3"/>
      <c r="J109" s="3"/>
      <c r="K109" s="3"/>
      <c r="L109" s="3"/>
      <c r="M109" s="3">
        <v>1</v>
      </c>
      <c r="N109" s="3"/>
      <c r="O109" s="3"/>
      <c r="P109" s="3"/>
      <c r="Q109" s="3"/>
      <c r="R109" s="3">
        <v>1</v>
      </c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>
        <v>1</v>
      </c>
      <c r="AG109" s="3"/>
      <c r="AH109" s="3"/>
      <c r="AI109" s="3"/>
      <c r="AJ109" s="3"/>
      <c r="AK109" s="3">
        <v>1</v>
      </c>
      <c r="AL109" s="3"/>
      <c r="AM109" s="3"/>
      <c r="AN109" s="3"/>
      <c r="AO109" s="3"/>
      <c r="AP109" s="3"/>
      <c r="AQ109" s="3"/>
      <c r="AR109" s="3"/>
      <c r="AS109" s="3">
        <v>1</v>
      </c>
    </row>
    <row r="110" spans="1:45" x14ac:dyDescent="0.25">
      <c r="E110" s="3">
        <v>1</v>
      </c>
      <c r="F110" s="3">
        <v>1</v>
      </c>
      <c r="G110" s="3">
        <v>1</v>
      </c>
      <c r="H110" s="3">
        <v>1</v>
      </c>
      <c r="I110" s="3">
        <v>1</v>
      </c>
      <c r="J110" s="3">
        <v>1</v>
      </c>
      <c r="K110" s="3">
        <v>1</v>
      </c>
      <c r="L110" s="3">
        <v>1</v>
      </c>
      <c r="M110" s="3">
        <v>1</v>
      </c>
      <c r="N110" s="3"/>
      <c r="O110" s="3"/>
      <c r="P110" s="3"/>
      <c r="Q110" s="3"/>
      <c r="R110" s="3">
        <v>1</v>
      </c>
      <c r="S110" s="3">
        <v>1</v>
      </c>
      <c r="T110" s="3">
        <v>1</v>
      </c>
      <c r="U110" s="3">
        <v>1</v>
      </c>
      <c r="V110" s="3">
        <v>1</v>
      </c>
      <c r="W110" s="3"/>
      <c r="X110" s="3"/>
      <c r="Y110" s="3"/>
      <c r="Z110" s="3"/>
      <c r="AA110" s="3">
        <v>1</v>
      </c>
      <c r="AB110" s="3">
        <v>1</v>
      </c>
      <c r="AC110" s="3">
        <v>1</v>
      </c>
      <c r="AD110" s="3">
        <v>1</v>
      </c>
      <c r="AE110" s="3">
        <v>1</v>
      </c>
      <c r="AF110" s="3">
        <v>1</v>
      </c>
      <c r="AG110" s="3"/>
      <c r="AH110" s="3"/>
      <c r="AI110" s="3"/>
      <c r="AJ110" s="3"/>
      <c r="AK110" s="3">
        <v>1</v>
      </c>
      <c r="AL110" s="3">
        <v>1</v>
      </c>
      <c r="AM110" s="3">
        <v>1</v>
      </c>
      <c r="AN110" s="3">
        <v>1</v>
      </c>
      <c r="AO110" s="3">
        <v>1</v>
      </c>
      <c r="AP110" s="3">
        <v>1</v>
      </c>
      <c r="AQ110" s="3">
        <v>1</v>
      </c>
      <c r="AR110" s="3">
        <v>1</v>
      </c>
      <c r="AS110" s="3">
        <v>1</v>
      </c>
    </row>
    <row r="111" spans="1:45" x14ac:dyDescent="0.25">
      <c r="E111" s="3"/>
      <c r="F111" s="3"/>
      <c r="G111" s="3"/>
      <c r="H111" s="3"/>
      <c r="I111" s="3"/>
      <c r="J111" s="3"/>
      <c r="K111" s="3"/>
      <c r="L111" s="3"/>
      <c r="M111" s="3">
        <v>1</v>
      </c>
      <c r="N111" s="3"/>
      <c r="O111" s="3"/>
      <c r="P111" s="3"/>
      <c r="Q111" s="3"/>
      <c r="R111" s="3"/>
      <c r="S111" s="3"/>
      <c r="T111" s="3"/>
      <c r="U111" s="3"/>
      <c r="V111" s="3">
        <v>1</v>
      </c>
      <c r="W111" s="3"/>
      <c r="X111" s="3"/>
      <c r="Y111" s="3"/>
      <c r="Z111" s="3"/>
      <c r="AA111" s="3">
        <v>1</v>
      </c>
      <c r="AB111" s="3"/>
      <c r="AC111" s="3"/>
      <c r="AD111" s="3"/>
      <c r="AE111" s="3"/>
      <c r="AF111" s="3"/>
      <c r="AG111" s="3"/>
      <c r="AH111" s="3"/>
      <c r="AI111" s="3"/>
      <c r="AJ111" s="3"/>
      <c r="AK111" s="3">
        <v>1</v>
      </c>
      <c r="AL111" s="3"/>
      <c r="AM111" s="3"/>
      <c r="AN111" s="3"/>
      <c r="AO111" s="3"/>
      <c r="AP111" s="3"/>
      <c r="AQ111" s="3"/>
      <c r="AR111" s="3"/>
      <c r="AS111" s="3"/>
    </row>
    <row r="112" spans="1:45" x14ac:dyDescent="0.25">
      <c r="E112" s="3"/>
      <c r="F112" s="3"/>
      <c r="G112" s="3"/>
      <c r="H112" s="3"/>
      <c r="I112" s="3"/>
      <c r="J112" s="3"/>
      <c r="K112" s="3"/>
      <c r="L112" s="3"/>
      <c r="M112" s="3">
        <v>1</v>
      </c>
      <c r="N112" s="3"/>
      <c r="O112" s="3"/>
      <c r="P112" s="3"/>
      <c r="Q112" s="3"/>
      <c r="R112" s="3"/>
      <c r="S112" s="3"/>
      <c r="T112" s="3"/>
      <c r="U112" s="3"/>
      <c r="V112" s="3">
        <v>1</v>
      </c>
      <c r="W112" s="3"/>
      <c r="X112" s="3"/>
      <c r="Y112" s="3"/>
      <c r="Z112" s="3"/>
      <c r="AA112" s="3">
        <v>1</v>
      </c>
      <c r="AB112" s="3"/>
      <c r="AC112" s="3"/>
      <c r="AD112" s="3"/>
      <c r="AE112" s="3"/>
      <c r="AF112" s="3"/>
      <c r="AG112" s="3"/>
      <c r="AH112" s="3"/>
      <c r="AI112" s="3"/>
      <c r="AJ112" s="3"/>
      <c r="AK112" s="3">
        <v>1</v>
      </c>
      <c r="AL112" s="3"/>
      <c r="AM112" s="3"/>
      <c r="AN112" s="3"/>
      <c r="AO112" s="3"/>
      <c r="AP112" s="3"/>
      <c r="AQ112" s="3"/>
      <c r="AR112" s="3"/>
      <c r="AS112" s="3"/>
    </row>
    <row r="113" spans="5:45" x14ac:dyDescent="0.25">
      <c r="E113" s="3"/>
      <c r="F113" s="3"/>
      <c r="G113" s="3"/>
      <c r="H113" s="3"/>
      <c r="I113" s="3"/>
      <c r="J113" s="3"/>
      <c r="K113" s="3"/>
      <c r="L113" s="3"/>
      <c r="M113" s="3">
        <v>1</v>
      </c>
      <c r="N113" s="3"/>
      <c r="O113" s="3"/>
      <c r="P113" s="3"/>
      <c r="Q113" s="3"/>
      <c r="R113" s="3"/>
      <c r="S113" s="3"/>
      <c r="T113" s="3"/>
      <c r="U113" s="3"/>
      <c r="V113" s="3">
        <v>1</v>
      </c>
      <c r="W113" s="3"/>
      <c r="X113" s="3"/>
      <c r="Y113" s="3"/>
      <c r="Z113" s="3"/>
      <c r="AA113" s="3">
        <v>1</v>
      </c>
      <c r="AB113" s="3"/>
      <c r="AC113" s="3"/>
      <c r="AD113" s="3"/>
      <c r="AE113" s="3"/>
      <c r="AF113" s="3"/>
      <c r="AG113" s="3"/>
      <c r="AH113" s="3"/>
      <c r="AI113" s="3"/>
      <c r="AJ113" s="3"/>
      <c r="AK113" s="3">
        <v>1</v>
      </c>
      <c r="AL113" s="3"/>
      <c r="AM113" s="3"/>
      <c r="AN113" s="3"/>
      <c r="AO113" s="3"/>
      <c r="AP113" s="3"/>
      <c r="AQ113" s="3"/>
      <c r="AR113" s="3"/>
      <c r="AS113" s="3"/>
    </row>
    <row r="114" spans="5:45" x14ac:dyDescent="0.25">
      <c r="E114" s="3"/>
      <c r="F114" s="3"/>
      <c r="G114" s="3"/>
      <c r="H114" s="3"/>
      <c r="I114" s="3"/>
      <c r="J114" s="3"/>
      <c r="K114" s="3"/>
      <c r="L114" s="3"/>
      <c r="M114" s="3">
        <v>1</v>
      </c>
      <c r="N114" s="3"/>
      <c r="O114" s="3"/>
      <c r="P114" s="3"/>
      <c r="Q114" s="3"/>
      <c r="R114" s="3">
        <v>1</v>
      </c>
      <c r="S114" s="3">
        <v>1</v>
      </c>
      <c r="T114" s="3">
        <v>1</v>
      </c>
      <c r="U114" s="3">
        <v>1</v>
      </c>
      <c r="V114" s="3">
        <v>1</v>
      </c>
      <c r="W114" s="3">
        <v>1</v>
      </c>
      <c r="X114" s="3">
        <v>1</v>
      </c>
      <c r="Y114" s="3">
        <v>1</v>
      </c>
      <c r="Z114" s="3">
        <v>1</v>
      </c>
      <c r="AA114" s="3">
        <v>1</v>
      </c>
      <c r="AB114" s="3">
        <v>1</v>
      </c>
      <c r="AC114" s="3">
        <v>1</v>
      </c>
      <c r="AD114" s="3">
        <v>1</v>
      </c>
      <c r="AE114" s="3">
        <v>1</v>
      </c>
      <c r="AF114" s="3">
        <v>1</v>
      </c>
      <c r="AG114" s="3"/>
      <c r="AH114" s="3"/>
      <c r="AI114" s="3"/>
      <c r="AJ114" s="3"/>
      <c r="AK114" s="3">
        <v>1</v>
      </c>
      <c r="AL114" s="3"/>
      <c r="AM114" s="3"/>
      <c r="AN114" s="3"/>
      <c r="AO114" s="3"/>
      <c r="AP114" s="3"/>
      <c r="AQ114" s="3"/>
      <c r="AR114" s="3"/>
      <c r="AS114" s="3"/>
    </row>
    <row r="115" spans="5:45" x14ac:dyDescent="0.25">
      <c r="E115" s="3"/>
      <c r="F115" s="3"/>
      <c r="G115" s="3"/>
      <c r="H115" s="3"/>
      <c r="I115" s="3"/>
      <c r="J115" s="3"/>
      <c r="K115" s="3"/>
      <c r="L115" s="3"/>
      <c r="M115" s="3">
        <v>1</v>
      </c>
      <c r="N115" s="3"/>
      <c r="O115" s="3"/>
      <c r="P115" s="3"/>
      <c r="Q115" s="3"/>
      <c r="R115" s="3">
        <v>1</v>
      </c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>
        <v>1</v>
      </c>
      <c r="AG115" s="3"/>
      <c r="AH115" s="3"/>
      <c r="AI115" s="3"/>
      <c r="AJ115" s="3"/>
      <c r="AK115" s="3">
        <v>1</v>
      </c>
      <c r="AL115" s="3"/>
      <c r="AM115" s="3"/>
      <c r="AN115" s="3"/>
      <c r="AO115" s="3"/>
      <c r="AP115" s="3"/>
      <c r="AQ115" s="3"/>
      <c r="AR115" s="3"/>
      <c r="AS115" s="3"/>
    </row>
    <row r="116" spans="5:45" x14ac:dyDescent="0.25">
      <c r="E116" s="3"/>
      <c r="F116" s="3"/>
      <c r="G116" s="3"/>
      <c r="H116" s="3"/>
      <c r="I116" s="3"/>
      <c r="J116" s="3"/>
      <c r="K116" s="3"/>
      <c r="L116" s="3"/>
      <c r="M116" s="3">
        <v>1</v>
      </c>
      <c r="N116" s="3"/>
      <c r="O116" s="3"/>
      <c r="P116" s="3"/>
      <c r="Q116" s="3"/>
      <c r="R116" s="3">
        <v>1</v>
      </c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>
        <v>1</v>
      </c>
      <c r="AG116" s="3"/>
      <c r="AH116" s="3"/>
      <c r="AI116" s="3"/>
      <c r="AJ116" s="3"/>
      <c r="AK116" s="3">
        <v>1</v>
      </c>
      <c r="AL116" s="3"/>
      <c r="AM116" s="3"/>
      <c r="AN116" s="3"/>
      <c r="AO116" s="3"/>
      <c r="AP116" s="3"/>
      <c r="AQ116" s="3"/>
      <c r="AR116" s="3"/>
      <c r="AS116" s="3"/>
    </row>
    <row r="117" spans="5:45" x14ac:dyDescent="0.25">
      <c r="E117" s="3"/>
      <c r="F117" s="3"/>
      <c r="G117" s="3"/>
      <c r="H117" s="3"/>
      <c r="I117" s="3"/>
      <c r="J117" s="3"/>
      <c r="K117" s="3"/>
      <c r="L117" s="3"/>
      <c r="M117" s="3">
        <v>1</v>
      </c>
      <c r="N117" s="3"/>
      <c r="O117" s="3"/>
      <c r="P117" s="3"/>
      <c r="Q117" s="3"/>
      <c r="R117" s="3">
        <v>1</v>
      </c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>
        <v>1</v>
      </c>
      <c r="AG117" s="3"/>
      <c r="AH117" s="3"/>
      <c r="AI117" s="3"/>
      <c r="AJ117" s="3"/>
      <c r="AK117" s="3">
        <v>1</v>
      </c>
      <c r="AL117" s="3"/>
      <c r="AM117" s="3"/>
      <c r="AN117" s="3"/>
      <c r="AO117" s="3"/>
      <c r="AP117" s="3"/>
      <c r="AQ117" s="3"/>
      <c r="AR117" s="3"/>
      <c r="AS117" s="3"/>
    </row>
    <row r="118" spans="5:45" x14ac:dyDescent="0.25">
      <c r="E118" s="3"/>
      <c r="F118" s="3"/>
      <c r="G118" s="3"/>
      <c r="H118" s="3"/>
      <c r="I118" s="3"/>
      <c r="J118" s="3"/>
      <c r="K118" s="3"/>
      <c r="L118" s="3"/>
      <c r="M118" s="3">
        <v>1</v>
      </c>
      <c r="N118" s="3">
        <v>1</v>
      </c>
      <c r="O118" s="3">
        <v>1</v>
      </c>
      <c r="P118" s="3">
        <v>1</v>
      </c>
      <c r="Q118" s="3">
        <v>1</v>
      </c>
      <c r="R118" s="3">
        <v>1</v>
      </c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>
        <v>1</v>
      </c>
      <c r="AG118" s="3">
        <v>1</v>
      </c>
      <c r="AH118" s="3">
        <v>1</v>
      </c>
      <c r="AI118" s="3">
        <v>1</v>
      </c>
      <c r="AJ118" s="3">
        <v>1</v>
      </c>
      <c r="AK118" s="3">
        <v>1</v>
      </c>
      <c r="AL118" s="3"/>
      <c r="AM118" s="3"/>
      <c r="AN118" s="3"/>
      <c r="AO118" s="3"/>
      <c r="AP118" s="3"/>
      <c r="AQ118" s="3"/>
      <c r="AR118" s="3"/>
      <c r="AS118" s="3"/>
    </row>
    <row r="119" spans="5:45" x14ac:dyDescent="0.25">
      <c r="E119" s="3"/>
      <c r="F119" s="3"/>
      <c r="G119" s="3"/>
      <c r="H119" s="3"/>
      <c r="I119" s="3"/>
      <c r="J119" s="3"/>
      <c r="K119" s="3"/>
      <c r="L119" s="3"/>
      <c r="M119" s="3">
        <v>1</v>
      </c>
      <c r="N119" s="3"/>
      <c r="O119" s="3"/>
      <c r="P119" s="3"/>
      <c r="Q119" s="3"/>
      <c r="R119" s="3">
        <v>1</v>
      </c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>
        <v>1</v>
      </c>
      <c r="AG119" s="3"/>
      <c r="AH119" s="3"/>
      <c r="AI119" s="3"/>
      <c r="AJ119" s="3"/>
      <c r="AK119" s="3">
        <v>1</v>
      </c>
      <c r="AL119" s="3"/>
      <c r="AM119" s="3"/>
      <c r="AN119" s="3"/>
      <c r="AO119" s="3"/>
      <c r="AP119" s="3"/>
      <c r="AQ119" s="3"/>
      <c r="AR119" s="3"/>
      <c r="AS119" s="3"/>
    </row>
    <row r="120" spans="5:45" x14ac:dyDescent="0.25">
      <c r="E120" s="3"/>
      <c r="F120" s="3"/>
      <c r="G120" s="3"/>
      <c r="H120" s="3"/>
      <c r="I120" s="3"/>
      <c r="J120" s="3"/>
      <c r="K120" s="3"/>
      <c r="L120" s="3"/>
      <c r="M120" s="3">
        <v>1</v>
      </c>
      <c r="N120" s="3"/>
      <c r="O120" s="3"/>
      <c r="P120" s="3"/>
      <c r="Q120" s="3"/>
      <c r="R120" s="3">
        <v>1</v>
      </c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>
        <v>1</v>
      </c>
      <c r="AG120" s="3"/>
      <c r="AH120" s="3"/>
      <c r="AI120" s="3"/>
      <c r="AJ120" s="3"/>
      <c r="AK120" s="3">
        <v>1</v>
      </c>
      <c r="AL120" s="3"/>
      <c r="AM120" s="3"/>
      <c r="AN120" s="3"/>
      <c r="AO120" s="3"/>
      <c r="AP120" s="3"/>
      <c r="AQ120" s="3"/>
      <c r="AR120" s="3"/>
      <c r="AS120" s="3"/>
    </row>
    <row r="121" spans="5:45" x14ac:dyDescent="0.25">
      <c r="E121" s="3"/>
      <c r="F121" s="3"/>
      <c r="G121" s="3"/>
      <c r="H121" s="3"/>
      <c r="I121" s="3"/>
      <c r="J121" s="3"/>
      <c r="K121" s="3"/>
      <c r="L121" s="3"/>
      <c r="M121" s="3">
        <v>1</v>
      </c>
      <c r="N121" s="3"/>
      <c r="O121" s="3"/>
      <c r="P121" s="3"/>
      <c r="Q121" s="3"/>
      <c r="R121" s="3">
        <v>1</v>
      </c>
      <c r="S121" s="3">
        <v>1</v>
      </c>
      <c r="T121" s="3">
        <v>1</v>
      </c>
      <c r="U121" s="3">
        <v>1</v>
      </c>
      <c r="V121" s="3">
        <v>1</v>
      </c>
      <c r="W121" s="3">
        <v>1</v>
      </c>
      <c r="X121" s="3">
        <v>1</v>
      </c>
      <c r="Y121" s="3">
        <v>1</v>
      </c>
      <c r="Z121" s="3">
        <v>1</v>
      </c>
      <c r="AA121" s="3">
        <v>1</v>
      </c>
      <c r="AB121" s="3">
        <v>1</v>
      </c>
      <c r="AC121" s="3">
        <v>1</v>
      </c>
      <c r="AD121" s="3">
        <v>1</v>
      </c>
      <c r="AE121" s="3">
        <v>1</v>
      </c>
      <c r="AF121" s="3">
        <v>1</v>
      </c>
      <c r="AG121" s="3"/>
      <c r="AH121" s="3"/>
      <c r="AI121" s="3"/>
      <c r="AJ121" s="3"/>
      <c r="AK121" s="3">
        <v>1</v>
      </c>
      <c r="AL121" s="3"/>
      <c r="AM121" s="3"/>
      <c r="AN121" s="3"/>
      <c r="AO121" s="3"/>
      <c r="AP121" s="3"/>
      <c r="AQ121" s="3"/>
      <c r="AR121" s="3"/>
      <c r="AS121" s="3"/>
    </row>
    <row r="122" spans="5:45" x14ac:dyDescent="0.25">
      <c r="E122" s="3"/>
      <c r="F122" s="3"/>
      <c r="G122" s="3"/>
      <c r="H122" s="3"/>
      <c r="I122" s="3"/>
      <c r="J122" s="3"/>
      <c r="K122" s="3"/>
      <c r="L122" s="3"/>
      <c r="M122" s="3">
        <v>1</v>
      </c>
      <c r="N122" s="3"/>
      <c r="O122" s="3"/>
      <c r="P122" s="3"/>
      <c r="Q122" s="3"/>
      <c r="R122" s="3">
        <v>1</v>
      </c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>
        <v>1</v>
      </c>
      <c r="AG122" s="3"/>
      <c r="AH122" s="3"/>
      <c r="AI122" s="3"/>
      <c r="AJ122" s="3"/>
      <c r="AK122" s="3">
        <v>1</v>
      </c>
      <c r="AL122" s="3"/>
      <c r="AM122" s="3"/>
      <c r="AN122" s="3"/>
      <c r="AO122" s="3"/>
      <c r="AP122" s="3"/>
      <c r="AQ122" s="3"/>
      <c r="AR122" s="3"/>
      <c r="AS122" s="3"/>
    </row>
    <row r="123" spans="5:45" x14ac:dyDescent="0.25">
      <c r="E123" s="3"/>
      <c r="F123" s="3"/>
      <c r="G123" s="3"/>
      <c r="H123" s="3"/>
      <c r="I123" s="3"/>
      <c r="J123" s="3"/>
      <c r="K123" s="3"/>
      <c r="L123" s="3"/>
      <c r="M123" s="3">
        <v>1</v>
      </c>
      <c r="N123" s="3"/>
      <c r="O123" s="3"/>
      <c r="P123" s="3"/>
      <c r="Q123" s="3"/>
      <c r="R123" s="3">
        <v>1</v>
      </c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>
        <v>1</v>
      </c>
      <c r="AG123" s="3"/>
      <c r="AH123" s="3"/>
      <c r="AI123" s="3"/>
      <c r="AJ123" s="3"/>
      <c r="AK123" s="3">
        <v>1</v>
      </c>
      <c r="AL123" s="3"/>
      <c r="AM123" s="3"/>
      <c r="AN123" s="3"/>
      <c r="AO123" s="3"/>
      <c r="AP123" s="3"/>
      <c r="AQ123" s="3"/>
      <c r="AR123" s="3"/>
      <c r="AS123" s="3"/>
    </row>
    <row r="124" spans="5:45" x14ac:dyDescent="0.25">
      <c r="E124" s="3"/>
      <c r="F124" s="3"/>
      <c r="G124" s="3"/>
      <c r="H124" s="3"/>
      <c r="I124" s="3"/>
      <c r="J124" s="3"/>
      <c r="K124" s="3"/>
      <c r="L124" s="3"/>
      <c r="M124" s="3">
        <v>1</v>
      </c>
      <c r="N124" s="3"/>
      <c r="O124" s="3"/>
      <c r="P124" s="3"/>
      <c r="Q124" s="3"/>
      <c r="R124" s="3">
        <v>1</v>
      </c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>
        <v>1</v>
      </c>
      <c r="AG124" s="3"/>
      <c r="AH124" s="3"/>
      <c r="AI124" s="3"/>
      <c r="AJ124" s="3"/>
      <c r="AK124" s="3">
        <v>1</v>
      </c>
      <c r="AL124" s="3"/>
      <c r="AM124" s="3"/>
      <c r="AN124" s="3"/>
      <c r="AO124" s="3"/>
      <c r="AP124" s="3"/>
      <c r="AQ124" s="3"/>
      <c r="AR124" s="3"/>
      <c r="AS124" s="3"/>
    </row>
    <row r="125" spans="5:45" x14ac:dyDescent="0.25">
      <c r="E125" s="3">
        <v>1</v>
      </c>
      <c r="F125" s="3">
        <v>1</v>
      </c>
      <c r="G125" s="3">
        <v>1</v>
      </c>
      <c r="H125" s="3">
        <v>1</v>
      </c>
      <c r="I125" s="3">
        <v>1</v>
      </c>
      <c r="J125" s="3">
        <v>1</v>
      </c>
      <c r="K125" s="3">
        <v>1</v>
      </c>
      <c r="L125" s="3">
        <v>1</v>
      </c>
      <c r="M125" s="3">
        <v>1</v>
      </c>
      <c r="N125" s="3">
        <v>1</v>
      </c>
      <c r="O125" s="3">
        <v>1</v>
      </c>
      <c r="P125" s="3">
        <v>1</v>
      </c>
      <c r="Q125" s="3">
        <v>1</v>
      </c>
      <c r="R125" s="3">
        <v>1</v>
      </c>
      <c r="S125" s="3">
        <v>1</v>
      </c>
      <c r="T125" s="3">
        <v>1</v>
      </c>
      <c r="U125" s="3">
        <v>1</v>
      </c>
      <c r="V125" s="3">
        <v>1</v>
      </c>
      <c r="W125" s="3"/>
      <c r="X125" s="3"/>
      <c r="Y125" s="3"/>
      <c r="Z125" s="3"/>
      <c r="AA125" s="3">
        <v>1</v>
      </c>
      <c r="AB125" s="3">
        <v>1</v>
      </c>
      <c r="AC125" s="3">
        <v>1</v>
      </c>
      <c r="AD125" s="3">
        <v>1</v>
      </c>
      <c r="AE125" s="3">
        <v>1</v>
      </c>
      <c r="AF125" s="3">
        <v>1</v>
      </c>
      <c r="AG125" s="3">
        <v>1</v>
      </c>
      <c r="AH125" s="3">
        <v>1</v>
      </c>
      <c r="AI125" s="3">
        <v>1</v>
      </c>
      <c r="AJ125" s="3">
        <v>1</v>
      </c>
      <c r="AK125" s="3">
        <v>1</v>
      </c>
      <c r="AL125" s="3">
        <v>1</v>
      </c>
      <c r="AM125" s="3">
        <v>1</v>
      </c>
      <c r="AN125" s="3">
        <v>1</v>
      </c>
      <c r="AO125" s="3">
        <v>1</v>
      </c>
      <c r="AP125" s="3">
        <v>1</v>
      </c>
      <c r="AQ125" s="3">
        <v>1</v>
      </c>
      <c r="AR125" s="3">
        <v>1</v>
      </c>
      <c r="AS125" s="3">
        <v>1</v>
      </c>
    </row>
    <row r="126" spans="5:45" x14ac:dyDescent="0.25">
      <c r="E126" s="3">
        <v>1</v>
      </c>
      <c r="F126" s="3"/>
      <c r="G126" s="3"/>
      <c r="H126" s="3"/>
      <c r="I126" s="3"/>
      <c r="J126" s="3"/>
      <c r="K126" s="3"/>
      <c r="L126" s="3"/>
      <c r="M126" s="3">
        <v>1</v>
      </c>
      <c r="N126" s="3"/>
      <c r="O126" s="3"/>
      <c r="P126" s="3"/>
      <c r="Q126" s="3"/>
      <c r="R126" s="3"/>
      <c r="S126" s="3"/>
      <c r="T126" s="3"/>
      <c r="U126" s="3"/>
      <c r="V126" s="3">
        <v>1</v>
      </c>
      <c r="W126" s="3"/>
      <c r="X126" s="3"/>
      <c r="Y126" s="3"/>
      <c r="Z126" s="3"/>
      <c r="AA126" s="3">
        <v>1</v>
      </c>
      <c r="AB126" s="3"/>
      <c r="AC126" s="3"/>
      <c r="AD126" s="3"/>
      <c r="AE126" s="3"/>
      <c r="AF126" s="3"/>
      <c r="AG126" s="3"/>
      <c r="AH126" s="3"/>
      <c r="AI126" s="3"/>
      <c r="AJ126" s="3"/>
      <c r="AK126" s="3">
        <v>1</v>
      </c>
      <c r="AL126" s="3"/>
      <c r="AM126" s="3"/>
      <c r="AN126" s="3"/>
      <c r="AO126" s="3"/>
      <c r="AP126" s="3"/>
      <c r="AQ126" s="3"/>
      <c r="AR126" s="3"/>
      <c r="AS126" s="3">
        <v>1</v>
      </c>
    </row>
    <row r="127" spans="5:45" x14ac:dyDescent="0.25">
      <c r="E127" s="3">
        <v>1</v>
      </c>
      <c r="F127" s="3"/>
      <c r="G127" s="3"/>
      <c r="H127" s="3"/>
      <c r="I127" s="3"/>
      <c r="J127" s="3"/>
      <c r="K127" s="3"/>
      <c r="L127" s="3"/>
      <c r="M127" s="3">
        <v>1</v>
      </c>
      <c r="N127" s="3"/>
      <c r="O127" s="3"/>
      <c r="P127" s="3"/>
      <c r="Q127" s="3"/>
      <c r="R127" s="3"/>
      <c r="S127" s="3"/>
      <c r="T127" s="3"/>
      <c r="U127" s="3"/>
      <c r="V127" s="3">
        <v>1</v>
      </c>
      <c r="W127" s="3"/>
      <c r="X127" s="3"/>
      <c r="Y127" s="3"/>
      <c r="Z127" s="3"/>
      <c r="AA127" s="3">
        <v>1</v>
      </c>
      <c r="AB127" s="3"/>
      <c r="AC127" s="3"/>
      <c r="AD127" s="3"/>
      <c r="AE127" s="3"/>
      <c r="AF127" s="3"/>
      <c r="AG127" s="3"/>
      <c r="AH127" s="3"/>
      <c r="AI127" s="3"/>
      <c r="AJ127" s="3"/>
      <c r="AK127" s="3">
        <v>1</v>
      </c>
      <c r="AL127" s="3"/>
      <c r="AM127" s="3"/>
      <c r="AN127" s="3"/>
      <c r="AO127" s="3"/>
      <c r="AP127" s="3"/>
      <c r="AQ127" s="3"/>
      <c r="AR127" s="3"/>
      <c r="AS127" s="3">
        <v>1</v>
      </c>
    </row>
    <row r="128" spans="5:45" x14ac:dyDescent="0.25">
      <c r="E128" s="3">
        <v>1</v>
      </c>
      <c r="F128" s="3"/>
      <c r="G128" s="3"/>
      <c r="H128" s="3"/>
      <c r="I128" s="3"/>
      <c r="J128" s="3"/>
      <c r="K128" s="3"/>
      <c r="L128" s="3"/>
      <c r="M128" s="3">
        <v>1</v>
      </c>
      <c r="N128" s="3"/>
      <c r="O128" s="3"/>
      <c r="P128" s="3"/>
      <c r="Q128" s="3"/>
      <c r="R128" s="3"/>
      <c r="S128" s="3"/>
      <c r="T128" s="3"/>
      <c r="U128" s="3"/>
      <c r="V128" s="3">
        <v>1</v>
      </c>
      <c r="W128" s="3"/>
      <c r="X128" s="3"/>
      <c r="Y128" s="3"/>
      <c r="Z128" s="3"/>
      <c r="AA128" s="3">
        <v>1</v>
      </c>
      <c r="AB128" s="3"/>
      <c r="AC128" s="3"/>
      <c r="AD128" s="3"/>
      <c r="AE128" s="3"/>
      <c r="AF128" s="3"/>
      <c r="AG128" s="3"/>
      <c r="AH128" s="3"/>
      <c r="AI128" s="3"/>
      <c r="AJ128" s="3"/>
      <c r="AK128" s="3">
        <v>1</v>
      </c>
      <c r="AL128" s="3"/>
      <c r="AM128" s="3"/>
      <c r="AN128" s="3"/>
      <c r="AO128" s="3"/>
      <c r="AP128" s="3"/>
      <c r="AQ128" s="3"/>
      <c r="AR128" s="3"/>
      <c r="AS128" s="3">
        <v>1</v>
      </c>
    </row>
    <row r="129" spans="5:45" x14ac:dyDescent="0.25">
      <c r="E129" s="3">
        <v>1</v>
      </c>
      <c r="F129" s="3">
        <v>1</v>
      </c>
      <c r="G129" s="3">
        <v>1</v>
      </c>
      <c r="H129" s="3">
        <v>1</v>
      </c>
      <c r="I129" s="3"/>
      <c r="J129" s="3"/>
      <c r="K129" s="3"/>
      <c r="L129" s="3"/>
      <c r="M129" s="3">
        <v>1</v>
      </c>
      <c r="N129" s="3">
        <v>1</v>
      </c>
      <c r="O129" s="3">
        <v>1</v>
      </c>
      <c r="P129" s="3">
        <v>1</v>
      </c>
      <c r="Q129" s="3">
        <v>1</v>
      </c>
      <c r="R129" s="3">
        <v>1</v>
      </c>
      <c r="S129" s="3">
        <v>1</v>
      </c>
      <c r="T129" s="3">
        <v>1</v>
      </c>
      <c r="U129" s="3">
        <v>1</v>
      </c>
      <c r="V129" s="3">
        <v>1</v>
      </c>
      <c r="W129" s="3">
        <v>1</v>
      </c>
      <c r="X129" s="3">
        <v>1</v>
      </c>
      <c r="Y129" s="3">
        <v>1</v>
      </c>
      <c r="Z129" s="3">
        <v>1</v>
      </c>
      <c r="AA129" s="3">
        <v>1</v>
      </c>
      <c r="AB129" s="3">
        <v>1</v>
      </c>
      <c r="AC129" s="3">
        <v>1</v>
      </c>
      <c r="AD129" s="3">
        <v>1</v>
      </c>
      <c r="AE129" s="3">
        <v>1</v>
      </c>
      <c r="AF129" s="3">
        <v>1</v>
      </c>
      <c r="AG129" s="3">
        <v>1</v>
      </c>
      <c r="AH129" s="3">
        <v>1</v>
      </c>
      <c r="AI129" s="3">
        <v>1</v>
      </c>
      <c r="AJ129" s="3">
        <v>1</v>
      </c>
      <c r="AK129" s="3">
        <v>1</v>
      </c>
      <c r="AL129" s="3"/>
      <c r="AM129" s="3"/>
      <c r="AN129" s="3"/>
      <c r="AO129" s="3"/>
      <c r="AP129" s="3">
        <v>1</v>
      </c>
      <c r="AQ129" s="3">
        <v>1</v>
      </c>
      <c r="AR129" s="3">
        <v>1</v>
      </c>
      <c r="AS129" s="3">
        <v>1</v>
      </c>
    </row>
    <row r="130" spans="5:45" x14ac:dyDescent="0.25">
      <c r="E130" s="3"/>
      <c r="F130" s="3"/>
      <c r="G130" s="3"/>
      <c r="H130" s="3">
        <v>1</v>
      </c>
      <c r="I130" s="3"/>
      <c r="J130" s="3"/>
      <c r="K130" s="3"/>
      <c r="L130" s="3"/>
      <c r="M130" s="3">
        <v>1</v>
      </c>
      <c r="N130" s="3"/>
      <c r="O130" s="3"/>
      <c r="P130" s="3"/>
      <c r="Q130" s="3">
        <v>1</v>
      </c>
      <c r="R130" s="3">
        <v>1</v>
      </c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>
        <v>1</v>
      </c>
      <c r="AG130" s="3"/>
      <c r="AH130" s="3"/>
      <c r="AI130" s="3"/>
      <c r="AJ130" s="3"/>
      <c r="AK130" s="3">
        <v>1</v>
      </c>
      <c r="AL130" s="3"/>
      <c r="AM130" s="3"/>
      <c r="AN130" s="3"/>
      <c r="AO130" s="3"/>
      <c r="AP130" s="3">
        <v>1</v>
      </c>
      <c r="AQ130" s="3"/>
      <c r="AR130" s="3"/>
      <c r="AS130" s="3"/>
    </row>
    <row r="131" spans="5:45" x14ac:dyDescent="0.25">
      <c r="E131" s="3"/>
      <c r="F131" s="3"/>
      <c r="G131" s="3"/>
      <c r="H131" s="3">
        <v>1</v>
      </c>
      <c r="I131" s="3"/>
      <c r="J131" s="3"/>
      <c r="K131" s="3"/>
      <c r="L131" s="3"/>
      <c r="M131" s="3">
        <v>1</v>
      </c>
      <c r="N131" s="3"/>
      <c r="O131" s="3"/>
      <c r="P131" s="3"/>
      <c r="Q131" s="3"/>
      <c r="R131" s="3">
        <v>1</v>
      </c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>
        <v>1</v>
      </c>
      <c r="AG131" s="3"/>
      <c r="AH131" s="3"/>
      <c r="AI131" s="3"/>
      <c r="AJ131" s="3"/>
      <c r="AK131" s="3">
        <v>1</v>
      </c>
      <c r="AL131" s="3"/>
      <c r="AM131" s="3"/>
      <c r="AN131" s="3"/>
      <c r="AO131" s="3"/>
      <c r="AP131" s="3">
        <v>1</v>
      </c>
      <c r="AQ131" s="3"/>
      <c r="AR131" s="3"/>
      <c r="AS131" s="3"/>
    </row>
    <row r="132" spans="5:45" x14ac:dyDescent="0.25">
      <c r="E132" s="3"/>
      <c r="F132" s="3"/>
      <c r="G132" s="3"/>
      <c r="H132" s="3">
        <v>1</v>
      </c>
      <c r="I132" s="3"/>
      <c r="J132" s="3"/>
      <c r="K132" s="3"/>
      <c r="L132" s="3"/>
      <c r="M132" s="3">
        <v>1</v>
      </c>
      <c r="N132" s="3"/>
      <c r="O132" s="3"/>
      <c r="P132" s="3"/>
      <c r="Q132" s="3"/>
      <c r="R132" s="3">
        <v>1</v>
      </c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>
        <v>1</v>
      </c>
      <c r="AG132" s="3"/>
      <c r="AH132" s="3"/>
      <c r="AI132" s="3"/>
      <c r="AJ132" s="3"/>
      <c r="AK132" s="3">
        <v>1</v>
      </c>
      <c r="AL132" s="3"/>
      <c r="AM132" s="3"/>
      <c r="AN132" s="3"/>
      <c r="AO132" s="3"/>
      <c r="AP132" s="3">
        <v>1</v>
      </c>
      <c r="AQ132" s="3"/>
      <c r="AR132" s="3"/>
      <c r="AS132" s="3"/>
    </row>
    <row r="133" spans="5:45" x14ac:dyDescent="0.25">
      <c r="E133" s="3">
        <v>1</v>
      </c>
      <c r="F133" s="3">
        <v>1</v>
      </c>
      <c r="G133" s="3">
        <v>1</v>
      </c>
      <c r="H133" s="3">
        <v>1</v>
      </c>
      <c r="I133" s="3">
        <v>1</v>
      </c>
      <c r="J133" s="3">
        <v>1</v>
      </c>
      <c r="K133" s="3">
        <v>1</v>
      </c>
      <c r="L133" s="3">
        <v>1</v>
      </c>
      <c r="M133" s="3">
        <v>1</v>
      </c>
      <c r="N133" s="3"/>
      <c r="O133" s="3"/>
      <c r="P133" s="3"/>
      <c r="Q133" s="3"/>
      <c r="R133" s="3">
        <v>1</v>
      </c>
      <c r="S133" s="3">
        <v>1</v>
      </c>
      <c r="T133" s="3">
        <v>1</v>
      </c>
      <c r="U133" s="3">
        <v>1</v>
      </c>
      <c r="V133" s="3">
        <v>1</v>
      </c>
      <c r="W133" s="3"/>
      <c r="X133" s="3"/>
      <c r="Y133" s="3"/>
      <c r="Z133" s="3"/>
      <c r="AA133" s="3">
        <v>1</v>
      </c>
      <c r="AB133" s="3">
        <v>1</v>
      </c>
      <c r="AC133" s="3">
        <v>1</v>
      </c>
      <c r="AD133" s="3">
        <v>1</v>
      </c>
      <c r="AE133" s="3">
        <v>1</v>
      </c>
      <c r="AF133" s="3">
        <v>1</v>
      </c>
      <c r="AG133" s="3"/>
      <c r="AH133" s="3"/>
      <c r="AI133" s="3"/>
      <c r="AJ133" s="3"/>
      <c r="AK133" s="3">
        <v>1</v>
      </c>
      <c r="AL133" s="3">
        <v>1</v>
      </c>
      <c r="AM133" s="3">
        <v>1</v>
      </c>
      <c r="AN133" s="3">
        <v>1</v>
      </c>
      <c r="AO133" s="3">
        <v>1</v>
      </c>
      <c r="AP133" s="3">
        <v>1</v>
      </c>
      <c r="AQ133" s="3">
        <v>1</v>
      </c>
      <c r="AR133" s="3">
        <v>1</v>
      </c>
      <c r="AS133" s="3">
        <v>1</v>
      </c>
    </row>
    <row r="134" spans="5:45" x14ac:dyDescent="0.25">
      <c r="E134" s="3">
        <v>1</v>
      </c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>
        <v>1</v>
      </c>
      <c r="W134" s="3"/>
      <c r="X134" s="3"/>
      <c r="Y134" s="3"/>
      <c r="Z134" s="3"/>
      <c r="AA134" s="3">
        <v>1</v>
      </c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>
        <v>1</v>
      </c>
    </row>
    <row r="135" spans="5:45" x14ac:dyDescent="0.25">
      <c r="E135" s="3">
        <v>1</v>
      </c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>
        <v>1</v>
      </c>
      <c r="W135" s="3"/>
      <c r="X135" s="3"/>
      <c r="Y135" s="3"/>
      <c r="Z135" s="3"/>
      <c r="AA135" s="3">
        <v>1</v>
      </c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>
        <v>1</v>
      </c>
    </row>
    <row r="136" spans="5:45" x14ac:dyDescent="0.25">
      <c r="E136" s="3">
        <v>1</v>
      </c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>
        <v>1</v>
      </c>
      <c r="U136" s="3">
        <v>1</v>
      </c>
      <c r="V136" s="3">
        <v>1</v>
      </c>
      <c r="W136" s="3"/>
      <c r="X136" s="3"/>
      <c r="Y136" s="3"/>
      <c r="Z136" s="3"/>
      <c r="AA136" s="3">
        <v>1</v>
      </c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>
        <v>1</v>
      </c>
    </row>
    <row r="137" spans="5:45" x14ac:dyDescent="0.25">
      <c r="E137" s="3">
        <v>1</v>
      </c>
      <c r="F137" s="3">
        <v>1</v>
      </c>
      <c r="G137" s="3">
        <v>1</v>
      </c>
      <c r="H137" s="3">
        <v>1</v>
      </c>
      <c r="I137" s="3">
        <v>1</v>
      </c>
      <c r="J137" s="3">
        <v>1</v>
      </c>
      <c r="K137" s="3">
        <v>1</v>
      </c>
      <c r="L137" s="3">
        <v>1</v>
      </c>
      <c r="M137" s="3">
        <v>1</v>
      </c>
      <c r="N137" s="3">
        <v>1</v>
      </c>
      <c r="O137" s="3">
        <v>1</v>
      </c>
      <c r="P137" s="3">
        <v>1</v>
      </c>
      <c r="Q137" s="3">
        <v>1</v>
      </c>
      <c r="R137" s="3">
        <v>1</v>
      </c>
      <c r="S137" s="3">
        <v>1</v>
      </c>
      <c r="T137" s="3">
        <v>1</v>
      </c>
      <c r="U137" s="3">
        <v>1</v>
      </c>
      <c r="V137" s="3">
        <v>1</v>
      </c>
      <c r="W137" s="3">
        <v>1</v>
      </c>
      <c r="X137" s="3">
        <v>1</v>
      </c>
      <c r="Y137" s="3">
        <v>1</v>
      </c>
      <c r="Z137" s="3">
        <v>1</v>
      </c>
      <c r="AA137" s="3">
        <v>1</v>
      </c>
      <c r="AB137" s="3">
        <v>1</v>
      </c>
      <c r="AC137" s="3">
        <v>1</v>
      </c>
      <c r="AD137" s="3">
        <v>1</v>
      </c>
      <c r="AE137" s="3">
        <v>1</v>
      </c>
      <c r="AF137" s="3">
        <v>1</v>
      </c>
      <c r="AG137" s="3">
        <v>1</v>
      </c>
      <c r="AH137" s="3">
        <v>1</v>
      </c>
      <c r="AI137" s="3">
        <v>1</v>
      </c>
      <c r="AJ137" s="3">
        <v>1</v>
      </c>
      <c r="AK137" s="3">
        <v>1</v>
      </c>
      <c r="AL137" s="3">
        <v>1</v>
      </c>
      <c r="AM137" s="3">
        <v>1</v>
      </c>
      <c r="AN137" s="3">
        <v>1</v>
      </c>
      <c r="AO137" s="3">
        <v>1</v>
      </c>
      <c r="AP137" s="3">
        <v>1</v>
      </c>
      <c r="AQ137" s="3">
        <v>1</v>
      </c>
      <c r="AR137" s="3">
        <v>1</v>
      </c>
      <c r="AS137" s="3">
        <v>1</v>
      </c>
    </row>
    <row r="200" spans="1:45" x14ac:dyDescent="0.25">
      <c r="A200">
        <v>300</v>
      </c>
      <c r="B200">
        <v>145</v>
      </c>
      <c r="C200">
        <v>0</v>
      </c>
    </row>
    <row r="201" spans="1:45" x14ac:dyDescent="0.25">
      <c r="A201">
        <v>17</v>
      </c>
      <c r="B201">
        <v>201</v>
      </c>
      <c r="E201">
        <v>1</v>
      </c>
      <c r="F201">
        <v>1</v>
      </c>
      <c r="G201">
        <v>1</v>
      </c>
      <c r="H201">
        <v>1</v>
      </c>
      <c r="I201">
        <v>1</v>
      </c>
      <c r="J201">
        <v>1</v>
      </c>
      <c r="K201">
        <v>1</v>
      </c>
      <c r="L201">
        <v>1</v>
      </c>
      <c r="M201">
        <v>1</v>
      </c>
      <c r="N201">
        <v>1</v>
      </c>
      <c r="O201">
        <v>1</v>
      </c>
      <c r="P201">
        <v>1</v>
      </c>
      <c r="Q201">
        <v>1</v>
      </c>
      <c r="R201">
        <v>1</v>
      </c>
      <c r="S201">
        <v>1</v>
      </c>
      <c r="T201">
        <v>1</v>
      </c>
      <c r="U201">
        <v>1</v>
      </c>
      <c r="V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>
        <v>1</v>
      </c>
      <c r="AH201">
        <v>1</v>
      </c>
      <c r="AI201">
        <v>1</v>
      </c>
      <c r="AJ201">
        <v>1</v>
      </c>
      <c r="AK201">
        <v>1</v>
      </c>
      <c r="AL201">
        <v>1</v>
      </c>
      <c r="AM201">
        <v>1</v>
      </c>
      <c r="AN201">
        <v>1</v>
      </c>
      <c r="AO201">
        <v>1</v>
      </c>
      <c r="AP201">
        <v>1</v>
      </c>
      <c r="AQ201">
        <v>1</v>
      </c>
      <c r="AR201">
        <v>1</v>
      </c>
      <c r="AS201">
        <v>1</v>
      </c>
    </row>
    <row r="202" spans="1:45" x14ac:dyDescent="0.25">
      <c r="E202">
        <v>1</v>
      </c>
      <c r="M202">
        <v>1</v>
      </c>
      <c r="V202">
        <v>1</v>
      </c>
      <c r="AA202">
        <v>1</v>
      </c>
      <c r="AK202">
        <v>1</v>
      </c>
      <c r="AS202">
        <v>1</v>
      </c>
    </row>
    <row r="203" spans="1:45" x14ac:dyDescent="0.25">
      <c r="A203">
        <v>1</v>
      </c>
      <c r="B203">
        <v>10</v>
      </c>
      <c r="E203">
        <v>1</v>
      </c>
      <c r="M203">
        <v>1</v>
      </c>
      <c r="V203">
        <v>1</v>
      </c>
      <c r="AA203">
        <v>1</v>
      </c>
      <c r="AK203">
        <v>1</v>
      </c>
      <c r="AS203">
        <v>1</v>
      </c>
    </row>
    <row r="204" spans="1:45" x14ac:dyDescent="0.25">
      <c r="A204">
        <v>1</v>
      </c>
      <c r="B204">
        <v>10</v>
      </c>
      <c r="E204">
        <v>1</v>
      </c>
      <c r="M204">
        <v>1</v>
      </c>
      <c r="V204">
        <v>1</v>
      </c>
      <c r="AA204">
        <v>1</v>
      </c>
      <c r="AK204">
        <v>1</v>
      </c>
      <c r="AS204">
        <v>1</v>
      </c>
    </row>
    <row r="205" spans="1:45" x14ac:dyDescent="0.25">
      <c r="A205" t="s">
        <v>3</v>
      </c>
      <c r="E205">
        <v>1</v>
      </c>
      <c r="M205">
        <v>1</v>
      </c>
      <c r="V205">
        <v>1</v>
      </c>
      <c r="AA205">
        <v>1</v>
      </c>
      <c r="AK205">
        <v>1</v>
      </c>
      <c r="AS205">
        <v>1</v>
      </c>
    </row>
    <row r="206" spans="1:45" x14ac:dyDescent="0.25">
      <c r="E206">
        <v>1</v>
      </c>
      <c r="F206">
        <v>1</v>
      </c>
      <c r="G206">
        <v>1</v>
      </c>
      <c r="H206">
        <v>1</v>
      </c>
      <c r="I206">
        <v>1</v>
      </c>
      <c r="J206">
        <v>1</v>
      </c>
      <c r="K206">
        <v>1</v>
      </c>
      <c r="L206">
        <v>1</v>
      </c>
      <c r="M206">
        <v>1</v>
      </c>
      <c r="N206">
        <v>1</v>
      </c>
      <c r="O206">
        <v>1</v>
      </c>
      <c r="P206">
        <v>1</v>
      </c>
      <c r="Q206">
        <v>1</v>
      </c>
      <c r="R206">
        <v>1</v>
      </c>
      <c r="S206">
        <v>1</v>
      </c>
      <c r="T206">
        <v>1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>
        <v>1</v>
      </c>
      <c r="AH206">
        <v>1</v>
      </c>
      <c r="AI206">
        <v>1</v>
      </c>
      <c r="AJ206">
        <v>1</v>
      </c>
      <c r="AK206">
        <v>1</v>
      </c>
      <c r="AL206">
        <v>1</v>
      </c>
      <c r="AM206">
        <v>1</v>
      </c>
      <c r="AN206">
        <v>1</v>
      </c>
      <c r="AO206">
        <v>1</v>
      </c>
      <c r="AP206">
        <v>1</v>
      </c>
      <c r="AQ206">
        <v>1</v>
      </c>
      <c r="AR206">
        <v>1</v>
      </c>
      <c r="AS206">
        <v>1</v>
      </c>
    </row>
    <row r="207" spans="1:45" x14ac:dyDescent="0.25">
      <c r="E207">
        <v>1</v>
      </c>
      <c r="M207">
        <v>1</v>
      </c>
      <c r="R207">
        <v>1</v>
      </c>
      <c r="AF207">
        <v>1</v>
      </c>
      <c r="AK207">
        <v>1</v>
      </c>
      <c r="AS207">
        <v>1</v>
      </c>
    </row>
    <row r="208" spans="1:45" x14ac:dyDescent="0.25">
      <c r="E208">
        <v>1</v>
      </c>
      <c r="M208">
        <v>1</v>
      </c>
      <c r="R208">
        <v>1</v>
      </c>
      <c r="AF208">
        <v>1</v>
      </c>
      <c r="AK208">
        <v>1</v>
      </c>
      <c r="AS208">
        <v>1</v>
      </c>
    </row>
    <row r="209" spans="5:45" x14ac:dyDescent="0.25">
      <c r="E209">
        <v>1</v>
      </c>
      <c r="M209">
        <v>1</v>
      </c>
      <c r="R209">
        <v>1</v>
      </c>
      <c r="AF209">
        <v>1</v>
      </c>
      <c r="AK209">
        <v>1</v>
      </c>
      <c r="AS209">
        <v>1</v>
      </c>
    </row>
    <row r="210" spans="5:45" x14ac:dyDescent="0.25">
      <c r="E210">
        <v>1</v>
      </c>
      <c r="F210">
        <v>1</v>
      </c>
      <c r="G210">
        <v>1</v>
      </c>
      <c r="H210">
        <v>1</v>
      </c>
      <c r="I210">
        <v>1</v>
      </c>
      <c r="J210">
        <v>1</v>
      </c>
      <c r="K210">
        <v>1</v>
      </c>
      <c r="L210">
        <v>1</v>
      </c>
      <c r="M210">
        <v>1</v>
      </c>
      <c r="R210">
        <v>1</v>
      </c>
      <c r="S210">
        <v>1</v>
      </c>
      <c r="T210">
        <v>1</v>
      </c>
      <c r="U210">
        <v>1</v>
      </c>
      <c r="V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K210">
        <v>1</v>
      </c>
      <c r="AL210">
        <v>1</v>
      </c>
      <c r="AM210">
        <v>1</v>
      </c>
      <c r="AN210">
        <v>1</v>
      </c>
      <c r="AO210">
        <v>1</v>
      </c>
      <c r="AP210">
        <v>1</v>
      </c>
      <c r="AQ210">
        <v>1</v>
      </c>
      <c r="AR210">
        <v>1</v>
      </c>
      <c r="AS210">
        <v>1</v>
      </c>
    </row>
    <row r="211" spans="5:45" x14ac:dyDescent="0.25">
      <c r="M211">
        <v>1</v>
      </c>
      <c r="V211">
        <v>1</v>
      </c>
      <c r="AA211">
        <v>1</v>
      </c>
      <c r="AK211">
        <v>1</v>
      </c>
    </row>
    <row r="212" spans="5:45" x14ac:dyDescent="0.25">
      <c r="M212">
        <v>1</v>
      </c>
      <c r="V212">
        <v>1</v>
      </c>
      <c r="AA212">
        <v>1</v>
      </c>
      <c r="AK212">
        <v>1</v>
      </c>
    </row>
    <row r="213" spans="5:45" x14ac:dyDescent="0.25">
      <c r="M213">
        <v>1</v>
      </c>
      <c r="V213">
        <v>1</v>
      </c>
      <c r="AA213">
        <v>1</v>
      </c>
      <c r="AK213">
        <v>1</v>
      </c>
    </row>
    <row r="214" spans="5:45" x14ac:dyDescent="0.25">
      <c r="M214">
        <v>1</v>
      </c>
      <c r="R214">
        <v>1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K214">
        <v>1</v>
      </c>
    </row>
    <row r="215" spans="5:45" x14ac:dyDescent="0.25">
      <c r="M215">
        <v>1</v>
      </c>
      <c r="R215">
        <v>1</v>
      </c>
      <c r="AF215">
        <v>1</v>
      </c>
      <c r="AK215">
        <v>1</v>
      </c>
    </row>
    <row r="216" spans="5:45" x14ac:dyDescent="0.25">
      <c r="M216">
        <v>1</v>
      </c>
      <c r="R216">
        <v>1</v>
      </c>
      <c r="AF216">
        <v>1</v>
      </c>
      <c r="AK216">
        <v>1</v>
      </c>
    </row>
    <row r="217" spans="5:45" x14ac:dyDescent="0.25">
      <c r="M217">
        <v>1</v>
      </c>
      <c r="R217">
        <v>1</v>
      </c>
      <c r="AF217">
        <v>1</v>
      </c>
      <c r="AK217">
        <v>1</v>
      </c>
    </row>
    <row r="218" spans="5:45" x14ac:dyDescent="0.25">
      <c r="M218">
        <v>1</v>
      </c>
      <c r="N218">
        <v>1</v>
      </c>
      <c r="O218">
        <v>1</v>
      </c>
      <c r="P218">
        <v>1</v>
      </c>
      <c r="Q218">
        <v>1</v>
      </c>
      <c r="R218">
        <v>1</v>
      </c>
      <c r="AF218">
        <v>1</v>
      </c>
      <c r="AG218">
        <v>1</v>
      </c>
      <c r="AH218">
        <v>1</v>
      </c>
      <c r="AI218">
        <v>1</v>
      </c>
      <c r="AJ218">
        <v>1</v>
      </c>
      <c r="AK218">
        <v>1</v>
      </c>
    </row>
    <row r="219" spans="5:45" x14ac:dyDescent="0.25">
      <c r="M219">
        <v>1</v>
      </c>
      <c r="R219">
        <v>1</v>
      </c>
      <c r="AF219">
        <v>1</v>
      </c>
      <c r="AK219">
        <v>1</v>
      </c>
    </row>
    <row r="220" spans="5:45" x14ac:dyDescent="0.25">
      <c r="M220">
        <v>1</v>
      </c>
      <c r="R220">
        <v>1</v>
      </c>
      <c r="AF220">
        <v>1</v>
      </c>
      <c r="AK220">
        <v>1</v>
      </c>
    </row>
    <row r="221" spans="5:45" x14ac:dyDescent="0.25">
      <c r="M221">
        <v>1</v>
      </c>
      <c r="R221">
        <v>1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K221">
        <v>1</v>
      </c>
    </row>
    <row r="222" spans="5:45" x14ac:dyDescent="0.25">
      <c r="M222">
        <v>1</v>
      </c>
      <c r="R222">
        <v>1</v>
      </c>
      <c r="AF222">
        <v>1</v>
      </c>
      <c r="AK222">
        <v>1</v>
      </c>
    </row>
    <row r="223" spans="5:45" x14ac:dyDescent="0.25">
      <c r="M223">
        <v>1</v>
      </c>
      <c r="R223">
        <v>1</v>
      </c>
      <c r="AF223">
        <v>1</v>
      </c>
      <c r="AK223">
        <v>1</v>
      </c>
    </row>
    <row r="224" spans="5:45" x14ac:dyDescent="0.25">
      <c r="M224">
        <v>1</v>
      </c>
      <c r="R224">
        <v>1</v>
      </c>
      <c r="AF224">
        <v>1</v>
      </c>
      <c r="AK224">
        <v>1</v>
      </c>
    </row>
    <row r="225" spans="5:45" x14ac:dyDescent="0.25">
      <c r="E225">
        <v>1</v>
      </c>
      <c r="F225">
        <v>1</v>
      </c>
      <c r="G225">
        <v>1</v>
      </c>
      <c r="H225">
        <v>1</v>
      </c>
      <c r="I225">
        <v>1</v>
      </c>
      <c r="J225">
        <v>1</v>
      </c>
      <c r="K225">
        <v>1</v>
      </c>
      <c r="L225">
        <v>1</v>
      </c>
      <c r="M225">
        <v>1</v>
      </c>
      <c r="N225">
        <v>1</v>
      </c>
      <c r="O225">
        <v>1</v>
      </c>
      <c r="P225">
        <v>1</v>
      </c>
      <c r="Q225">
        <v>1</v>
      </c>
      <c r="R225">
        <v>1</v>
      </c>
      <c r="S225">
        <v>1</v>
      </c>
      <c r="T225">
        <v>1</v>
      </c>
      <c r="U225">
        <v>1</v>
      </c>
      <c r="V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>
        <v>1</v>
      </c>
      <c r="AH225">
        <v>1</v>
      </c>
      <c r="AI225">
        <v>1</v>
      </c>
      <c r="AJ225">
        <v>1</v>
      </c>
      <c r="AK225">
        <v>1</v>
      </c>
      <c r="AL225">
        <v>1</v>
      </c>
      <c r="AM225">
        <v>1</v>
      </c>
      <c r="AN225">
        <v>1</v>
      </c>
      <c r="AO225">
        <v>1</v>
      </c>
      <c r="AP225">
        <v>1</v>
      </c>
      <c r="AQ225">
        <v>1</v>
      </c>
      <c r="AR225">
        <v>1</v>
      </c>
      <c r="AS225">
        <v>1</v>
      </c>
    </row>
    <row r="226" spans="5:45" x14ac:dyDescent="0.25">
      <c r="E226">
        <v>1</v>
      </c>
      <c r="M226">
        <v>1</v>
      </c>
      <c r="V226">
        <v>1</v>
      </c>
      <c r="AA226">
        <v>1</v>
      </c>
      <c r="AK226">
        <v>1</v>
      </c>
      <c r="AS226">
        <v>1</v>
      </c>
    </row>
    <row r="227" spans="5:45" x14ac:dyDescent="0.25">
      <c r="E227">
        <v>1</v>
      </c>
      <c r="M227">
        <v>1</v>
      </c>
      <c r="V227">
        <v>1</v>
      </c>
      <c r="AA227">
        <v>1</v>
      </c>
      <c r="AK227">
        <v>1</v>
      </c>
      <c r="AS227">
        <v>1</v>
      </c>
    </row>
    <row r="228" spans="5:45" x14ac:dyDescent="0.25">
      <c r="E228">
        <v>1</v>
      </c>
      <c r="M228">
        <v>1</v>
      </c>
      <c r="V228">
        <v>1</v>
      </c>
      <c r="AA228">
        <v>1</v>
      </c>
      <c r="AK228">
        <v>1</v>
      </c>
      <c r="AS228">
        <v>1</v>
      </c>
    </row>
    <row r="229" spans="5:45" x14ac:dyDescent="0.25">
      <c r="E229">
        <v>1</v>
      </c>
      <c r="F229">
        <v>1</v>
      </c>
      <c r="G229">
        <v>1</v>
      </c>
      <c r="H229">
        <v>1</v>
      </c>
      <c r="M229">
        <v>1</v>
      </c>
      <c r="N229">
        <v>1</v>
      </c>
      <c r="O229">
        <v>1</v>
      </c>
      <c r="P229">
        <v>1</v>
      </c>
      <c r="Q229">
        <v>1</v>
      </c>
      <c r="R229">
        <v>1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>
        <v>1</v>
      </c>
      <c r="AH229">
        <v>1</v>
      </c>
      <c r="AI229">
        <v>1</v>
      </c>
      <c r="AJ229">
        <v>1</v>
      </c>
      <c r="AK229">
        <v>1</v>
      </c>
      <c r="AP229">
        <v>1</v>
      </c>
      <c r="AQ229">
        <v>1</v>
      </c>
      <c r="AR229">
        <v>1</v>
      </c>
      <c r="AS229">
        <v>1</v>
      </c>
    </row>
    <row r="230" spans="5:45" x14ac:dyDescent="0.25">
      <c r="H230">
        <v>1</v>
      </c>
      <c r="M230">
        <v>1</v>
      </c>
      <c r="R230">
        <v>1</v>
      </c>
      <c r="AF230">
        <v>1</v>
      </c>
      <c r="AK230">
        <v>1</v>
      </c>
      <c r="AP230">
        <v>1</v>
      </c>
    </row>
    <row r="231" spans="5:45" x14ac:dyDescent="0.25">
      <c r="H231">
        <v>1</v>
      </c>
      <c r="M231">
        <v>1</v>
      </c>
      <c r="R231">
        <v>1</v>
      </c>
      <c r="AF231">
        <v>1</v>
      </c>
      <c r="AK231">
        <v>1</v>
      </c>
      <c r="AP231">
        <v>1</v>
      </c>
    </row>
    <row r="232" spans="5:45" x14ac:dyDescent="0.25">
      <c r="H232">
        <v>1</v>
      </c>
      <c r="M232">
        <v>1</v>
      </c>
      <c r="R232">
        <v>1</v>
      </c>
      <c r="AF232">
        <v>1</v>
      </c>
      <c r="AK232">
        <v>1</v>
      </c>
      <c r="AP232">
        <v>1</v>
      </c>
    </row>
    <row r="233" spans="5:45" x14ac:dyDescent="0.25">
      <c r="E233">
        <v>1</v>
      </c>
      <c r="F233">
        <v>1</v>
      </c>
      <c r="G233">
        <v>1</v>
      </c>
      <c r="H233">
        <v>1</v>
      </c>
      <c r="I233">
        <v>1</v>
      </c>
      <c r="J233">
        <v>1</v>
      </c>
      <c r="K233">
        <v>1</v>
      </c>
      <c r="L233">
        <v>1</v>
      </c>
      <c r="M233">
        <v>1</v>
      </c>
      <c r="R233">
        <v>1</v>
      </c>
      <c r="S233">
        <v>1</v>
      </c>
      <c r="T233">
        <v>1</v>
      </c>
      <c r="U233">
        <v>1</v>
      </c>
      <c r="V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K233">
        <v>1</v>
      </c>
      <c r="AL233">
        <v>1</v>
      </c>
      <c r="AM233">
        <v>1</v>
      </c>
      <c r="AN233">
        <v>1</v>
      </c>
      <c r="AO233">
        <v>1</v>
      </c>
      <c r="AP233">
        <v>1</v>
      </c>
      <c r="AQ233">
        <v>1</v>
      </c>
      <c r="AR233">
        <v>1</v>
      </c>
      <c r="AS233">
        <v>1</v>
      </c>
    </row>
    <row r="234" spans="5:45" x14ac:dyDescent="0.25">
      <c r="E234">
        <v>1</v>
      </c>
      <c r="V234">
        <v>1</v>
      </c>
      <c r="AA234">
        <v>1</v>
      </c>
      <c r="AS234">
        <v>1</v>
      </c>
    </row>
    <row r="235" spans="5:45" x14ac:dyDescent="0.25">
      <c r="E235">
        <v>1</v>
      </c>
      <c r="V235">
        <v>1</v>
      </c>
      <c r="AA235">
        <v>1</v>
      </c>
      <c r="AS235">
        <v>1</v>
      </c>
    </row>
    <row r="236" spans="5:45" x14ac:dyDescent="0.25">
      <c r="E236">
        <v>1</v>
      </c>
      <c r="V236">
        <v>1</v>
      </c>
      <c r="AA236">
        <v>1</v>
      </c>
      <c r="AS236">
        <v>1</v>
      </c>
    </row>
    <row r="237" spans="5:45" x14ac:dyDescent="0.25">
      <c r="E237">
        <v>1</v>
      </c>
      <c r="F237">
        <v>1</v>
      </c>
      <c r="G237">
        <v>1</v>
      </c>
      <c r="H237">
        <v>1</v>
      </c>
      <c r="I237">
        <v>1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</v>
      </c>
      <c r="P237">
        <v>1</v>
      </c>
      <c r="Q237">
        <v>1</v>
      </c>
      <c r="R237">
        <v>1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>
        <v>1</v>
      </c>
      <c r="AH237">
        <v>1</v>
      </c>
      <c r="AI237">
        <v>1</v>
      </c>
      <c r="AJ237">
        <v>1</v>
      </c>
      <c r="AK237">
        <v>1</v>
      </c>
      <c r="AL237">
        <v>1</v>
      </c>
      <c r="AM237">
        <v>1</v>
      </c>
      <c r="AN237">
        <v>1</v>
      </c>
      <c r="AO237">
        <v>1</v>
      </c>
      <c r="AP237">
        <v>1</v>
      </c>
      <c r="AQ237">
        <v>1</v>
      </c>
      <c r="AR237">
        <v>1</v>
      </c>
      <c r="AS237">
        <v>1</v>
      </c>
    </row>
    <row r="300" spans="1:45" x14ac:dyDescent="0.25">
      <c r="A300">
        <v>300</v>
      </c>
      <c r="B300">
        <v>145</v>
      </c>
      <c r="C300">
        <v>0</v>
      </c>
    </row>
    <row r="301" spans="1:45" x14ac:dyDescent="0.25">
      <c r="A301">
        <v>13</v>
      </c>
      <c r="B301">
        <v>301</v>
      </c>
      <c r="E301">
        <v>1</v>
      </c>
      <c r="F301">
        <v>1</v>
      </c>
      <c r="G301">
        <v>1</v>
      </c>
      <c r="H301">
        <v>1</v>
      </c>
      <c r="I301">
        <v>1</v>
      </c>
      <c r="J301">
        <v>1</v>
      </c>
      <c r="K301">
        <v>1</v>
      </c>
      <c r="L301">
        <v>1</v>
      </c>
      <c r="M301">
        <v>1</v>
      </c>
      <c r="N301">
        <v>1</v>
      </c>
      <c r="O301">
        <v>1</v>
      </c>
      <c r="P301">
        <v>1</v>
      </c>
      <c r="Q301">
        <v>1</v>
      </c>
      <c r="R301">
        <v>1</v>
      </c>
      <c r="S301">
        <v>1</v>
      </c>
      <c r="T301">
        <v>1</v>
      </c>
      <c r="U301">
        <v>1</v>
      </c>
      <c r="V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>
        <v>1</v>
      </c>
      <c r="AH301">
        <v>1</v>
      </c>
      <c r="AI301">
        <v>1</v>
      </c>
      <c r="AJ301">
        <v>1</v>
      </c>
      <c r="AK301">
        <v>1</v>
      </c>
      <c r="AL301">
        <v>1</v>
      </c>
      <c r="AM301">
        <v>1</v>
      </c>
      <c r="AN301">
        <v>1</v>
      </c>
      <c r="AO301">
        <v>1</v>
      </c>
      <c r="AP301">
        <v>1</v>
      </c>
      <c r="AQ301">
        <v>1</v>
      </c>
      <c r="AR301">
        <v>1</v>
      </c>
      <c r="AS301">
        <v>1</v>
      </c>
    </row>
    <row r="302" spans="1:45" x14ac:dyDescent="0.25">
      <c r="E302">
        <v>1</v>
      </c>
      <c r="M302">
        <v>1</v>
      </c>
      <c r="V302">
        <v>1</v>
      </c>
      <c r="AA302">
        <v>1</v>
      </c>
      <c r="AK302">
        <v>1</v>
      </c>
      <c r="AS302">
        <v>1</v>
      </c>
    </row>
    <row r="303" spans="1:45" x14ac:dyDescent="0.25">
      <c r="A303">
        <v>1</v>
      </c>
      <c r="B303">
        <v>10</v>
      </c>
      <c r="E303">
        <v>1</v>
      </c>
      <c r="M303">
        <v>1</v>
      </c>
      <c r="V303">
        <v>1</v>
      </c>
      <c r="AA303">
        <v>1</v>
      </c>
      <c r="AK303">
        <v>1</v>
      </c>
      <c r="AS303">
        <v>1</v>
      </c>
    </row>
    <row r="304" spans="1:45" x14ac:dyDescent="0.25">
      <c r="A304">
        <v>1</v>
      </c>
      <c r="B304">
        <v>10</v>
      </c>
      <c r="E304">
        <v>1</v>
      </c>
      <c r="M304">
        <v>1</v>
      </c>
      <c r="V304">
        <v>1</v>
      </c>
      <c r="AA304">
        <v>1</v>
      </c>
      <c r="AK304">
        <v>1</v>
      </c>
      <c r="AS304">
        <v>1</v>
      </c>
    </row>
    <row r="305" spans="1:45" x14ac:dyDescent="0.25">
      <c r="A305" t="s">
        <v>5</v>
      </c>
      <c r="E305">
        <v>1</v>
      </c>
      <c r="M305">
        <v>1</v>
      </c>
      <c r="V305">
        <v>1</v>
      </c>
      <c r="AA305">
        <v>1</v>
      </c>
      <c r="AK305">
        <v>1</v>
      </c>
      <c r="AS305">
        <v>1</v>
      </c>
    </row>
    <row r="306" spans="1:45" x14ac:dyDescent="0.25">
      <c r="E306">
        <v>1</v>
      </c>
      <c r="F306">
        <v>1</v>
      </c>
      <c r="G306">
        <v>1</v>
      </c>
      <c r="H306">
        <v>1</v>
      </c>
      <c r="I306">
        <v>1</v>
      </c>
      <c r="J306">
        <v>1</v>
      </c>
      <c r="K306">
        <v>1</v>
      </c>
      <c r="L306">
        <v>1</v>
      </c>
      <c r="M306">
        <v>1</v>
      </c>
      <c r="N306">
        <v>1</v>
      </c>
      <c r="O306">
        <v>1</v>
      </c>
      <c r="P306">
        <v>1</v>
      </c>
      <c r="Q306">
        <v>1</v>
      </c>
      <c r="R306">
        <v>1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>
        <v>1</v>
      </c>
      <c r="AH306">
        <v>1</v>
      </c>
      <c r="AI306">
        <v>1</v>
      </c>
      <c r="AJ306">
        <v>1</v>
      </c>
      <c r="AK306">
        <v>1</v>
      </c>
      <c r="AL306">
        <v>1</v>
      </c>
      <c r="AM306">
        <v>1</v>
      </c>
      <c r="AN306">
        <v>1</v>
      </c>
      <c r="AO306">
        <v>1</v>
      </c>
      <c r="AP306">
        <v>1</v>
      </c>
      <c r="AQ306">
        <v>1</v>
      </c>
      <c r="AR306">
        <v>1</v>
      </c>
      <c r="AS306">
        <v>1</v>
      </c>
    </row>
    <row r="307" spans="1:45" x14ac:dyDescent="0.25">
      <c r="E307">
        <v>1</v>
      </c>
      <c r="M307">
        <v>1</v>
      </c>
      <c r="R307">
        <v>1</v>
      </c>
      <c r="AF307">
        <v>1</v>
      </c>
      <c r="AK307">
        <v>1</v>
      </c>
      <c r="AS307">
        <v>1</v>
      </c>
    </row>
    <row r="308" spans="1:45" x14ac:dyDescent="0.25">
      <c r="E308">
        <v>1</v>
      </c>
      <c r="M308">
        <v>1</v>
      </c>
      <c r="R308">
        <v>1</v>
      </c>
      <c r="AF308">
        <v>1</v>
      </c>
      <c r="AK308">
        <v>1</v>
      </c>
      <c r="AS308">
        <v>1</v>
      </c>
    </row>
    <row r="309" spans="1:45" x14ac:dyDescent="0.25">
      <c r="E309">
        <v>1</v>
      </c>
      <c r="M309">
        <v>1</v>
      </c>
      <c r="R309">
        <v>1</v>
      </c>
      <c r="AF309">
        <v>1</v>
      </c>
      <c r="AK309">
        <v>1</v>
      </c>
      <c r="AS309">
        <v>1</v>
      </c>
    </row>
    <row r="310" spans="1:45" x14ac:dyDescent="0.25">
      <c r="E310">
        <v>1</v>
      </c>
      <c r="F310">
        <v>1</v>
      </c>
      <c r="G310">
        <v>1</v>
      </c>
      <c r="H310">
        <v>1</v>
      </c>
      <c r="I310">
        <v>1</v>
      </c>
      <c r="J310">
        <v>1</v>
      </c>
      <c r="K310">
        <v>1</v>
      </c>
      <c r="L310">
        <v>1</v>
      </c>
      <c r="M310">
        <v>1</v>
      </c>
      <c r="R310">
        <v>1</v>
      </c>
      <c r="S310">
        <v>1</v>
      </c>
      <c r="T310">
        <v>1</v>
      </c>
      <c r="U310">
        <v>1</v>
      </c>
      <c r="V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K310">
        <v>1</v>
      </c>
      <c r="AL310">
        <v>1</v>
      </c>
      <c r="AM310">
        <v>1</v>
      </c>
      <c r="AN310">
        <v>1</v>
      </c>
      <c r="AO310">
        <v>1</v>
      </c>
      <c r="AP310">
        <v>1</v>
      </c>
      <c r="AQ310">
        <v>1</v>
      </c>
      <c r="AR310">
        <v>1</v>
      </c>
      <c r="AS310">
        <v>1</v>
      </c>
    </row>
    <row r="311" spans="1:45" x14ac:dyDescent="0.25">
      <c r="M311">
        <v>1</v>
      </c>
      <c r="V311">
        <v>1</v>
      </c>
      <c r="AA311">
        <v>1</v>
      </c>
      <c r="AK311">
        <v>1</v>
      </c>
    </row>
    <row r="312" spans="1:45" x14ac:dyDescent="0.25">
      <c r="M312">
        <v>1</v>
      </c>
      <c r="V312">
        <v>1</v>
      </c>
      <c r="AA312">
        <v>1</v>
      </c>
      <c r="AK312">
        <v>1</v>
      </c>
    </row>
    <row r="313" spans="1:45" x14ac:dyDescent="0.25">
      <c r="M313">
        <v>1</v>
      </c>
      <c r="V313">
        <v>1</v>
      </c>
      <c r="AA313">
        <v>1</v>
      </c>
      <c r="AK313">
        <v>1</v>
      </c>
    </row>
    <row r="314" spans="1:45" x14ac:dyDescent="0.25">
      <c r="M314">
        <v>1</v>
      </c>
      <c r="R314">
        <v>1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K314">
        <v>1</v>
      </c>
    </row>
    <row r="315" spans="1:45" x14ac:dyDescent="0.25">
      <c r="M315">
        <v>1</v>
      </c>
      <c r="R315">
        <v>1</v>
      </c>
      <c r="AF315">
        <v>1</v>
      </c>
      <c r="AK315">
        <v>1</v>
      </c>
    </row>
    <row r="316" spans="1:45" x14ac:dyDescent="0.25">
      <c r="M316">
        <v>1</v>
      </c>
      <c r="R316">
        <v>1</v>
      </c>
      <c r="AF316">
        <v>1</v>
      </c>
      <c r="AK316">
        <v>1</v>
      </c>
    </row>
    <row r="317" spans="1:45" x14ac:dyDescent="0.25">
      <c r="M317">
        <v>1</v>
      </c>
      <c r="R317">
        <v>1</v>
      </c>
      <c r="AF317">
        <v>1</v>
      </c>
      <c r="AK317">
        <v>1</v>
      </c>
    </row>
    <row r="318" spans="1:45" x14ac:dyDescent="0.25">
      <c r="M318">
        <v>1</v>
      </c>
      <c r="N318">
        <v>1</v>
      </c>
      <c r="O318">
        <v>1</v>
      </c>
      <c r="P318">
        <v>1</v>
      </c>
      <c r="Q318">
        <v>1</v>
      </c>
      <c r="R318">
        <v>1</v>
      </c>
      <c r="AF318">
        <v>1</v>
      </c>
      <c r="AG318">
        <v>1</v>
      </c>
      <c r="AH318">
        <v>1</v>
      </c>
      <c r="AI318">
        <v>1</v>
      </c>
      <c r="AJ318">
        <v>1</v>
      </c>
      <c r="AK318">
        <v>1</v>
      </c>
    </row>
    <row r="319" spans="1:45" x14ac:dyDescent="0.25">
      <c r="M319">
        <v>1</v>
      </c>
      <c r="R319">
        <v>1</v>
      </c>
      <c r="AF319">
        <v>1</v>
      </c>
      <c r="AK319">
        <v>1</v>
      </c>
    </row>
    <row r="320" spans="1:45" x14ac:dyDescent="0.25">
      <c r="M320">
        <v>1</v>
      </c>
      <c r="R320">
        <v>1</v>
      </c>
      <c r="AF320">
        <v>1</v>
      </c>
      <c r="AK320">
        <v>1</v>
      </c>
    </row>
    <row r="321" spans="5:45" x14ac:dyDescent="0.25">
      <c r="M321">
        <v>1</v>
      </c>
      <c r="R321">
        <v>1</v>
      </c>
      <c r="S321">
        <v>1</v>
      </c>
      <c r="T321">
        <v>1</v>
      </c>
      <c r="U321">
        <v>1</v>
      </c>
      <c r="V321">
        <v>1</v>
      </c>
      <c r="W321">
        <v>1</v>
      </c>
      <c r="X321">
        <v>1</v>
      </c>
      <c r="Y321">
        <v>1</v>
      </c>
      <c r="Z321">
        <v>1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K321">
        <v>1</v>
      </c>
    </row>
    <row r="322" spans="5:45" x14ac:dyDescent="0.25">
      <c r="M322">
        <v>1</v>
      </c>
      <c r="R322">
        <v>1</v>
      </c>
      <c r="AF322">
        <v>1</v>
      </c>
      <c r="AK322">
        <v>1</v>
      </c>
    </row>
    <row r="323" spans="5:45" x14ac:dyDescent="0.25">
      <c r="M323">
        <v>1</v>
      </c>
      <c r="R323">
        <v>1</v>
      </c>
      <c r="AF323">
        <v>1</v>
      </c>
      <c r="AK323">
        <v>1</v>
      </c>
    </row>
    <row r="324" spans="5:45" x14ac:dyDescent="0.25">
      <c r="M324">
        <v>1</v>
      </c>
      <c r="R324">
        <v>1</v>
      </c>
      <c r="AF324">
        <v>1</v>
      </c>
      <c r="AK324">
        <v>1</v>
      </c>
    </row>
    <row r="325" spans="5:45" x14ac:dyDescent="0.25">
      <c r="E325">
        <v>1</v>
      </c>
      <c r="F325">
        <v>1</v>
      </c>
      <c r="G325">
        <v>1</v>
      </c>
      <c r="H325">
        <v>1</v>
      </c>
      <c r="I325">
        <v>1</v>
      </c>
      <c r="J325">
        <v>1</v>
      </c>
      <c r="K325">
        <v>1</v>
      </c>
      <c r="L325">
        <v>1</v>
      </c>
      <c r="M325">
        <v>1</v>
      </c>
      <c r="N325">
        <v>1</v>
      </c>
      <c r="O325">
        <v>1</v>
      </c>
      <c r="P325">
        <v>1</v>
      </c>
      <c r="Q325">
        <v>1</v>
      </c>
      <c r="R325">
        <v>1</v>
      </c>
      <c r="S325">
        <v>1</v>
      </c>
      <c r="T325">
        <v>1</v>
      </c>
      <c r="U325">
        <v>1</v>
      </c>
      <c r="V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>
        <v>1</v>
      </c>
      <c r="AH325">
        <v>1</v>
      </c>
      <c r="AI325">
        <v>1</v>
      </c>
      <c r="AJ325">
        <v>1</v>
      </c>
      <c r="AK325">
        <v>1</v>
      </c>
      <c r="AL325">
        <v>1</v>
      </c>
      <c r="AM325">
        <v>1</v>
      </c>
      <c r="AN325">
        <v>1</v>
      </c>
      <c r="AO325">
        <v>1</v>
      </c>
      <c r="AP325">
        <v>1</v>
      </c>
      <c r="AQ325">
        <v>1</v>
      </c>
      <c r="AR325">
        <v>1</v>
      </c>
      <c r="AS325">
        <v>1</v>
      </c>
    </row>
    <row r="326" spans="5:45" x14ac:dyDescent="0.25">
      <c r="E326">
        <v>1</v>
      </c>
      <c r="M326">
        <v>1</v>
      </c>
      <c r="V326">
        <v>1</v>
      </c>
      <c r="AA326">
        <v>1</v>
      </c>
      <c r="AK326">
        <v>1</v>
      </c>
      <c r="AS326">
        <v>1</v>
      </c>
    </row>
    <row r="327" spans="5:45" x14ac:dyDescent="0.25">
      <c r="E327">
        <v>1</v>
      </c>
      <c r="M327">
        <v>1</v>
      </c>
      <c r="V327">
        <v>1</v>
      </c>
      <c r="AA327">
        <v>1</v>
      </c>
      <c r="AK327">
        <v>1</v>
      </c>
      <c r="AS327">
        <v>1</v>
      </c>
    </row>
    <row r="328" spans="5:45" x14ac:dyDescent="0.25">
      <c r="E328">
        <v>1</v>
      </c>
      <c r="M328">
        <v>1</v>
      </c>
      <c r="V328">
        <v>1</v>
      </c>
      <c r="AA328">
        <v>1</v>
      </c>
      <c r="AK328">
        <v>1</v>
      </c>
      <c r="AS328">
        <v>1</v>
      </c>
    </row>
    <row r="329" spans="5:45" x14ac:dyDescent="0.25">
      <c r="E329">
        <v>1</v>
      </c>
      <c r="F329">
        <v>1</v>
      </c>
      <c r="G329">
        <v>1</v>
      </c>
      <c r="H329">
        <v>1</v>
      </c>
      <c r="M329">
        <v>1</v>
      </c>
      <c r="N329">
        <v>1</v>
      </c>
      <c r="O329">
        <v>1</v>
      </c>
      <c r="P329">
        <v>1</v>
      </c>
      <c r="Q329">
        <v>1</v>
      </c>
      <c r="R329">
        <v>1</v>
      </c>
      <c r="S329">
        <v>1</v>
      </c>
      <c r="T329">
        <v>1</v>
      </c>
      <c r="U329">
        <v>1</v>
      </c>
      <c r="V329">
        <v>1</v>
      </c>
      <c r="W329">
        <v>1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>
        <v>1</v>
      </c>
      <c r="AH329">
        <v>1</v>
      </c>
      <c r="AI329">
        <v>1</v>
      </c>
      <c r="AJ329">
        <v>1</v>
      </c>
      <c r="AK329">
        <v>1</v>
      </c>
      <c r="AP329">
        <v>1</v>
      </c>
      <c r="AQ329">
        <v>1</v>
      </c>
      <c r="AR329">
        <v>1</v>
      </c>
      <c r="AS329">
        <v>1</v>
      </c>
    </row>
    <row r="330" spans="5:45" x14ac:dyDescent="0.25">
      <c r="H330">
        <v>1</v>
      </c>
      <c r="M330">
        <v>1</v>
      </c>
      <c r="R330">
        <v>1</v>
      </c>
      <c r="AF330">
        <v>1</v>
      </c>
      <c r="AK330">
        <v>1</v>
      </c>
      <c r="AP330">
        <v>1</v>
      </c>
    </row>
    <row r="331" spans="5:45" x14ac:dyDescent="0.25">
      <c r="H331">
        <v>1</v>
      </c>
      <c r="M331">
        <v>1</v>
      </c>
      <c r="R331">
        <v>1</v>
      </c>
      <c r="AF331">
        <v>1</v>
      </c>
      <c r="AK331">
        <v>1</v>
      </c>
      <c r="AP331">
        <v>1</v>
      </c>
    </row>
    <row r="332" spans="5:45" x14ac:dyDescent="0.25">
      <c r="H332">
        <v>1</v>
      </c>
      <c r="M332">
        <v>1</v>
      </c>
      <c r="R332">
        <v>1</v>
      </c>
      <c r="AF332">
        <v>1</v>
      </c>
      <c r="AK332">
        <v>1</v>
      </c>
      <c r="AP332">
        <v>1</v>
      </c>
    </row>
    <row r="333" spans="5:45" x14ac:dyDescent="0.25">
      <c r="E333">
        <v>1</v>
      </c>
      <c r="F333">
        <v>1</v>
      </c>
      <c r="G333">
        <v>1</v>
      </c>
      <c r="H333">
        <v>1</v>
      </c>
      <c r="I333">
        <v>1</v>
      </c>
      <c r="J333">
        <v>1</v>
      </c>
      <c r="K333">
        <v>1</v>
      </c>
      <c r="L333">
        <v>1</v>
      </c>
      <c r="M333">
        <v>1</v>
      </c>
      <c r="R333">
        <v>1</v>
      </c>
      <c r="S333">
        <v>1</v>
      </c>
      <c r="T333">
        <v>1</v>
      </c>
      <c r="U333">
        <v>1</v>
      </c>
      <c r="V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K333">
        <v>1</v>
      </c>
      <c r="AL333">
        <v>1</v>
      </c>
      <c r="AM333">
        <v>1</v>
      </c>
      <c r="AN333">
        <v>1</v>
      </c>
      <c r="AO333">
        <v>1</v>
      </c>
      <c r="AP333">
        <v>1</v>
      </c>
      <c r="AQ333">
        <v>1</v>
      </c>
      <c r="AR333">
        <v>1</v>
      </c>
      <c r="AS333">
        <v>1</v>
      </c>
    </row>
    <row r="334" spans="5:45" x14ac:dyDescent="0.25">
      <c r="E334">
        <v>1</v>
      </c>
      <c r="V334">
        <v>1</v>
      </c>
      <c r="AA334">
        <v>1</v>
      </c>
      <c r="AS334">
        <v>1</v>
      </c>
    </row>
    <row r="335" spans="5:45" x14ac:dyDescent="0.25">
      <c r="E335">
        <v>1</v>
      </c>
      <c r="V335">
        <v>1</v>
      </c>
      <c r="AA335">
        <v>1</v>
      </c>
      <c r="AS335">
        <v>1</v>
      </c>
    </row>
    <row r="336" spans="5:45" x14ac:dyDescent="0.25">
      <c r="E336">
        <v>1</v>
      </c>
      <c r="V336">
        <v>1</v>
      </c>
      <c r="AA336">
        <v>1</v>
      </c>
      <c r="AS336">
        <v>1</v>
      </c>
    </row>
    <row r="337" spans="5:45" x14ac:dyDescent="0.25">
      <c r="E337">
        <v>1</v>
      </c>
      <c r="F337">
        <v>1</v>
      </c>
      <c r="G337">
        <v>1</v>
      </c>
      <c r="H337">
        <v>1</v>
      </c>
      <c r="I337">
        <v>1</v>
      </c>
      <c r="J337">
        <v>1</v>
      </c>
      <c r="K337">
        <v>1</v>
      </c>
      <c r="L337">
        <v>1</v>
      </c>
      <c r="M337">
        <v>1</v>
      </c>
      <c r="N337">
        <v>1</v>
      </c>
      <c r="O337">
        <v>1</v>
      </c>
      <c r="P337">
        <v>1</v>
      </c>
      <c r="Q337">
        <v>1</v>
      </c>
      <c r="R337">
        <v>1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>
        <v>1</v>
      </c>
      <c r="AH337">
        <v>1</v>
      </c>
      <c r="AI337">
        <v>1</v>
      </c>
      <c r="AJ337">
        <v>1</v>
      </c>
      <c r="AK337">
        <v>1</v>
      </c>
      <c r="AL337">
        <v>1</v>
      </c>
      <c r="AM337">
        <v>1</v>
      </c>
      <c r="AN337">
        <v>1</v>
      </c>
      <c r="AO337">
        <v>1</v>
      </c>
      <c r="AP337">
        <v>1</v>
      </c>
      <c r="AQ337">
        <v>1</v>
      </c>
      <c r="AR337">
        <v>1</v>
      </c>
      <c r="AS337">
        <v>1</v>
      </c>
    </row>
    <row r="400" spans="1:3" x14ac:dyDescent="0.25">
      <c r="A400">
        <v>300</v>
      </c>
      <c r="B400">
        <v>145</v>
      </c>
      <c r="C400">
        <v>0</v>
      </c>
    </row>
    <row r="401" spans="1:45" x14ac:dyDescent="0.25">
      <c r="A401">
        <v>45</v>
      </c>
      <c r="B401">
        <v>427</v>
      </c>
      <c r="E401">
        <v>1</v>
      </c>
      <c r="F401">
        <v>1</v>
      </c>
      <c r="G401">
        <v>1</v>
      </c>
      <c r="H401">
        <v>1</v>
      </c>
      <c r="I401">
        <v>1</v>
      </c>
      <c r="J401">
        <v>1</v>
      </c>
      <c r="K401">
        <v>1</v>
      </c>
      <c r="L401">
        <v>1</v>
      </c>
      <c r="M401">
        <v>1</v>
      </c>
      <c r="N401">
        <v>1</v>
      </c>
      <c r="O401">
        <v>1</v>
      </c>
      <c r="P401">
        <v>1</v>
      </c>
      <c r="Q401">
        <v>1</v>
      </c>
      <c r="R401">
        <v>1</v>
      </c>
      <c r="S401">
        <v>1</v>
      </c>
      <c r="T401">
        <v>1</v>
      </c>
      <c r="U401">
        <v>1</v>
      </c>
      <c r="V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>
        <v>1</v>
      </c>
      <c r="AH401">
        <v>1</v>
      </c>
      <c r="AI401">
        <v>1</v>
      </c>
      <c r="AJ401">
        <v>1</v>
      </c>
      <c r="AK401">
        <v>1</v>
      </c>
      <c r="AL401">
        <v>1</v>
      </c>
      <c r="AM401">
        <v>1</v>
      </c>
      <c r="AN401">
        <v>1</v>
      </c>
      <c r="AO401">
        <v>1</v>
      </c>
      <c r="AP401">
        <v>1</v>
      </c>
      <c r="AQ401">
        <v>1</v>
      </c>
      <c r="AR401">
        <v>1</v>
      </c>
      <c r="AS401">
        <v>1</v>
      </c>
    </row>
    <row r="402" spans="1:45" x14ac:dyDescent="0.25">
      <c r="E402">
        <v>1</v>
      </c>
      <c r="M402">
        <v>1</v>
      </c>
      <c r="V402">
        <v>1</v>
      </c>
      <c r="AA402">
        <v>1</v>
      </c>
      <c r="AK402">
        <v>1</v>
      </c>
      <c r="AS402">
        <v>1</v>
      </c>
    </row>
    <row r="403" spans="1:45" x14ac:dyDescent="0.25">
      <c r="A403">
        <v>1</v>
      </c>
      <c r="B403">
        <v>10</v>
      </c>
      <c r="E403">
        <v>1</v>
      </c>
      <c r="M403">
        <v>1</v>
      </c>
      <c r="V403">
        <v>1</v>
      </c>
      <c r="AA403">
        <v>1</v>
      </c>
      <c r="AK403">
        <v>1</v>
      </c>
      <c r="AS403">
        <v>1</v>
      </c>
    </row>
    <row r="404" spans="1:45" x14ac:dyDescent="0.25">
      <c r="A404">
        <v>1</v>
      </c>
      <c r="B404">
        <v>10</v>
      </c>
      <c r="E404">
        <v>1</v>
      </c>
      <c r="M404">
        <v>1</v>
      </c>
      <c r="V404">
        <v>1</v>
      </c>
      <c r="AA404">
        <v>1</v>
      </c>
      <c r="AK404">
        <v>1</v>
      </c>
      <c r="AS404">
        <v>1</v>
      </c>
    </row>
    <row r="405" spans="1:45" x14ac:dyDescent="0.25">
      <c r="A405" t="s">
        <v>4</v>
      </c>
      <c r="E405">
        <v>1</v>
      </c>
      <c r="M405">
        <v>1</v>
      </c>
      <c r="V405">
        <v>1</v>
      </c>
      <c r="AA405">
        <v>1</v>
      </c>
      <c r="AK405">
        <v>1</v>
      </c>
      <c r="AS405">
        <v>1</v>
      </c>
    </row>
    <row r="406" spans="1:45" x14ac:dyDescent="0.25">
      <c r="E406">
        <v>1</v>
      </c>
      <c r="F406">
        <v>1</v>
      </c>
      <c r="G406">
        <v>1</v>
      </c>
      <c r="H406">
        <v>1</v>
      </c>
      <c r="I406">
        <v>1</v>
      </c>
      <c r="J406">
        <v>1</v>
      </c>
      <c r="K406">
        <v>1</v>
      </c>
      <c r="L406">
        <v>1</v>
      </c>
      <c r="M406">
        <v>1</v>
      </c>
      <c r="N406">
        <v>1</v>
      </c>
      <c r="O406">
        <v>1</v>
      </c>
      <c r="P406">
        <v>1</v>
      </c>
      <c r="Q406">
        <v>1</v>
      </c>
      <c r="R406">
        <v>1</v>
      </c>
      <c r="S406">
        <v>1</v>
      </c>
      <c r="T406">
        <v>1</v>
      </c>
      <c r="U406">
        <v>1</v>
      </c>
      <c r="V406">
        <v>1</v>
      </c>
      <c r="W406">
        <v>1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>
        <v>1</v>
      </c>
      <c r="AH406">
        <v>1</v>
      </c>
      <c r="AI406">
        <v>1</v>
      </c>
      <c r="AJ406">
        <v>1</v>
      </c>
      <c r="AK406">
        <v>1</v>
      </c>
      <c r="AL406">
        <v>1</v>
      </c>
      <c r="AM406">
        <v>1</v>
      </c>
      <c r="AN406">
        <v>1</v>
      </c>
      <c r="AO406">
        <v>1</v>
      </c>
      <c r="AP406">
        <v>1</v>
      </c>
      <c r="AQ406">
        <v>1</v>
      </c>
      <c r="AR406">
        <v>1</v>
      </c>
      <c r="AS406">
        <v>1</v>
      </c>
    </row>
    <row r="407" spans="1:45" x14ac:dyDescent="0.25">
      <c r="E407">
        <v>1</v>
      </c>
      <c r="M407">
        <v>1</v>
      </c>
      <c r="R407">
        <v>1</v>
      </c>
      <c r="AF407">
        <v>1</v>
      </c>
      <c r="AK407">
        <v>1</v>
      </c>
      <c r="AS407">
        <v>1</v>
      </c>
    </row>
    <row r="408" spans="1:45" x14ac:dyDescent="0.25">
      <c r="E408">
        <v>1</v>
      </c>
      <c r="M408">
        <v>1</v>
      </c>
      <c r="R408">
        <v>1</v>
      </c>
      <c r="AF408">
        <v>1</v>
      </c>
      <c r="AK408">
        <v>1</v>
      </c>
      <c r="AS408">
        <v>1</v>
      </c>
    </row>
    <row r="409" spans="1:45" x14ac:dyDescent="0.25">
      <c r="E409">
        <v>1</v>
      </c>
      <c r="M409">
        <v>1</v>
      </c>
      <c r="R409">
        <v>1</v>
      </c>
      <c r="AF409">
        <v>1</v>
      </c>
      <c r="AK409">
        <v>1</v>
      </c>
      <c r="AS409">
        <v>1</v>
      </c>
    </row>
    <row r="410" spans="1:45" x14ac:dyDescent="0.25">
      <c r="E410">
        <v>1</v>
      </c>
      <c r="F410">
        <v>1</v>
      </c>
      <c r="G410">
        <v>1</v>
      </c>
      <c r="H410">
        <v>1</v>
      </c>
      <c r="I410">
        <v>1</v>
      </c>
      <c r="J410">
        <v>1</v>
      </c>
      <c r="K410">
        <v>1</v>
      </c>
      <c r="L410">
        <v>1</v>
      </c>
      <c r="M410">
        <v>1</v>
      </c>
      <c r="R410">
        <v>1</v>
      </c>
      <c r="S410">
        <v>1</v>
      </c>
      <c r="T410">
        <v>1</v>
      </c>
      <c r="U410">
        <v>1</v>
      </c>
      <c r="V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K410">
        <v>1</v>
      </c>
      <c r="AL410">
        <v>1</v>
      </c>
      <c r="AM410">
        <v>1</v>
      </c>
      <c r="AN410">
        <v>1</v>
      </c>
      <c r="AO410">
        <v>1</v>
      </c>
      <c r="AP410">
        <v>1</v>
      </c>
      <c r="AQ410">
        <v>1</v>
      </c>
      <c r="AR410">
        <v>1</v>
      </c>
      <c r="AS410">
        <v>1</v>
      </c>
    </row>
    <row r="411" spans="1:45" x14ac:dyDescent="0.25">
      <c r="M411">
        <v>1</v>
      </c>
      <c r="V411">
        <v>1</v>
      </c>
      <c r="AA411">
        <v>1</v>
      </c>
      <c r="AK411">
        <v>1</v>
      </c>
    </row>
    <row r="412" spans="1:45" x14ac:dyDescent="0.25">
      <c r="M412">
        <v>1</v>
      </c>
      <c r="V412">
        <v>1</v>
      </c>
      <c r="AA412">
        <v>1</v>
      </c>
      <c r="AK412">
        <v>1</v>
      </c>
    </row>
    <row r="413" spans="1:45" x14ac:dyDescent="0.25">
      <c r="M413">
        <v>1</v>
      </c>
      <c r="V413">
        <v>1</v>
      </c>
      <c r="AA413">
        <v>1</v>
      </c>
      <c r="AK413">
        <v>1</v>
      </c>
    </row>
    <row r="414" spans="1:45" x14ac:dyDescent="0.25">
      <c r="M414">
        <v>1</v>
      </c>
      <c r="R414">
        <v>1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K414">
        <v>1</v>
      </c>
    </row>
    <row r="415" spans="1:45" x14ac:dyDescent="0.25">
      <c r="M415">
        <v>1</v>
      </c>
      <c r="R415">
        <v>1</v>
      </c>
      <c r="AF415">
        <v>1</v>
      </c>
      <c r="AK415">
        <v>1</v>
      </c>
    </row>
    <row r="416" spans="1:45" x14ac:dyDescent="0.25">
      <c r="M416">
        <v>1</v>
      </c>
      <c r="R416">
        <v>1</v>
      </c>
      <c r="AF416">
        <v>1</v>
      </c>
      <c r="AK416">
        <v>1</v>
      </c>
    </row>
    <row r="417" spans="5:45" x14ac:dyDescent="0.25">
      <c r="M417">
        <v>1</v>
      </c>
      <c r="R417">
        <v>1</v>
      </c>
      <c r="AF417">
        <v>1</v>
      </c>
      <c r="AK417">
        <v>1</v>
      </c>
    </row>
    <row r="418" spans="5:45" x14ac:dyDescent="0.25">
      <c r="M418">
        <v>1</v>
      </c>
      <c r="N418">
        <v>1</v>
      </c>
      <c r="O418">
        <v>1</v>
      </c>
      <c r="P418">
        <v>1</v>
      </c>
      <c r="Q418">
        <v>1</v>
      </c>
      <c r="R418">
        <v>1</v>
      </c>
      <c r="AF418">
        <v>1</v>
      </c>
      <c r="AG418">
        <v>1</v>
      </c>
      <c r="AH418">
        <v>1</v>
      </c>
      <c r="AI418">
        <v>1</v>
      </c>
      <c r="AJ418">
        <v>1</v>
      </c>
      <c r="AK418">
        <v>1</v>
      </c>
    </row>
    <row r="419" spans="5:45" x14ac:dyDescent="0.25">
      <c r="M419">
        <v>1</v>
      </c>
      <c r="R419">
        <v>1</v>
      </c>
      <c r="AF419">
        <v>1</v>
      </c>
      <c r="AK419">
        <v>1</v>
      </c>
    </row>
    <row r="420" spans="5:45" x14ac:dyDescent="0.25">
      <c r="M420">
        <v>1</v>
      </c>
      <c r="R420">
        <v>1</v>
      </c>
      <c r="AF420">
        <v>1</v>
      </c>
      <c r="AK420">
        <v>1</v>
      </c>
    </row>
    <row r="421" spans="5:45" x14ac:dyDescent="0.25">
      <c r="M421">
        <v>1</v>
      </c>
      <c r="R421">
        <v>1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K421">
        <v>1</v>
      </c>
    </row>
    <row r="422" spans="5:45" x14ac:dyDescent="0.25">
      <c r="M422">
        <v>1</v>
      </c>
      <c r="R422">
        <v>1</v>
      </c>
      <c r="AF422">
        <v>1</v>
      </c>
      <c r="AK422">
        <v>1</v>
      </c>
    </row>
    <row r="423" spans="5:45" x14ac:dyDescent="0.25">
      <c r="M423">
        <v>1</v>
      </c>
      <c r="R423">
        <v>1</v>
      </c>
      <c r="AF423">
        <v>1</v>
      </c>
      <c r="AK423">
        <v>1</v>
      </c>
    </row>
    <row r="424" spans="5:45" x14ac:dyDescent="0.25">
      <c r="M424">
        <v>1</v>
      </c>
      <c r="R424">
        <v>1</v>
      </c>
      <c r="AF424">
        <v>1</v>
      </c>
      <c r="AK424">
        <v>1</v>
      </c>
    </row>
    <row r="425" spans="5:45" x14ac:dyDescent="0.25">
      <c r="E425">
        <v>1</v>
      </c>
      <c r="F425">
        <v>1</v>
      </c>
      <c r="G425">
        <v>1</v>
      </c>
      <c r="H425">
        <v>1</v>
      </c>
      <c r="I425">
        <v>1</v>
      </c>
      <c r="J425">
        <v>1</v>
      </c>
      <c r="K425">
        <v>1</v>
      </c>
      <c r="L425">
        <v>1</v>
      </c>
      <c r="M425">
        <v>1</v>
      </c>
      <c r="N425">
        <v>1</v>
      </c>
      <c r="O425">
        <v>1</v>
      </c>
      <c r="P425">
        <v>1</v>
      </c>
      <c r="Q425">
        <v>1</v>
      </c>
      <c r="R425">
        <v>1</v>
      </c>
      <c r="S425">
        <v>1</v>
      </c>
      <c r="T425">
        <v>1</v>
      </c>
      <c r="U425">
        <v>1</v>
      </c>
      <c r="V425">
        <v>1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>
        <v>1</v>
      </c>
      <c r="AH425">
        <v>1</v>
      </c>
      <c r="AI425">
        <v>1</v>
      </c>
      <c r="AJ425">
        <v>1</v>
      </c>
      <c r="AK425">
        <v>1</v>
      </c>
      <c r="AL425">
        <v>1</v>
      </c>
      <c r="AM425">
        <v>1</v>
      </c>
      <c r="AN425">
        <v>1</v>
      </c>
      <c r="AO425">
        <v>1</v>
      </c>
      <c r="AP425">
        <v>1</v>
      </c>
      <c r="AQ425">
        <v>1</v>
      </c>
      <c r="AR425">
        <v>1</v>
      </c>
      <c r="AS425">
        <v>1</v>
      </c>
    </row>
    <row r="426" spans="5:45" x14ac:dyDescent="0.25">
      <c r="E426">
        <v>1</v>
      </c>
      <c r="M426">
        <v>1</v>
      </c>
      <c r="V426">
        <v>1</v>
      </c>
      <c r="AA426">
        <v>1</v>
      </c>
      <c r="AK426">
        <v>1</v>
      </c>
      <c r="AS426">
        <v>1</v>
      </c>
    </row>
    <row r="427" spans="5:45" x14ac:dyDescent="0.25">
      <c r="E427">
        <v>1</v>
      </c>
      <c r="M427">
        <v>1</v>
      </c>
      <c r="V427">
        <v>1</v>
      </c>
      <c r="AA427">
        <v>1</v>
      </c>
      <c r="AK427">
        <v>1</v>
      </c>
      <c r="AS427">
        <v>1</v>
      </c>
    </row>
    <row r="428" spans="5:45" x14ac:dyDescent="0.25">
      <c r="E428">
        <v>1</v>
      </c>
      <c r="M428">
        <v>1</v>
      </c>
      <c r="V428">
        <v>1</v>
      </c>
      <c r="AA428">
        <v>1</v>
      </c>
      <c r="AK428">
        <v>1</v>
      </c>
      <c r="AS428">
        <v>1</v>
      </c>
    </row>
    <row r="429" spans="5:45" x14ac:dyDescent="0.25">
      <c r="E429">
        <v>1</v>
      </c>
      <c r="F429">
        <v>1</v>
      </c>
      <c r="G429">
        <v>1</v>
      </c>
      <c r="H429">
        <v>1</v>
      </c>
      <c r="M429">
        <v>1</v>
      </c>
      <c r="N429">
        <v>1</v>
      </c>
      <c r="O429">
        <v>1</v>
      </c>
      <c r="P429">
        <v>1</v>
      </c>
      <c r="Q429">
        <v>1</v>
      </c>
      <c r="R429">
        <v>1</v>
      </c>
      <c r="S429">
        <v>1</v>
      </c>
      <c r="T429">
        <v>1</v>
      </c>
      <c r="U429">
        <v>1</v>
      </c>
      <c r="V429">
        <v>1</v>
      </c>
      <c r="W429">
        <v>1</v>
      </c>
      <c r="X429">
        <v>1</v>
      </c>
      <c r="Y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>
        <v>1</v>
      </c>
      <c r="AH429">
        <v>1</v>
      </c>
      <c r="AI429">
        <v>1</v>
      </c>
      <c r="AJ429">
        <v>1</v>
      </c>
      <c r="AK429">
        <v>1</v>
      </c>
      <c r="AP429">
        <v>1</v>
      </c>
      <c r="AQ429">
        <v>1</v>
      </c>
      <c r="AR429">
        <v>1</v>
      </c>
      <c r="AS429">
        <v>1</v>
      </c>
    </row>
    <row r="430" spans="5:45" x14ac:dyDescent="0.25">
      <c r="H430">
        <v>1</v>
      </c>
      <c r="M430">
        <v>1</v>
      </c>
      <c r="R430">
        <v>1</v>
      </c>
      <c r="AF430">
        <v>1</v>
      </c>
      <c r="AK430">
        <v>1</v>
      </c>
      <c r="AP430">
        <v>1</v>
      </c>
    </row>
    <row r="431" spans="5:45" x14ac:dyDescent="0.25">
      <c r="H431">
        <v>1</v>
      </c>
      <c r="M431">
        <v>1</v>
      </c>
      <c r="R431">
        <v>1</v>
      </c>
      <c r="AF431">
        <v>1</v>
      </c>
      <c r="AK431">
        <v>1</v>
      </c>
      <c r="AP431">
        <v>1</v>
      </c>
    </row>
    <row r="432" spans="5:45" x14ac:dyDescent="0.25">
      <c r="H432">
        <v>1</v>
      </c>
      <c r="M432">
        <v>1</v>
      </c>
      <c r="R432">
        <v>1</v>
      </c>
      <c r="AF432">
        <v>1</v>
      </c>
      <c r="AK432">
        <v>1</v>
      </c>
      <c r="AP432">
        <v>1</v>
      </c>
    </row>
    <row r="433" spans="5:45" x14ac:dyDescent="0.25">
      <c r="E433">
        <v>1</v>
      </c>
      <c r="F433">
        <v>1</v>
      </c>
      <c r="G433">
        <v>1</v>
      </c>
      <c r="H433">
        <v>1</v>
      </c>
      <c r="I433">
        <v>1</v>
      </c>
      <c r="J433">
        <v>1</v>
      </c>
      <c r="K433">
        <v>1</v>
      </c>
      <c r="L433">
        <v>1</v>
      </c>
      <c r="M433">
        <v>1</v>
      </c>
      <c r="R433">
        <v>1</v>
      </c>
      <c r="S433">
        <v>1</v>
      </c>
      <c r="T433">
        <v>1</v>
      </c>
      <c r="U433">
        <v>1</v>
      </c>
      <c r="V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K433">
        <v>1</v>
      </c>
      <c r="AL433">
        <v>1</v>
      </c>
      <c r="AM433">
        <v>1</v>
      </c>
      <c r="AN433">
        <v>1</v>
      </c>
      <c r="AO433">
        <v>1</v>
      </c>
      <c r="AP433">
        <v>1</v>
      </c>
      <c r="AQ433">
        <v>1</v>
      </c>
      <c r="AR433">
        <v>1</v>
      </c>
      <c r="AS433">
        <v>1</v>
      </c>
    </row>
    <row r="434" spans="5:45" x14ac:dyDescent="0.25">
      <c r="E434">
        <v>1</v>
      </c>
      <c r="V434">
        <v>1</v>
      </c>
      <c r="AA434">
        <v>1</v>
      </c>
      <c r="AS434">
        <v>1</v>
      </c>
    </row>
    <row r="435" spans="5:45" x14ac:dyDescent="0.25">
      <c r="E435">
        <v>1</v>
      </c>
      <c r="V435">
        <v>1</v>
      </c>
      <c r="AA435">
        <v>1</v>
      </c>
      <c r="AS435">
        <v>1</v>
      </c>
    </row>
    <row r="436" spans="5:45" x14ac:dyDescent="0.25">
      <c r="E436">
        <v>1</v>
      </c>
      <c r="V436">
        <v>1</v>
      </c>
      <c r="AA436">
        <v>1</v>
      </c>
      <c r="AS436">
        <v>1</v>
      </c>
    </row>
    <row r="437" spans="5:45" x14ac:dyDescent="0.25">
      <c r="E437">
        <v>1</v>
      </c>
      <c r="F437">
        <v>1</v>
      </c>
      <c r="G437">
        <v>1</v>
      </c>
      <c r="H437">
        <v>1</v>
      </c>
      <c r="I437">
        <v>1</v>
      </c>
      <c r="J437">
        <v>1</v>
      </c>
      <c r="K437">
        <v>1</v>
      </c>
      <c r="L437">
        <v>1</v>
      </c>
      <c r="M437">
        <v>1</v>
      </c>
      <c r="N437">
        <v>1</v>
      </c>
      <c r="O437">
        <v>1</v>
      </c>
      <c r="P437">
        <v>1</v>
      </c>
      <c r="Q437">
        <v>1</v>
      </c>
      <c r="R437">
        <v>1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>
        <v>1</v>
      </c>
      <c r="AH437">
        <v>1</v>
      </c>
      <c r="AI437">
        <v>1</v>
      </c>
      <c r="AJ437">
        <v>1</v>
      </c>
      <c r="AK437">
        <v>1</v>
      </c>
      <c r="AL437">
        <v>1</v>
      </c>
      <c r="AM437">
        <v>1</v>
      </c>
      <c r="AN437">
        <v>1</v>
      </c>
      <c r="AO437">
        <v>1</v>
      </c>
      <c r="AP437">
        <v>1</v>
      </c>
      <c r="AQ437">
        <v>1</v>
      </c>
      <c r="AR437">
        <v>1</v>
      </c>
      <c r="AS437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Database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2017-09-21T12:07:10Z</dcterms:created>
  <dcterms:modified xsi:type="dcterms:W3CDTF">2017-09-24T14:04:42Z</dcterms:modified>
</cp:coreProperties>
</file>