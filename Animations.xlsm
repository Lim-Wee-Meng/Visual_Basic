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 activeTab="1"/>
  </bookViews>
  <sheets>
    <sheet name="Car" sheetId="1" r:id="rId1"/>
    <sheet name="Machine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2" l="1"/>
  <c r="F7" i="2"/>
  <c r="U4" i="2"/>
  <c r="T4" i="2"/>
  <c r="S4" i="2"/>
  <c r="R4" i="2"/>
  <c r="R5" i="2" s="1"/>
  <c r="Q4" i="2"/>
  <c r="P4" i="2"/>
  <c r="P5" i="2" s="1"/>
  <c r="O4" i="2"/>
  <c r="T5" i="2"/>
  <c r="O5" i="2"/>
  <c r="U5" i="2"/>
  <c r="S5" i="2"/>
  <c r="Q5" i="2"/>
  <c r="O7" i="2" l="1"/>
  <c r="O8" i="2" s="1"/>
</calcChain>
</file>

<file path=xl/sharedStrings.xml><?xml version="1.0" encoding="utf-8"?>
<sst xmlns="http://schemas.openxmlformats.org/spreadsheetml/2006/main" count="57" uniqueCount="34">
  <si>
    <t>Unloader</t>
  </si>
  <si>
    <t>Screen Printer</t>
  </si>
  <si>
    <t>Conveyor</t>
  </si>
  <si>
    <t>Pick &amp; Place</t>
  </si>
  <si>
    <t>Cool1</t>
  </si>
  <si>
    <t>Cool2</t>
  </si>
  <si>
    <t>Reflow</t>
  </si>
  <si>
    <t>Soaking</t>
  </si>
  <si>
    <t>RampUp</t>
  </si>
  <si>
    <t>PreHeat</t>
  </si>
  <si>
    <t>Loader</t>
  </si>
  <si>
    <t>Inspect</t>
  </si>
  <si>
    <t>Fiducial</t>
  </si>
  <si>
    <t>Clamping</t>
  </si>
  <si>
    <t># of Parts</t>
  </si>
  <si>
    <t>M Speed</t>
  </si>
  <si>
    <t>sec</t>
  </si>
  <si>
    <t>Total</t>
  </si>
  <si>
    <t>Temp</t>
  </si>
  <si>
    <t>Vision Align</t>
  </si>
  <si>
    <t>Loading</t>
  </si>
  <si>
    <t>C Speed</t>
  </si>
  <si>
    <t>Length</t>
  </si>
  <si>
    <t>Sec</t>
  </si>
  <si>
    <t>P Speed</t>
  </si>
  <si>
    <t>PCB Width</t>
  </si>
  <si>
    <t>/PCB</t>
  </si>
  <si>
    <t>Deg C</t>
  </si>
  <si>
    <t>mm</t>
  </si>
  <si>
    <t>mm/sec</t>
  </si>
  <si>
    <t>Time</t>
  </si>
  <si>
    <t>min</t>
  </si>
  <si>
    <t>Unloading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</si>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</sst>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9" formatCode="0.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6600"/>
        <bgColor indexed="64"/>
      </patternFill>
    </fill>
  </fills>
  <borders count="22">
    <border>
      <left/>
      <right/>
      <top/>
      <bottom/>
      <diagonal/>
    </border>
    <border>
      <left style="mediumDashed">
        <color auto="1"/>
      </left>
      <right style="mediumDashed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ed">
        <color auto="1"/>
      </right>
      <top style="medium">
        <color indexed="64"/>
      </top>
      <bottom style="medium">
        <color indexed="64"/>
      </bottom>
      <diagonal/>
    </border>
    <border>
      <left style="mediumDashed">
        <color auto="1"/>
      </left>
      <right style="mediumDashed">
        <color auto="1"/>
      </right>
      <top style="medium">
        <color indexed="64"/>
      </top>
      <bottom style="medium">
        <color indexed="64"/>
      </bottom>
      <diagonal/>
    </border>
    <border>
      <left style="mediumDash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5" borderId="0" xfId="0" applyFill="1"/>
    <xf numFmtId="0" fontId="0" fillId="5" borderId="1" xfId="0" applyFill="1" applyBorder="1"/>
    <xf numFmtId="0" fontId="0" fillId="6" borderId="0" xfId="0" applyFill="1"/>
    <xf numFmtId="0" fontId="0" fillId="7" borderId="0" xfId="0" applyFill="1"/>
    <xf numFmtId="0" fontId="0" fillId="7" borderId="1" xfId="0" applyFill="1" applyBorder="1"/>
    <xf numFmtId="0" fontId="0" fillId="8" borderId="0" xfId="0" applyFill="1"/>
    <xf numFmtId="0" fontId="0" fillId="9" borderId="0" xfId="0" applyFill="1"/>
    <xf numFmtId="0" fontId="0" fillId="2" borderId="5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3" borderId="2" xfId="0" applyFill="1" applyBorder="1"/>
    <xf numFmtId="0" fontId="0" fillId="9" borderId="2" xfId="0" applyFill="1" applyBorder="1"/>
    <xf numFmtId="2" fontId="0" fillId="8" borderId="7" xfId="0" applyNumberFormat="1" applyFill="1" applyBorder="1" applyAlignment="1">
      <alignment horizontal="center"/>
    </xf>
    <xf numFmtId="2" fontId="0" fillId="8" borderId="8" xfId="0" applyNumberFormat="1" applyFill="1" applyBorder="1" applyAlignment="1">
      <alignment horizontal="center"/>
    </xf>
    <xf numFmtId="2" fontId="0" fillId="8" borderId="9" xfId="0" applyNumberFormat="1" applyFill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10" borderId="1" xfId="0" applyFill="1" applyBorder="1"/>
    <xf numFmtId="0" fontId="0" fillId="10" borderId="0" xfId="0" applyFill="1"/>
    <xf numFmtId="0" fontId="0" fillId="6" borderId="1" xfId="0" applyFill="1" applyBorder="1" applyAlignment="1">
      <alignment horizontal="center"/>
    </xf>
    <xf numFmtId="0" fontId="0" fillId="11" borderId="1" xfId="0" applyFill="1" applyBorder="1"/>
    <xf numFmtId="0" fontId="0" fillId="11" borderId="0" xfId="0" applyFill="1"/>
    <xf numFmtId="0" fontId="0" fillId="12" borderId="1" xfId="0" applyFill="1" applyBorder="1"/>
    <xf numFmtId="0" fontId="0" fillId="12" borderId="0" xfId="0" applyFill="1"/>
    <xf numFmtId="0" fontId="2" fillId="10" borderId="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4" fillId="10" borderId="11" xfId="0" applyFont="1" applyFill="1" applyBorder="1" applyAlignment="1">
      <alignment horizontal="center"/>
    </xf>
    <xf numFmtId="0" fontId="4" fillId="11" borderId="12" xfId="0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169" fontId="4" fillId="10" borderId="1" xfId="0" applyNumberFormat="1" applyFont="1" applyFill="1" applyBorder="1" applyAlignment="1">
      <alignment horizontal="center"/>
    </xf>
    <xf numFmtId="169" fontId="4" fillId="11" borderId="1" xfId="0" applyNumberFormat="1" applyFont="1" applyFill="1" applyBorder="1" applyAlignment="1">
      <alignment horizontal="center"/>
    </xf>
    <xf numFmtId="169" fontId="4" fillId="12" borderId="1" xfId="0" applyNumberFormat="1" applyFont="1" applyFill="1" applyBorder="1" applyAlignment="1">
      <alignment horizontal="center"/>
    </xf>
    <xf numFmtId="169" fontId="4" fillId="7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169" fontId="0" fillId="5" borderId="1" xfId="0" applyNumberForma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69" fontId="0" fillId="4" borderId="1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2" borderId="15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 wrapText="1"/>
    </xf>
    <xf numFmtId="0" fontId="0" fillId="2" borderId="21" xfId="0" applyFill="1" applyBorder="1" applyAlignment="1">
      <alignment horizontal="center" vertical="center" wrapText="1"/>
    </xf>
    <xf numFmtId="1" fontId="0" fillId="2" borderId="14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F7C80"/>
      <color rgb="FFFF9999"/>
      <color rgb="FFFFCCCC"/>
      <color rgb="FFFF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5" Type="http://schemas.openxmlformats.org/officeDocument/2006/relationships/image" Target="../media/image5.gif"/><Relationship Id="rId4" Type="http://schemas.openxmlformats.org/officeDocument/2006/relationships/image" Target="../media/image4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0</xdr:rowOff>
        </xdr:from>
        <xdr:to>
          <xdr:col>1</xdr:col>
          <xdr:colOff>47625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266700</xdr:colOff>
      <xdr:row>7</xdr:row>
      <xdr:rowOff>171450</xdr:rowOff>
    </xdr:from>
    <xdr:to>
      <xdr:col>16</xdr:col>
      <xdr:colOff>371475</xdr:colOff>
      <xdr:row>8</xdr:row>
      <xdr:rowOff>0</xdr:rowOff>
    </xdr:to>
    <xdr:cxnSp macro="">
      <xdr:nvCxnSpPr>
        <xdr:cNvPr id="5" name="Straight Connector 4"/>
        <xdr:cNvCxnSpPr/>
      </xdr:nvCxnSpPr>
      <xdr:spPr>
        <a:xfrm>
          <a:off x="266700" y="1504950"/>
          <a:ext cx="9858375" cy="19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9525</xdr:colOff>
      <xdr:row>2</xdr:row>
      <xdr:rowOff>133350</xdr:rowOff>
    </xdr:from>
    <xdr:to>
      <xdr:col>10</xdr:col>
      <xdr:colOff>171450</xdr:colOff>
      <xdr:row>8</xdr:row>
      <xdr:rowOff>38100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5" y="514350"/>
          <a:ext cx="771525" cy="1047750"/>
        </a:xfrm>
        <a:prstGeom prst="rect">
          <a:avLst/>
        </a:prstGeom>
      </xdr:spPr>
    </xdr:pic>
    <xdr:clientData/>
  </xdr:twoCellAnchor>
  <xdr:twoCellAnchor editAs="oneCell">
    <xdr:from>
      <xdr:col>8</xdr:col>
      <xdr:colOff>83325</xdr:colOff>
      <xdr:row>5</xdr:row>
      <xdr:rowOff>54750</xdr:rowOff>
    </xdr:from>
    <xdr:to>
      <xdr:col>8</xdr:col>
      <xdr:colOff>416700</xdr:colOff>
      <xdr:row>8</xdr:row>
      <xdr:rowOff>26175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0125" y="1007250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5</xdr:col>
      <xdr:colOff>338100</xdr:colOff>
      <xdr:row>2</xdr:row>
      <xdr:rowOff>157125</xdr:rowOff>
    </xdr:from>
    <xdr:to>
      <xdr:col>7</xdr:col>
      <xdr:colOff>14250</xdr:colOff>
      <xdr:row>8</xdr:row>
      <xdr:rowOff>23775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100" y="538125"/>
          <a:ext cx="895350" cy="1009650"/>
        </a:xfrm>
        <a:prstGeom prst="rect">
          <a:avLst/>
        </a:prstGeom>
      </xdr:spPr>
    </xdr:pic>
    <xdr:clientData/>
  </xdr:twoCellAnchor>
  <xdr:twoCellAnchor editAs="oneCell">
    <xdr:from>
      <xdr:col>10</xdr:col>
      <xdr:colOff>49950</xdr:colOff>
      <xdr:row>2</xdr:row>
      <xdr:rowOff>116625</xdr:rowOff>
    </xdr:from>
    <xdr:to>
      <xdr:col>11</xdr:col>
      <xdr:colOff>316650</xdr:colOff>
      <xdr:row>8</xdr:row>
      <xdr:rowOff>21375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5950" y="497625"/>
          <a:ext cx="876300" cy="1047750"/>
        </a:xfrm>
        <a:prstGeom prst="rect">
          <a:avLst/>
        </a:prstGeom>
      </xdr:spPr>
    </xdr:pic>
    <xdr:clientData/>
  </xdr:twoCellAnchor>
  <xdr:twoCellAnchor editAs="oneCell">
    <xdr:from>
      <xdr:col>6</xdr:col>
      <xdr:colOff>404775</xdr:colOff>
      <xdr:row>2</xdr:row>
      <xdr:rowOff>166650</xdr:rowOff>
    </xdr:from>
    <xdr:to>
      <xdr:col>8</xdr:col>
      <xdr:colOff>80925</xdr:colOff>
      <xdr:row>8</xdr:row>
      <xdr:rowOff>33300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2375" y="547650"/>
          <a:ext cx="895350" cy="100965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2</xdr:row>
      <xdr:rowOff>152400</xdr:rowOff>
    </xdr:from>
    <xdr:to>
      <xdr:col>5</xdr:col>
      <xdr:colOff>571500</xdr:colOff>
      <xdr:row>8</xdr:row>
      <xdr:rowOff>19050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514600" y="533400"/>
          <a:ext cx="1104900" cy="1009650"/>
        </a:xfrm>
        <a:prstGeom prst="rect">
          <a:avLst/>
        </a:prstGeom>
      </xdr:spPr>
    </xdr:pic>
    <xdr:clientData/>
  </xdr:twoCellAnchor>
  <xdr:twoCellAnchor editAs="oneCell">
    <xdr:from>
      <xdr:col>8</xdr:col>
      <xdr:colOff>407175</xdr:colOff>
      <xdr:row>5</xdr:row>
      <xdr:rowOff>64275</xdr:rowOff>
    </xdr:from>
    <xdr:to>
      <xdr:col>9</xdr:col>
      <xdr:colOff>130950</xdr:colOff>
      <xdr:row>8</xdr:row>
      <xdr:rowOff>35700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3975" y="1016775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3</xdr:col>
      <xdr:colOff>369075</xdr:colOff>
      <xdr:row>5</xdr:row>
      <xdr:rowOff>35700</xdr:rowOff>
    </xdr:from>
    <xdr:to>
      <xdr:col>4</xdr:col>
      <xdr:colOff>92850</xdr:colOff>
      <xdr:row>8</xdr:row>
      <xdr:rowOff>7125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875" y="988200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5</xdr:row>
      <xdr:rowOff>38100</xdr:rowOff>
    </xdr:from>
    <xdr:to>
      <xdr:col>3</xdr:col>
      <xdr:colOff>371475</xdr:colOff>
      <xdr:row>8</xdr:row>
      <xdr:rowOff>9525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990600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5</xdr:row>
      <xdr:rowOff>47625</xdr:rowOff>
    </xdr:from>
    <xdr:to>
      <xdr:col>3</xdr:col>
      <xdr:colOff>57150</xdr:colOff>
      <xdr:row>8</xdr:row>
      <xdr:rowOff>19050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1000125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304800</xdr:colOff>
      <xdr:row>5</xdr:row>
      <xdr:rowOff>47625</xdr:rowOff>
    </xdr:from>
    <xdr:to>
      <xdr:col>12</xdr:col>
      <xdr:colOff>28575</xdr:colOff>
      <xdr:row>8</xdr:row>
      <xdr:rowOff>19050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1000125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11</xdr:col>
      <xdr:colOff>590550</xdr:colOff>
      <xdr:row>5</xdr:row>
      <xdr:rowOff>57150</xdr:rowOff>
    </xdr:from>
    <xdr:to>
      <xdr:col>12</xdr:col>
      <xdr:colOff>314325</xdr:colOff>
      <xdr:row>8</xdr:row>
      <xdr:rowOff>28575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6150" y="1009650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476250</xdr:colOff>
      <xdr:row>5</xdr:row>
      <xdr:rowOff>57150</xdr:rowOff>
    </xdr:from>
    <xdr:to>
      <xdr:col>13</xdr:col>
      <xdr:colOff>200025</xdr:colOff>
      <xdr:row>8</xdr:row>
      <xdr:rowOff>28575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1009650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</xdr:row>
      <xdr:rowOff>133350</xdr:rowOff>
    </xdr:from>
    <xdr:to>
      <xdr:col>14</xdr:col>
      <xdr:colOff>161925</xdr:colOff>
      <xdr:row>8</xdr:row>
      <xdr:rowOff>38100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514350"/>
          <a:ext cx="771525" cy="1047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57150</xdr:rowOff>
    </xdr:from>
    <xdr:to>
      <xdr:col>14</xdr:col>
      <xdr:colOff>381000</xdr:colOff>
      <xdr:row>8</xdr:row>
      <xdr:rowOff>28575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025" y="1009650"/>
          <a:ext cx="333375" cy="542925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7</xdr:row>
      <xdr:rowOff>63500</xdr:rowOff>
    </xdr:from>
    <xdr:to>
      <xdr:col>16</xdr:col>
      <xdr:colOff>279400</xdr:colOff>
      <xdr:row>8</xdr:row>
      <xdr:rowOff>5752</xdr:rowOff>
    </xdr:to>
    <xdr:pic>
      <xdr:nvPicPr>
        <xdr:cNvPr id="3" name="Picture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1397000"/>
          <a:ext cx="508000" cy="1327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349604</xdr:colOff>
      <xdr:row>6</xdr:row>
      <xdr:rowOff>191027</xdr:rowOff>
    </xdr:from>
    <xdr:to>
      <xdr:col>11</xdr:col>
      <xdr:colOff>561872</xdr:colOff>
      <xdr:row>19</xdr:row>
      <xdr:rowOff>70158</xdr:rowOff>
    </xdr:to>
    <xdr:grpSp>
      <xdr:nvGrpSpPr>
        <xdr:cNvPr id="110" name="Group 109"/>
        <xdr:cNvGrpSpPr/>
      </xdr:nvGrpSpPr>
      <xdr:grpSpPr>
        <a:xfrm>
          <a:off x="6112229" y="1381652"/>
          <a:ext cx="2129174" cy="2367537"/>
          <a:chOff x="4076240" y="1895705"/>
          <a:chExt cx="2034380" cy="2326970"/>
        </a:xfrm>
      </xdr:grpSpPr>
      <xdr:sp macro="" textlink="">
        <xdr:nvSpPr>
          <xdr:cNvPr id="103" name="Rounded Rectangle 102"/>
          <xdr:cNvSpPr/>
        </xdr:nvSpPr>
        <xdr:spPr>
          <a:xfrm>
            <a:off x="4435770" y="4097965"/>
            <a:ext cx="60915" cy="121831"/>
          </a:xfrm>
          <a:prstGeom prst="roundRect">
            <a:avLst>
              <a:gd name="adj" fmla="val 50000"/>
            </a:avLst>
          </a:prstGeom>
          <a:gradFill>
            <a:gsLst>
              <a:gs pos="28000">
                <a:schemeClr val="bg1">
                  <a:lumMod val="50000"/>
                </a:schemeClr>
              </a:gs>
              <a:gs pos="47000">
                <a:schemeClr val="bg1"/>
              </a:gs>
              <a:gs pos="61000">
                <a:schemeClr val="bg1"/>
              </a:gs>
              <a:gs pos="74000">
                <a:schemeClr val="bg1">
                  <a:lumMod val="50000"/>
                </a:schemeClr>
              </a:gs>
            </a:gsLst>
            <a:lin ang="0" scaled="0"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4" name="Rounded Rectangle 103"/>
          <xdr:cNvSpPr/>
        </xdr:nvSpPr>
        <xdr:spPr>
          <a:xfrm>
            <a:off x="5446528" y="4100844"/>
            <a:ext cx="60915" cy="121831"/>
          </a:xfrm>
          <a:prstGeom prst="roundRect">
            <a:avLst>
              <a:gd name="adj" fmla="val 50000"/>
            </a:avLst>
          </a:prstGeom>
          <a:gradFill>
            <a:gsLst>
              <a:gs pos="28000">
                <a:schemeClr val="bg1">
                  <a:lumMod val="50000"/>
                </a:schemeClr>
              </a:gs>
              <a:gs pos="47000">
                <a:schemeClr val="bg1"/>
              </a:gs>
              <a:gs pos="61000">
                <a:schemeClr val="bg1"/>
              </a:gs>
              <a:gs pos="74000">
                <a:schemeClr val="bg1">
                  <a:lumMod val="50000"/>
                </a:schemeClr>
              </a:gs>
            </a:gsLst>
            <a:lin ang="0" scaled="0"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99" name="Group 98"/>
          <xdr:cNvGrpSpPr/>
        </xdr:nvGrpSpPr>
        <xdr:grpSpPr>
          <a:xfrm>
            <a:off x="4147805" y="4064739"/>
            <a:ext cx="132907" cy="155057"/>
            <a:chOff x="4147805" y="4064739"/>
            <a:chExt cx="132907" cy="155057"/>
          </a:xfrm>
        </xdr:grpSpPr>
        <xdr:sp macro="" textlink="">
          <xdr:nvSpPr>
            <xdr:cNvPr id="97" name="Rectangle 96"/>
            <xdr:cNvSpPr/>
          </xdr:nvSpPr>
          <xdr:spPr>
            <a:xfrm>
              <a:off x="4175494" y="4064739"/>
              <a:ext cx="71991" cy="94142"/>
            </a:xfrm>
            <a:prstGeom prst="rect">
              <a:avLst/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Trapezoid 97"/>
            <xdr:cNvSpPr/>
          </xdr:nvSpPr>
          <xdr:spPr>
            <a:xfrm>
              <a:off x="4147805" y="4164417"/>
              <a:ext cx="132907" cy="55379"/>
            </a:xfrm>
            <a:prstGeom prst="trapezoid">
              <a:avLst>
                <a:gd name="adj" fmla="val 37500"/>
              </a:avLst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00" name="Group 99"/>
          <xdr:cNvGrpSpPr/>
        </xdr:nvGrpSpPr>
        <xdr:grpSpPr>
          <a:xfrm>
            <a:off x="5845248" y="4051005"/>
            <a:ext cx="132907" cy="155057"/>
            <a:chOff x="4147805" y="4064739"/>
            <a:chExt cx="132907" cy="155057"/>
          </a:xfrm>
        </xdr:grpSpPr>
        <xdr:sp macro="" textlink="">
          <xdr:nvSpPr>
            <xdr:cNvPr id="101" name="Rectangle 100"/>
            <xdr:cNvSpPr/>
          </xdr:nvSpPr>
          <xdr:spPr>
            <a:xfrm>
              <a:off x="4175494" y="4064739"/>
              <a:ext cx="71991" cy="94142"/>
            </a:xfrm>
            <a:prstGeom prst="rect">
              <a:avLst/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2" name="Trapezoid 101"/>
            <xdr:cNvSpPr/>
          </xdr:nvSpPr>
          <xdr:spPr>
            <a:xfrm>
              <a:off x="4147805" y="4164417"/>
              <a:ext cx="132907" cy="55379"/>
            </a:xfrm>
            <a:prstGeom prst="trapezoid">
              <a:avLst>
                <a:gd name="adj" fmla="val 37500"/>
              </a:avLst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95" name="Rectangle 94"/>
          <xdr:cNvSpPr/>
        </xdr:nvSpPr>
        <xdr:spPr>
          <a:xfrm>
            <a:off x="4418009" y="4023678"/>
            <a:ext cx="1090540" cy="147629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4" name="Rectangle 93"/>
          <xdr:cNvSpPr/>
        </xdr:nvSpPr>
        <xdr:spPr>
          <a:xfrm>
            <a:off x="4391874" y="3667436"/>
            <a:ext cx="1168946" cy="350434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Rectangle 92"/>
          <xdr:cNvSpPr/>
        </xdr:nvSpPr>
        <xdr:spPr>
          <a:xfrm>
            <a:off x="4319275" y="2850408"/>
            <a:ext cx="1302528" cy="814124"/>
          </a:xfrm>
          <a:prstGeom prst="rect">
            <a:avLst/>
          </a:prstGeom>
          <a:solidFill>
            <a:schemeClr val="bg2">
              <a:lumMod val="2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/>
          <xdr:cNvSpPr/>
        </xdr:nvSpPr>
        <xdr:spPr>
          <a:xfrm>
            <a:off x="4149691" y="2806339"/>
            <a:ext cx="162032" cy="1260845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/>
          <xdr:cNvSpPr/>
        </xdr:nvSpPr>
        <xdr:spPr>
          <a:xfrm>
            <a:off x="4076240" y="2090916"/>
            <a:ext cx="232552" cy="75313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/>
          <xdr:cNvSpPr/>
        </xdr:nvSpPr>
        <xdr:spPr>
          <a:xfrm>
            <a:off x="4305313" y="2052284"/>
            <a:ext cx="1305321" cy="808624"/>
          </a:xfrm>
          <a:prstGeom prst="rect">
            <a:avLst/>
          </a:prstGeom>
          <a:solidFill>
            <a:schemeClr val="bg1">
              <a:lumMod val="50000"/>
              <a:alpha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5748014" y="1948435"/>
            <a:ext cx="169435" cy="82427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75000"/>
                </a:schemeClr>
              </a:gs>
              <a:gs pos="47000">
                <a:schemeClr val="bg1"/>
              </a:gs>
              <a:gs pos="61000">
                <a:schemeClr val="bg1"/>
              </a:gs>
              <a:gs pos="100000">
                <a:schemeClr val="bg1">
                  <a:lumMod val="75000"/>
                </a:schemeClr>
              </a:gs>
            </a:gsLst>
            <a:lin ang="0" scaled="1"/>
            <a:tileRect/>
          </a:gra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Rectangle 7"/>
          <xdr:cNvSpPr/>
        </xdr:nvSpPr>
        <xdr:spPr>
          <a:xfrm>
            <a:off x="5626020" y="2801027"/>
            <a:ext cx="390525" cy="1260845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5619793" y="2036166"/>
            <a:ext cx="425878" cy="746362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Rectangle 2"/>
          <xdr:cNvSpPr/>
        </xdr:nvSpPr>
        <xdr:spPr>
          <a:xfrm>
            <a:off x="5539563" y="2025724"/>
            <a:ext cx="571057" cy="395620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5606238" y="2054299"/>
            <a:ext cx="371475" cy="28132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Oval 9"/>
          <xdr:cNvSpPr/>
        </xdr:nvSpPr>
        <xdr:spPr>
          <a:xfrm>
            <a:off x="5720171" y="2575375"/>
            <a:ext cx="96533" cy="115566"/>
          </a:xfrm>
          <a:prstGeom prst="ellipse">
            <a:avLst/>
          </a:prstGeom>
          <a:solidFill>
            <a:srgbClr val="FFFF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/>
          <xdr:cNvSpPr/>
        </xdr:nvSpPr>
        <xdr:spPr>
          <a:xfrm>
            <a:off x="5743435" y="2612558"/>
            <a:ext cx="50373" cy="50906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 w="508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/>
          <xdr:cNvSpPr/>
        </xdr:nvSpPr>
        <xdr:spPr>
          <a:xfrm>
            <a:off x="5665587" y="2506499"/>
            <a:ext cx="73269" cy="45794"/>
          </a:xfrm>
          <a:prstGeom prst="rect">
            <a:avLst/>
          </a:prstGeom>
          <a:solidFill>
            <a:schemeClr val="bg1">
              <a:lumMod val="65000"/>
            </a:schemeClr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Rectangle 13"/>
          <xdr:cNvSpPr/>
        </xdr:nvSpPr>
        <xdr:spPr>
          <a:xfrm>
            <a:off x="5758456" y="2506499"/>
            <a:ext cx="73269" cy="45794"/>
          </a:xfrm>
          <a:prstGeom prst="rect">
            <a:avLst/>
          </a:prstGeom>
          <a:solidFill>
            <a:srgbClr val="92D050"/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5846745" y="2506499"/>
            <a:ext cx="73269" cy="45794"/>
          </a:xfrm>
          <a:prstGeom prst="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ectangle 15"/>
          <xdr:cNvSpPr/>
        </xdr:nvSpPr>
        <xdr:spPr>
          <a:xfrm>
            <a:off x="5935035" y="2506499"/>
            <a:ext cx="73269" cy="45794"/>
          </a:xfrm>
          <a:prstGeom prst="rect">
            <a:avLst/>
          </a:prstGeom>
          <a:solidFill>
            <a:schemeClr val="bg2">
              <a:lumMod val="90000"/>
            </a:schemeClr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Rectangle 16"/>
          <xdr:cNvSpPr/>
        </xdr:nvSpPr>
        <xdr:spPr>
          <a:xfrm>
            <a:off x="5674745" y="3154517"/>
            <a:ext cx="320553" cy="2758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4" name="Group 23"/>
          <xdr:cNvGrpSpPr/>
        </xdr:nvGrpSpPr>
        <xdr:grpSpPr>
          <a:xfrm>
            <a:off x="4817645" y="2814176"/>
            <a:ext cx="50374" cy="662835"/>
            <a:chOff x="4812872" y="2880396"/>
            <a:chExt cx="50374" cy="679022"/>
          </a:xfrm>
        </xdr:grpSpPr>
        <xdr:sp macro="" textlink="">
          <xdr:nvSpPr>
            <xdr:cNvPr id="20" name="Rectangle 19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2" name="Straight Connector 21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Straight Connector 22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5" name="Group 24"/>
          <xdr:cNvGrpSpPr/>
        </xdr:nvGrpSpPr>
        <xdr:grpSpPr>
          <a:xfrm>
            <a:off x="4753927" y="2814176"/>
            <a:ext cx="50374" cy="662835"/>
            <a:chOff x="4812872" y="2880396"/>
            <a:chExt cx="50374" cy="679022"/>
          </a:xfrm>
        </xdr:grpSpPr>
        <xdr:sp macro="" textlink="">
          <xdr:nvSpPr>
            <xdr:cNvPr id="26" name="Rectangle 25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7" name="Straight Connector 26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Straight Connector 27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9" name="Group 28"/>
          <xdr:cNvGrpSpPr/>
        </xdr:nvGrpSpPr>
        <xdr:grpSpPr>
          <a:xfrm>
            <a:off x="4690209" y="2814176"/>
            <a:ext cx="50374" cy="662835"/>
            <a:chOff x="4812872" y="2880396"/>
            <a:chExt cx="50374" cy="679022"/>
          </a:xfrm>
        </xdr:grpSpPr>
        <xdr:sp macro="" textlink="">
          <xdr:nvSpPr>
            <xdr:cNvPr id="30" name="Rectangle 29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1" name="Straight Connector 30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Straight Connector 31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3" name="Group 32"/>
          <xdr:cNvGrpSpPr/>
        </xdr:nvGrpSpPr>
        <xdr:grpSpPr>
          <a:xfrm>
            <a:off x="4880687" y="2814176"/>
            <a:ext cx="45719" cy="661095"/>
            <a:chOff x="4812872" y="2880396"/>
            <a:chExt cx="50374" cy="679022"/>
          </a:xfrm>
        </xdr:grpSpPr>
        <xdr:sp macro="" textlink="">
          <xdr:nvSpPr>
            <xdr:cNvPr id="34" name="Rectangle 33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5" name="Straight Connector 34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" name="Straight Connector 35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7" name="Group 36"/>
          <xdr:cNvGrpSpPr/>
        </xdr:nvGrpSpPr>
        <xdr:grpSpPr>
          <a:xfrm>
            <a:off x="4939750" y="2814176"/>
            <a:ext cx="45719" cy="661095"/>
            <a:chOff x="4812872" y="2880396"/>
            <a:chExt cx="50374" cy="679022"/>
          </a:xfrm>
        </xdr:grpSpPr>
        <xdr:sp macro="" textlink="">
          <xdr:nvSpPr>
            <xdr:cNvPr id="38" name="Rectangle 37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9" name="Straight Connector 38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0" name="Straight Connector 39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1" name="Group 40"/>
          <xdr:cNvGrpSpPr/>
        </xdr:nvGrpSpPr>
        <xdr:grpSpPr>
          <a:xfrm>
            <a:off x="4998813" y="2814176"/>
            <a:ext cx="45719" cy="661095"/>
            <a:chOff x="4812872" y="2880396"/>
            <a:chExt cx="50374" cy="679022"/>
          </a:xfrm>
        </xdr:grpSpPr>
        <xdr:sp macro="" textlink="">
          <xdr:nvSpPr>
            <xdr:cNvPr id="42" name="Rectangle 41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43" name="Straight Connector 42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5" name="Group 44"/>
          <xdr:cNvGrpSpPr/>
        </xdr:nvGrpSpPr>
        <xdr:grpSpPr>
          <a:xfrm>
            <a:off x="5057876" y="2814176"/>
            <a:ext cx="45719" cy="661095"/>
            <a:chOff x="4812872" y="2880396"/>
            <a:chExt cx="50374" cy="679022"/>
          </a:xfrm>
        </xdr:grpSpPr>
        <xdr:sp macro="" textlink="">
          <xdr:nvSpPr>
            <xdr:cNvPr id="46" name="Rectangle 45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47" name="Straight Connector 46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" name="Straight Connector 47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9" name="Group 48"/>
          <xdr:cNvGrpSpPr/>
        </xdr:nvGrpSpPr>
        <xdr:grpSpPr>
          <a:xfrm>
            <a:off x="5116939" y="2814176"/>
            <a:ext cx="45719" cy="661095"/>
            <a:chOff x="4812872" y="2880396"/>
            <a:chExt cx="50374" cy="679022"/>
          </a:xfrm>
        </xdr:grpSpPr>
        <xdr:sp macro="" textlink="">
          <xdr:nvSpPr>
            <xdr:cNvPr id="50" name="Rectangle 49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51" name="Straight Connector 50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Straight Connector 51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3" name="Group 52"/>
          <xdr:cNvGrpSpPr/>
        </xdr:nvGrpSpPr>
        <xdr:grpSpPr>
          <a:xfrm>
            <a:off x="5176002" y="2814176"/>
            <a:ext cx="97573" cy="661095"/>
            <a:chOff x="4812872" y="2880396"/>
            <a:chExt cx="50374" cy="679022"/>
          </a:xfrm>
        </xdr:grpSpPr>
        <xdr:sp macro="" textlink="">
          <xdr:nvSpPr>
            <xdr:cNvPr id="54" name="Rectangle 53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55" name="Straight Connector 54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" name="Straight Connector 55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7" name="Group 56"/>
          <xdr:cNvGrpSpPr/>
        </xdr:nvGrpSpPr>
        <xdr:grpSpPr>
          <a:xfrm>
            <a:off x="5286919" y="2814176"/>
            <a:ext cx="97573" cy="661095"/>
            <a:chOff x="4812872" y="2880396"/>
            <a:chExt cx="50374" cy="679022"/>
          </a:xfrm>
        </xdr:grpSpPr>
        <xdr:sp macro="" textlink="">
          <xdr:nvSpPr>
            <xdr:cNvPr id="58" name="Rectangle 57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59" name="Straight Connector 58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" name="Straight Connector 59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1" name="Group 60"/>
          <xdr:cNvGrpSpPr/>
        </xdr:nvGrpSpPr>
        <xdr:grpSpPr>
          <a:xfrm>
            <a:off x="5397836" y="2814176"/>
            <a:ext cx="96898" cy="661095"/>
            <a:chOff x="4812872" y="2880396"/>
            <a:chExt cx="50374" cy="679022"/>
          </a:xfrm>
        </xdr:grpSpPr>
        <xdr:sp macro="" textlink="">
          <xdr:nvSpPr>
            <xdr:cNvPr id="62" name="Rectangle 61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63" name="Straight Connector 62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Straight Connector 63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5" name="Group 64"/>
          <xdr:cNvGrpSpPr/>
        </xdr:nvGrpSpPr>
        <xdr:grpSpPr>
          <a:xfrm>
            <a:off x="5508084" y="2814176"/>
            <a:ext cx="97573" cy="661095"/>
            <a:chOff x="4812872" y="2880396"/>
            <a:chExt cx="50374" cy="679022"/>
          </a:xfrm>
        </xdr:grpSpPr>
        <xdr:sp macro="" textlink="">
          <xdr:nvSpPr>
            <xdr:cNvPr id="66" name="Rectangle 65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50000"/>
                  </a:schemeClr>
                </a:gs>
              </a:gsLst>
              <a:lin ang="5400000" scaled="1"/>
              <a:tileRect/>
            </a:gra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67" name="Straight Connector 66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" name="Straight Connector 67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9" name="Group 68"/>
          <xdr:cNvGrpSpPr/>
        </xdr:nvGrpSpPr>
        <xdr:grpSpPr>
          <a:xfrm>
            <a:off x="4618601" y="2814176"/>
            <a:ext cx="58264" cy="407110"/>
            <a:chOff x="4812872" y="2880396"/>
            <a:chExt cx="50374" cy="679022"/>
          </a:xfrm>
        </xdr:grpSpPr>
        <xdr:sp macro="" textlink="">
          <xdr:nvSpPr>
            <xdr:cNvPr id="70" name="Rectangle 69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solidFill>
              <a:schemeClr val="bg2">
                <a:lumMod val="2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71" name="Straight Connector 70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" name="Straight Connector 71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7" name="Group 76"/>
          <xdr:cNvGrpSpPr/>
        </xdr:nvGrpSpPr>
        <xdr:grpSpPr>
          <a:xfrm>
            <a:off x="4546993" y="2814176"/>
            <a:ext cx="58264" cy="407110"/>
            <a:chOff x="4812872" y="2880396"/>
            <a:chExt cx="50374" cy="679022"/>
          </a:xfrm>
        </xdr:grpSpPr>
        <xdr:sp macro="" textlink="">
          <xdr:nvSpPr>
            <xdr:cNvPr id="78" name="Rectangle 77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solidFill>
              <a:schemeClr val="bg2">
                <a:lumMod val="2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79" name="Straight Connector 78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" name="Straight Connector 79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81" name="Group 80"/>
          <xdr:cNvGrpSpPr/>
        </xdr:nvGrpSpPr>
        <xdr:grpSpPr>
          <a:xfrm>
            <a:off x="4475385" y="2814176"/>
            <a:ext cx="58264" cy="407110"/>
            <a:chOff x="4812872" y="2880396"/>
            <a:chExt cx="50374" cy="679022"/>
          </a:xfrm>
        </xdr:grpSpPr>
        <xdr:sp macro="" textlink="">
          <xdr:nvSpPr>
            <xdr:cNvPr id="82" name="Rectangle 81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solidFill>
              <a:schemeClr val="bg2">
                <a:lumMod val="2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83" name="Straight Connector 82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Straight Connector 83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85" name="Group 84"/>
          <xdr:cNvGrpSpPr/>
        </xdr:nvGrpSpPr>
        <xdr:grpSpPr>
          <a:xfrm>
            <a:off x="4403777" y="2814176"/>
            <a:ext cx="58264" cy="407110"/>
            <a:chOff x="4812872" y="2880396"/>
            <a:chExt cx="50374" cy="679022"/>
          </a:xfrm>
        </xdr:grpSpPr>
        <xdr:sp macro="" textlink="">
          <xdr:nvSpPr>
            <xdr:cNvPr id="86" name="Rectangle 85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solidFill>
              <a:schemeClr val="bg2">
                <a:lumMod val="2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87" name="Straight Connector 86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8" name="Straight Connector 87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89" name="Group 88"/>
          <xdr:cNvGrpSpPr/>
        </xdr:nvGrpSpPr>
        <xdr:grpSpPr>
          <a:xfrm>
            <a:off x="4332169" y="2814176"/>
            <a:ext cx="58264" cy="407110"/>
            <a:chOff x="4812872" y="2880396"/>
            <a:chExt cx="50374" cy="679022"/>
          </a:xfrm>
        </xdr:grpSpPr>
        <xdr:sp macro="" textlink="">
          <xdr:nvSpPr>
            <xdr:cNvPr id="90" name="Rectangle 89"/>
            <xdr:cNvSpPr/>
          </xdr:nvSpPr>
          <xdr:spPr>
            <a:xfrm>
              <a:off x="4812872" y="2981142"/>
              <a:ext cx="45719" cy="453353"/>
            </a:xfrm>
            <a:prstGeom prst="rect">
              <a:avLst/>
            </a:prstGeom>
            <a:solidFill>
              <a:schemeClr val="bg2">
                <a:lumMod val="2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/>
            <xdr:cNvCxnSpPr/>
          </xdr:nvCxnSpPr>
          <xdr:spPr>
            <a:xfrm>
              <a:off x="4863246" y="2880396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/>
            <xdr:cNvCxnSpPr/>
          </xdr:nvCxnSpPr>
          <xdr:spPr>
            <a:xfrm>
              <a:off x="4818735" y="2881678"/>
              <a:ext cx="0" cy="6777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Rounded Rectangle 95"/>
          <xdr:cNvSpPr/>
        </xdr:nvSpPr>
        <xdr:spPr>
          <a:xfrm>
            <a:off x="4896487" y="3748747"/>
            <a:ext cx="139390" cy="42342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9" name="Group 108"/>
          <xdr:cNvGrpSpPr/>
        </xdr:nvGrpSpPr>
        <xdr:grpSpPr>
          <a:xfrm>
            <a:off x="5748227" y="1895705"/>
            <a:ext cx="171672" cy="47611"/>
            <a:chOff x="1774973" y="2248122"/>
            <a:chExt cx="628429" cy="458356"/>
          </a:xfrm>
        </xdr:grpSpPr>
        <xdr:sp macro="" textlink="">
          <xdr:nvSpPr>
            <xdr:cNvPr id="108" name="Round Same Side Corner Rectangle 107"/>
            <xdr:cNvSpPr/>
          </xdr:nvSpPr>
          <xdr:spPr>
            <a:xfrm>
              <a:off x="1774973" y="2248122"/>
              <a:ext cx="310115" cy="437481"/>
            </a:xfrm>
            <a:prstGeom prst="round2SameRect">
              <a:avLst/>
            </a:prstGeom>
            <a:solidFill>
              <a:srgbClr val="00B050"/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6" name="Round Same Side Corner Rectangle 105"/>
            <xdr:cNvSpPr/>
          </xdr:nvSpPr>
          <xdr:spPr>
            <a:xfrm>
              <a:off x="2093287" y="2250780"/>
              <a:ext cx="310115" cy="437480"/>
            </a:xfrm>
            <a:prstGeom prst="round2SameRect">
              <a:avLst/>
            </a:prstGeom>
            <a:solidFill>
              <a:srgbClr val="FF0000"/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5" name="Rectangle 104"/>
            <xdr:cNvSpPr/>
          </xdr:nvSpPr>
          <xdr:spPr>
            <a:xfrm>
              <a:off x="1965918" y="2274534"/>
              <a:ext cx="238125" cy="431944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13</xdr:col>
      <xdr:colOff>527666</xdr:colOff>
      <xdr:row>8</xdr:row>
      <xdr:rowOff>49119</xdr:rowOff>
    </xdr:from>
    <xdr:to>
      <xdr:col>21</xdr:col>
      <xdr:colOff>114147</xdr:colOff>
      <xdr:row>19</xdr:row>
      <xdr:rowOff>82748</xdr:rowOff>
    </xdr:to>
    <xdr:grpSp>
      <xdr:nvGrpSpPr>
        <xdr:cNvPr id="234" name="Group 233"/>
        <xdr:cNvGrpSpPr/>
      </xdr:nvGrpSpPr>
      <xdr:grpSpPr>
        <a:xfrm>
          <a:off x="9421635" y="1632650"/>
          <a:ext cx="4444231" cy="2129129"/>
          <a:chOff x="6959081" y="1564821"/>
          <a:chExt cx="4487247" cy="2171894"/>
        </a:xfrm>
      </xdr:grpSpPr>
      <xdr:sp macro="" textlink="">
        <xdr:nvSpPr>
          <xdr:cNvPr id="112" name="Trapezoid 111"/>
          <xdr:cNvSpPr/>
        </xdr:nvSpPr>
        <xdr:spPr>
          <a:xfrm>
            <a:off x="6959081" y="1700893"/>
            <a:ext cx="4470918" cy="592882"/>
          </a:xfrm>
          <a:prstGeom prst="trapezoid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4" name="Rectangle 113"/>
          <xdr:cNvSpPr/>
        </xdr:nvSpPr>
        <xdr:spPr>
          <a:xfrm>
            <a:off x="6959081" y="2303497"/>
            <a:ext cx="4480637" cy="369336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Rectangle 114"/>
          <xdr:cNvSpPr/>
        </xdr:nvSpPr>
        <xdr:spPr>
          <a:xfrm>
            <a:off x="6968800" y="2682551"/>
            <a:ext cx="262423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/>
          <xdr:cNvSpPr/>
        </xdr:nvSpPr>
        <xdr:spPr>
          <a:xfrm>
            <a:off x="11183905" y="2669722"/>
            <a:ext cx="262423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8" name="Rectangle 117"/>
          <xdr:cNvSpPr/>
        </xdr:nvSpPr>
        <xdr:spPr>
          <a:xfrm>
            <a:off x="7250663" y="2682551"/>
            <a:ext cx="670638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0" name="Rectangle 119"/>
          <xdr:cNvSpPr/>
        </xdr:nvSpPr>
        <xdr:spPr>
          <a:xfrm>
            <a:off x="7927910" y="2669722"/>
            <a:ext cx="670638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1" name="Rectangle 120"/>
          <xdr:cNvSpPr/>
        </xdr:nvSpPr>
        <xdr:spPr>
          <a:xfrm>
            <a:off x="8838419" y="2676331"/>
            <a:ext cx="735178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/>
          <xdr:cNvSpPr/>
        </xdr:nvSpPr>
        <xdr:spPr>
          <a:xfrm>
            <a:off x="9816970" y="2673220"/>
            <a:ext cx="670638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3" name="Rectangle 122"/>
          <xdr:cNvSpPr/>
        </xdr:nvSpPr>
        <xdr:spPr>
          <a:xfrm>
            <a:off x="10494217" y="2670110"/>
            <a:ext cx="670638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6" name="Rectangle 125"/>
          <xdr:cNvSpPr/>
        </xdr:nvSpPr>
        <xdr:spPr>
          <a:xfrm>
            <a:off x="8611377" y="2663113"/>
            <a:ext cx="213827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8" name="Rectangle 127"/>
          <xdr:cNvSpPr/>
        </xdr:nvSpPr>
        <xdr:spPr>
          <a:xfrm>
            <a:off x="9593036" y="2672832"/>
            <a:ext cx="213827" cy="894184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Oval 128"/>
          <xdr:cNvSpPr/>
        </xdr:nvSpPr>
        <xdr:spPr>
          <a:xfrm>
            <a:off x="7062708" y="2403857"/>
            <a:ext cx="97238" cy="114770"/>
          </a:xfrm>
          <a:prstGeom prst="ellipse">
            <a:avLst/>
          </a:prstGeom>
          <a:solidFill>
            <a:srgbClr val="FFFF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Oval 130"/>
          <xdr:cNvSpPr/>
        </xdr:nvSpPr>
        <xdr:spPr>
          <a:xfrm>
            <a:off x="11188803" y="2408071"/>
            <a:ext cx="96033" cy="119500"/>
          </a:xfrm>
          <a:prstGeom prst="ellipse">
            <a:avLst/>
          </a:prstGeom>
          <a:solidFill>
            <a:srgbClr val="FFFF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2" name="Oval 131"/>
          <xdr:cNvSpPr/>
        </xdr:nvSpPr>
        <xdr:spPr>
          <a:xfrm>
            <a:off x="7089562" y="2442233"/>
            <a:ext cx="50651" cy="51293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 w="508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3" name="Oval 132"/>
          <xdr:cNvSpPr/>
        </xdr:nvSpPr>
        <xdr:spPr>
          <a:xfrm>
            <a:off x="11216331" y="2442907"/>
            <a:ext cx="50651" cy="51293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 w="508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Rectangle 139"/>
          <xdr:cNvSpPr/>
        </xdr:nvSpPr>
        <xdr:spPr>
          <a:xfrm>
            <a:off x="7142475" y="3575749"/>
            <a:ext cx="72389" cy="94858"/>
          </a:xfrm>
          <a:prstGeom prst="rect">
            <a:avLst/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1" name="Trapezoid 140"/>
          <xdr:cNvSpPr/>
        </xdr:nvSpPr>
        <xdr:spPr>
          <a:xfrm>
            <a:off x="7114633" y="3676186"/>
            <a:ext cx="133641" cy="60529"/>
          </a:xfrm>
          <a:prstGeom prst="trapezoid">
            <a:avLst>
              <a:gd name="adj" fmla="val 37500"/>
            </a:avLst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2" name="Rectangle 141"/>
          <xdr:cNvSpPr/>
        </xdr:nvSpPr>
        <xdr:spPr>
          <a:xfrm>
            <a:off x="8684634" y="3562200"/>
            <a:ext cx="72389" cy="94858"/>
          </a:xfrm>
          <a:prstGeom prst="rect">
            <a:avLst/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3" name="Trapezoid 142"/>
          <xdr:cNvSpPr/>
        </xdr:nvSpPr>
        <xdr:spPr>
          <a:xfrm>
            <a:off x="8656792" y="3662637"/>
            <a:ext cx="133641" cy="60529"/>
          </a:xfrm>
          <a:prstGeom prst="trapezoid">
            <a:avLst>
              <a:gd name="adj" fmla="val 37500"/>
            </a:avLst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4" name="Rectangle 143"/>
          <xdr:cNvSpPr/>
        </xdr:nvSpPr>
        <xdr:spPr>
          <a:xfrm>
            <a:off x="11277216" y="3562200"/>
            <a:ext cx="72389" cy="94858"/>
          </a:xfrm>
          <a:prstGeom prst="rect">
            <a:avLst/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5" name="Trapezoid 144"/>
          <xdr:cNvSpPr/>
        </xdr:nvSpPr>
        <xdr:spPr>
          <a:xfrm>
            <a:off x="11249374" y="3662637"/>
            <a:ext cx="133641" cy="60529"/>
          </a:xfrm>
          <a:prstGeom prst="trapezoid">
            <a:avLst>
              <a:gd name="adj" fmla="val 37500"/>
            </a:avLst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6" name="Rectangle 145"/>
          <xdr:cNvSpPr/>
        </xdr:nvSpPr>
        <xdr:spPr>
          <a:xfrm>
            <a:off x="9655870" y="3567089"/>
            <a:ext cx="72389" cy="94858"/>
          </a:xfrm>
          <a:prstGeom prst="rect">
            <a:avLst/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7" name="Trapezoid 146"/>
          <xdr:cNvSpPr/>
        </xdr:nvSpPr>
        <xdr:spPr>
          <a:xfrm>
            <a:off x="9628028" y="3667526"/>
            <a:ext cx="133641" cy="60529"/>
          </a:xfrm>
          <a:prstGeom prst="trapezoid">
            <a:avLst>
              <a:gd name="adj" fmla="val 37500"/>
            </a:avLst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3" name="Rectangle 152"/>
          <xdr:cNvSpPr/>
        </xdr:nvSpPr>
        <xdr:spPr>
          <a:xfrm>
            <a:off x="7184828" y="1821377"/>
            <a:ext cx="575428" cy="407890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4" name="Rectangle 153"/>
          <xdr:cNvSpPr/>
        </xdr:nvSpPr>
        <xdr:spPr>
          <a:xfrm>
            <a:off x="7251863" y="1850017"/>
            <a:ext cx="374767" cy="29333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9" name="Rectangle 158"/>
          <xdr:cNvSpPr/>
        </xdr:nvSpPr>
        <xdr:spPr>
          <a:xfrm>
            <a:off x="7182627" y="1622087"/>
            <a:ext cx="172064" cy="83442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75000"/>
                </a:schemeClr>
              </a:gs>
              <a:gs pos="47000">
                <a:schemeClr val="bg1"/>
              </a:gs>
              <a:gs pos="61000">
                <a:schemeClr val="bg1"/>
              </a:gs>
              <a:gs pos="100000">
                <a:schemeClr val="bg1">
                  <a:lumMod val="75000"/>
                </a:schemeClr>
              </a:gs>
            </a:gsLst>
            <a:lin ang="0" scaled="1"/>
            <a:tileRect/>
          </a:gra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0" name="Round Same Side Corner Rectangle 159"/>
          <xdr:cNvSpPr/>
        </xdr:nvSpPr>
        <xdr:spPr>
          <a:xfrm>
            <a:off x="7182841" y="1564821"/>
            <a:ext cx="86959" cy="49889"/>
          </a:xfrm>
          <a:prstGeom prst="round2SameRect">
            <a:avLst/>
          </a:prstGeom>
          <a:solidFill>
            <a:srgbClr val="00B05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1" name="Round Same Side Corner Rectangle 160"/>
          <xdr:cNvSpPr/>
        </xdr:nvSpPr>
        <xdr:spPr>
          <a:xfrm>
            <a:off x="7272050" y="1565100"/>
            <a:ext cx="85103" cy="49889"/>
          </a:xfrm>
          <a:prstGeom prst="round2SameRect">
            <a:avLst/>
          </a:prstGeom>
          <a:solidFill>
            <a:srgbClr val="FF00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2" name="Rectangle 161"/>
          <xdr:cNvSpPr/>
        </xdr:nvSpPr>
        <xdr:spPr>
          <a:xfrm>
            <a:off x="7237097" y="1567598"/>
            <a:ext cx="65347" cy="49307"/>
          </a:xfrm>
          <a:prstGeom prst="rect">
            <a:avLst/>
          </a:prstGeom>
          <a:solidFill>
            <a:srgbClr val="FFFF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11</xdr:col>
      <xdr:colOff>517949</xdr:colOff>
      <xdr:row>8</xdr:row>
      <xdr:rowOff>29681</xdr:rowOff>
    </xdr:from>
    <xdr:to>
      <xdr:col>13</xdr:col>
      <xdr:colOff>459631</xdr:colOff>
      <xdr:row>19</xdr:row>
      <xdr:rowOff>45778</xdr:rowOff>
    </xdr:to>
    <xdr:grpSp>
      <xdr:nvGrpSpPr>
        <xdr:cNvPr id="168" name="Group 167"/>
        <xdr:cNvGrpSpPr/>
      </xdr:nvGrpSpPr>
      <xdr:grpSpPr>
        <a:xfrm>
          <a:off x="8197480" y="1613212"/>
          <a:ext cx="1156120" cy="2111597"/>
          <a:chOff x="5783036" y="1564821"/>
          <a:chExt cx="1166326" cy="2154362"/>
        </a:xfrm>
      </xdr:grpSpPr>
      <xdr:grpSp>
        <xdr:nvGrpSpPr>
          <xdr:cNvPr id="150" name="Group 149"/>
          <xdr:cNvGrpSpPr/>
        </xdr:nvGrpSpPr>
        <xdr:grpSpPr>
          <a:xfrm>
            <a:off x="5783036" y="2322934"/>
            <a:ext cx="1166326" cy="1396249"/>
            <a:chOff x="5772198" y="2270897"/>
            <a:chExt cx="1163918" cy="1358404"/>
          </a:xfrm>
        </xdr:grpSpPr>
        <xdr:sp macro="" textlink="">
          <xdr:nvSpPr>
            <xdr:cNvPr id="113" name="Rectangle 112"/>
            <xdr:cNvSpPr/>
          </xdr:nvSpPr>
          <xdr:spPr>
            <a:xfrm>
              <a:off x="5772198" y="2270897"/>
              <a:ext cx="1163918" cy="311277"/>
            </a:xfrm>
            <a:prstGeom prst="rect">
              <a:avLst/>
            </a:prstGeom>
            <a:solidFill>
              <a:schemeClr val="bg2"/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4" name="Rectangle 133"/>
            <xdr:cNvSpPr/>
          </xdr:nvSpPr>
          <xdr:spPr>
            <a:xfrm>
              <a:off x="5896227" y="2591980"/>
              <a:ext cx="669434" cy="870530"/>
            </a:xfrm>
            <a:prstGeom prst="rect">
              <a:avLst/>
            </a:prstGeom>
            <a:solidFill>
              <a:schemeClr val="bg2"/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5" name="Rectangle 134"/>
            <xdr:cNvSpPr/>
          </xdr:nvSpPr>
          <xdr:spPr>
            <a:xfrm>
              <a:off x="6566351" y="2591981"/>
              <a:ext cx="262423" cy="870530"/>
            </a:xfrm>
            <a:prstGeom prst="rect">
              <a:avLst/>
            </a:prstGeom>
            <a:solidFill>
              <a:schemeClr val="bg2"/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6" name="Rectangle 135"/>
            <xdr:cNvSpPr/>
          </xdr:nvSpPr>
          <xdr:spPr>
            <a:xfrm>
              <a:off x="5964650" y="3472389"/>
              <a:ext cx="72389" cy="94858"/>
            </a:xfrm>
            <a:prstGeom prst="rect">
              <a:avLst/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7" name="Trapezoid 136"/>
            <xdr:cNvSpPr/>
          </xdr:nvSpPr>
          <xdr:spPr>
            <a:xfrm>
              <a:off x="5936808" y="3572826"/>
              <a:ext cx="133641" cy="55800"/>
            </a:xfrm>
            <a:prstGeom prst="trapezoid">
              <a:avLst>
                <a:gd name="adj" fmla="val 37500"/>
              </a:avLst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8" name="Rectangle 137"/>
            <xdr:cNvSpPr/>
          </xdr:nvSpPr>
          <xdr:spPr>
            <a:xfrm>
              <a:off x="6698665" y="3473064"/>
              <a:ext cx="72389" cy="94858"/>
            </a:xfrm>
            <a:prstGeom prst="rect">
              <a:avLst/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9" name="Trapezoid 138"/>
            <xdr:cNvSpPr/>
          </xdr:nvSpPr>
          <xdr:spPr>
            <a:xfrm>
              <a:off x="6670823" y="3573501"/>
              <a:ext cx="133641" cy="55800"/>
            </a:xfrm>
            <a:prstGeom prst="trapezoid">
              <a:avLst>
                <a:gd name="adj" fmla="val 37500"/>
              </a:avLst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48" name="Oval 147"/>
            <xdr:cNvSpPr/>
          </xdr:nvSpPr>
          <xdr:spPr>
            <a:xfrm>
              <a:off x="6717183" y="2351978"/>
              <a:ext cx="97238" cy="114770"/>
            </a:xfrm>
            <a:prstGeom prst="ellipse">
              <a:avLst/>
            </a:prstGeom>
            <a:solidFill>
              <a:srgbClr val="FFFF00"/>
            </a:solidFill>
            <a:ln>
              <a:solidFill>
                <a:srgbClr val="FFC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49" name="Oval 148"/>
            <xdr:cNvSpPr/>
          </xdr:nvSpPr>
          <xdr:spPr>
            <a:xfrm>
              <a:off x="6744037" y="2390354"/>
              <a:ext cx="50651" cy="51293"/>
            </a:xfrm>
            <a:prstGeom prst="ellipse">
              <a:avLst/>
            </a:prstGeom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threePt" dir="t"/>
            </a:scene3d>
            <a:sp3d>
              <a:bevelT w="508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63" name="Rectangle 162"/>
          <xdr:cNvSpPr/>
        </xdr:nvSpPr>
        <xdr:spPr>
          <a:xfrm>
            <a:off x="6609183" y="1622087"/>
            <a:ext cx="172064" cy="83442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75000"/>
                </a:schemeClr>
              </a:gs>
              <a:gs pos="47000">
                <a:schemeClr val="bg1"/>
              </a:gs>
              <a:gs pos="61000">
                <a:schemeClr val="bg1"/>
              </a:gs>
              <a:gs pos="100000">
                <a:schemeClr val="bg1">
                  <a:lumMod val="75000"/>
                </a:schemeClr>
              </a:gs>
            </a:gsLst>
            <a:lin ang="0" scaled="1"/>
            <a:tileRect/>
          </a:gra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4" name="Round Same Side Corner Rectangle 163"/>
          <xdr:cNvSpPr/>
        </xdr:nvSpPr>
        <xdr:spPr>
          <a:xfrm>
            <a:off x="6609397" y="1564821"/>
            <a:ext cx="86959" cy="49889"/>
          </a:xfrm>
          <a:prstGeom prst="round2SameRect">
            <a:avLst/>
          </a:prstGeom>
          <a:solidFill>
            <a:srgbClr val="00B05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Round Same Side Corner Rectangle 164"/>
          <xdr:cNvSpPr/>
        </xdr:nvSpPr>
        <xdr:spPr>
          <a:xfrm>
            <a:off x="6698606" y="1565100"/>
            <a:ext cx="85103" cy="49889"/>
          </a:xfrm>
          <a:prstGeom prst="round2SameRect">
            <a:avLst/>
          </a:prstGeom>
          <a:solidFill>
            <a:srgbClr val="FF00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Rectangle 165"/>
          <xdr:cNvSpPr/>
        </xdr:nvSpPr>
        <xdr:spPr>
          <a:xfrm>
            <a:off x="6663653" y="1567598"/>
            <a:ext cx="65347" cy="49307"/>
          </a:xfrm>
          <a:prstGeom prst="rect">
            <a:avLst/>
          </a:prstGeom>
          <a:solidFill>
            <a:srgbClr val="FFFF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Rectangle 166"/>
          <xdr:cNvSpPr/>
        </xdr:nvSpPr>
        <xdr:spPr>
          <a:xfrm>
            <a:off x="6667500" y="1710612"/>
            <a:ext cx="68036" cy="612322"/>
          </a:xfrm>
          <a:prstGeom prst="rect">
            <a:avLst/>
          </a:prstGeom>
          <a:gradFill>
            <a:gsLst>
              <a:gs pos="90265">
                <a:schemeClr val="bg1">
                  <a:lumMod val="65000"/>
                </a:schemeClr>
              </a:gs>
              <a:gs pos="33000">
                <a:schemeClr val="bg1">
                  <a:lumMod val="65000"/>
                </a:schemeClr>
              </a:gs>
              <a:gs pos="47000">
                <a:schemeClr val="bg1"/>
              </a:gs>
              <a:gs pos="61000">
                <a:schemeClr val="bg1"/>
              </a:gs>
              <a:gs pos="75000">
                <a:schemeClr val="bg1">
                  <a:lumMod val="75000"/>
                </a:schemeClr>
              </a:gs>
            </a:gsLst>
            <a:lin ang="0" scaled="1"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440193</xdr:colOff>
      <xdr:row>8</xdr:row>
      <xdr:rowOff>49120</xdr:rowOff>
    </xdr:from>
    <xdr:to>
      <xdr:col>8</xdr:col>
      <xdr:colOff>381876</xdr:colOff>
      <xdr:row>19</xdr:row>
      <xdr:rowOff>65217</xdr:rowOff>
    </xdr:to>
    <xdr:grpSp>
      <xdr:nvGrpSpPr>
        <xdr:cNvPr id="202" name="Group 201"/>
        <xdr:cNvGrpSpPr/>
      </xdr:nvGrpSpPr>
      <xdr:grpSpPr>
        <a:xfrm>
          <a:off x="4988381" y="1632651"/>
          <a:ext cx="1156120" cy="2111597"/>
          <a:chOff x="5783036" y="1564821"/>
          <a:chExt cx="1166326" cy="2154362"/>
        </a:xfrm>
      </xdr:grpSpPr>
      <xdr:grpSp>
        <xdr:nvGrpSpPr>
          <xdr:cNvPr id="203" name="Group 202"/>
          <xdr:cNvGrpSpPr/>
        </xdr:nvGrpSpPr>
        <xdr:grpSpPr>
          <a:xfrm>
            <a:off x="5783036" y="2322934"/>
            <a:ext cx="1166326" cy="1396249"/>
            <a:chOff x="5772198" y="2270897"/>
            <a:chExt cx="1163918" cy="1358404"/>
          </a:xfrm>
        </xdr:grpSpPr>
        <xdr:sp macro="" textlink="">
          <xdr:nvSpPr>
            <xdr:cNvPr id="209" name="Rectangle 208"/>
            <xdr:cNvSpPr/>
          </xdr:nvSpPr>
          <xdr:spPr>
            <a:xfrm>
              <a:off x="5772198" y="2270897"/>
              <a:ext cx="1163918" cy="311277"/>
            </a:xfrm>
            <a:prstGeom prst="rect">
              <a:avLst/>
            </a:prstGeom>
            <a:solidFill>
              <a:schemeClr val="bg2"/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0" name="Rectangle 209"/>
            <xdr:cNvSpPr/>
          </xdr:nvSpPr>
          <xdr:spPr>
            <a:xfrm>
              <a:off x="5896227" y="2591980"/>
              <a:ext cx="669434" cy="870530"/>
            </a:xfrm>
            <a:prstGeom prst="rect">
              <a:avLst/>
            </a:prstGeom>
            <a:solidFill>
              <a:schemeClr val="bg2"/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1" name="Rectangle 210"/>
            <xdr:cNvSpPr/>
          </xdr:nvSpPr>
          <xdr:spPr>
            <a:xfrm>
              <a:off x="6566351" y="2591981"/>
              <a:ext cx="262423" cy="870530"/>
            </a:xfrm>
            <a:prstGeom prst="rect">
              <a:avLst/>
            </a:prstGeom>
            <a:solidFill>
              <a:schemeClr val="bg2"/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2" name="Rectangle 211"/>
            <xdr:cNvSpPr/>
          </xdr:nvSpPr>
          <xdr:spPr>
            <a:xfrm>
              <a:off x="5964650" y="3472389"/>
              <a:ext cx="72389" cy="94858"/>
            </a:xfrm>
            <a:prstGeom prst="rect">
              <a:avLst/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3" name="Trapezoid 212"/>
            <xdr:cNvSpPr/>
          </xdr:nvSpPr>
          <xdr:spPr>
            <a:xfrm>
              <a:off x="5936808" y="3572826"/>
              <a:ext cx="133641" cy="55800"/>
            </a:xfrm>
            <a:prstGeom prst="trapezoid">
              <a:avLst>
                <a:gd name="adj" fmla="val 37500"/>
              </a:avLst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4" name="Rectangle 213"/>
            <xdr:cNvSpPr/>
          </xdr:nvSpPr>
          <xdr:spPr>
            <a:xfrm>
              <a:off x="6698665" y="3473064"/>
              <a:ext cx="72389" cy="94858"/>
            </a:xfrm>
            <a:prstGeom prst="rect">
              <a:avLst/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5" name="Trapezoid 214"/>
            <xdr:cNvSpPr/>
          </xdr:nvSpPr>
          <xdr:spPr>
            <a:xfrm>
              <a:off x="6670823" y="3573501"/>
              <a:ext cx="133641" cy="55800"/>
            </a:xfrm>
            <a:prstGeom prst="trapezoid">
              <a:avLst>
                <a:gd name="adj" fmla="val 37500"/>
              </a:avLst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6" name="Oval 215"/>
            <xdr:cNvSpPr/>
          </xdr:nvSpPr>
          <xdr:spPr>
            <a:xfrm>
              <a:off x="6717183" y="2351978"/>
              <a:ext cx="97238" cy="114770"/>
            </a:xfrm>
            <a:prstGeom prst="ellipse">
              <a:avLst/>
            </a:prstGeom>
            <a:solidFill>
              <a:srgbClr val="FFFF00"/>
            </a:solidFill>
            <a:ln>
              <a:solidFill>
                <a:srgbClr val="FFC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7" name="Oval 216"/>
            <xdr:cNvSpPr/>
          </xdr:nvSpPr>
          <xdr:spPr>
            <a:xfrm>
              <a:off x="6744037" y="2390354"/>
              <a:ext cx="50651" cy="51293"/>
            </a:xfrm>
            <a:prstGeom prst="ellipse">
              <a:avLst/>
            </a:prstGeom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threePt" dir="t"/>
            </a:scene3d>
            <a:sp3d>
              <a:bevelT w="508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04" name="Rectangle 203"/>
          <xdr:cNvSpPr/>
        </xdr:nvSpPr>
        <xdr:spPr>
          <a:xfrm>
            <a:off x="6609183" y="1622087"/>
            <a:ext cx="172064" cy="83442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75000"/>
                </a:schemeClr>
              </a:gs>
              <a:gs pos="47000">
                <a:schemeClr val="bg1"/>
              </a:gs>
              <a:gs pos="61000">
                <a:schemeClr val="bg1"/>
              </a:gs>
              <a:gs pos="100000">
                <a:schemeClr val="bg1">
                  <a:lumMod val="75000"/>
                </a:schemeClr>
              </a:gs>
            </a:gsLst>
            <a:lin ang="0" scaled="1"/>
            <a:tileRect/>
          </a:gra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Round Same Side Corner Rectangle 204"/>
          <xdr:cNvSpPr/>
        </xdr:nvSpPr>
        <xdr:spPr>
          <a:xfrm>
            <a:off x="6609397" y="1564821"/>
            <a:ext cx="86959" cy="49889"/>
          </a:xfrm>
          <a:prstGeom prst="round2SameRect">
            <a:avLst/>
          </a:prstGeom>
          <a:solidFill>
            <a:srgbClr val="00B05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6" name="Round Same Side Corner Rectangle 205"/>
          <xdr:cNvSpPr/>
        </xdr:nvSpPr>
        <xdr:spPr>
          <a:xfrm>
            <a:off x="6698606" y="1565100"/>
            <a:ext cx="85103" cy="49889"/>
          </a:xfrm>
          <a:prstGeom prst="round2SameRect">
            <a:avLst/>
          </a:prstGeom>
          <a:solidFill>
            <a:srgbClr val="FF00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7" name="Rectangle 206"/>
          <xdr:cNvSpPr/>
        </xdr:nvSpPr>
        <xdr:spPr>
          <a:xfrm>
            <a:off x="6663653" y="1567598"/>
            <a:ext cx="65347" cy="49307"/>
          </a:xfrm>
          <a:prstGeom prst="rect">
            <a:avLst/>
          </a:prstGeom>
          <a:solidFill>
            <a:srgbClr val="FFFF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8" name="Rectangle 207"/>
          <xdr:cNvSpPr/>
        </xdr:nvSpPr>
        <xdr:spPr>
          <a:xfrm>
            <a:off x="6667500" y="1710612"/>
            <a:ext cx="68036" cy="612322"/>
          </a:xfrm>
          <a:prstGeom prst="rect">
            <a:avLst/>
          </a:prstGeom>
          <a:gradFill>
            <a:gsLst>
              <a:gs pos="90265">
                <a:schemeClr val="bg1">
                  <a:lumMod val="65000"/>
                </a:schemeClr>
              </a:gs>
              <a:gs pos="33000">
                <a:schemeClr val="bg1">
                  <a:lumMod val="65000"/>
                </a:schemeClr>
              </a:gs>
              <a:gs pos="47000">
                <a:schemeClr val="bg1"/>
              </a:gs>
              <a:gs pos="61000">
                <a:schemeClr val="bg1"/>
              </a:gs>
              <a:gs pos="75000">
                <a:schemeClr val="bg1">
                  <a:lumMod val="75000"/>
                </a:schemeClr>
              </a:gs>
            </a:gsLst>
            <a:lin ang="0" scaled="1"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418769</xdr:colOff>
      <xdr:row>7</xdr:row>
      <xdr:rowOff>53024</xdr:rowOff>
    </xdr:from>
    <xdr:to>
      <xdr:col>7</xdr:col>
      <xdr:colOff>594031</xdr:colOff>
      <xdr:row>19</xdr:row>
      <xdr:rowOff>78654</xdr:rowOff>
    </xdr:to>
    <xdr:grpSp>
      <xdr:nvGrpSpPr>
        <xdr:cNvPr id="286" name="Group 285"/>
        <xdr:cNvGrpSpPr/>
      </xdr:nvGrpSpPr>
      <xdr:grpSpPr>
        <a:xfrm>
          <a:off x="2883363" y="1446055"/>
          <a:ext cx="2866074" cy="2311630"/>
          <a:chOff x="787479" y="1404959"/>
          <a:chExt cx="2633327" cy="2360792"/>
        </a:xfrm>
      </xdr:grpSpPr>
      <xdr:grpSp>
        <xdr:nvGrpSpPr>
          <xdr:cNvPr id="273" name="Group 272"/>
          <xdr:cNvGrpSpPr/>
        </xdr:nvGrpSpPr>
        <xdr:grpSpPr>
          <a:xfrm>
            <a:off x="787479" y="1404959"/>
            <a:ext cx="1827457" cy="2360792"/>
            <a:chOff x="592883" y="42782"/>
            <a:chExt cx="1827457" cy="2360792"/>
          </a:xfrm>
        </xdr:grpSpPr>
        <xdr:sp macro="" textlink="">
          <xdr:nvSpPr>
            <xdr:cNvPr id="236" name="Snip Same Side Corner Rectangle 235"/>
            <xdr:cNvSpPr/>
          </xdr:nvSpPr>
          <xdr:spPr>
            <a:xfrm flipV="1">
              <a:off x="847780" y="184667"/>
              <a:ext cx="1335947" cy="613158"/>
            </a:xfrm>
            <a:prstGeom prst="snip2SameRect">
              <a:avLst>
                <a:gd name="adj1" fmla="val 36806"/>
                <a:gd name="adj2" fmla="val 0"/>
              </a:avLst>
            </a:prstGeom>
            <a:solidFill>
              <a:schemeClr val="bg2">
                <a:lumMod val="25000"/>
                <a:alpha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7" name="Freeform 236"/>
            <xdr:cNvSpPr/>
          </xdr:nvSpPr>
          <xdr:spPr>
            <a:xfrm>
              <a:off x="592883" y="194597"/>
              <a:ext cx="1824109" cy="710142"/>
            </a:xfrm>
            <a:custGeom>
              <a:avLst/>
              <a:gdLst>
                <a:gd name="connsiteX0" fmla="*/ 252704 w 1817525"/>
                <a:gd name="connsiteY0" fmla="*/ 0 h 709515"/>
                <a:gd name="connsiteX1" fmla="*/ 0 w 1817525"/>
                <a:gd name="connsiteY1" fmla="*/ 0 h 709515"/>
                <a:gd name="connsiteX2" fmla="*/ 0 w 1817525"/>
                <a:gd name="connsiteY2" fmla="*/ 709515 h 709515"/>
                <a:gd name="connsiteX3" fmla="*/ 1817525 w 1817525"/>
                <a:gd name="connsiteY3" fmla="*/ 709515 h 709515"/>
                <a:gd name="connsiteX4" fmla="*/ 1817525 w 1817525"/>
                <a:gd name="connsiteY4" fmla="*/ 0 h 709515"/>
                <a:gd name="connsiteX5" fmla="*/ 1584260 w 1817525"/>
                <a:gd name="connsiteY5" fmla="*/ 0 h 709515"/>
                <a:gd name="connsiteX6" fmla="*/ 1584260 w 1817525"/>
                <a:gd name="connsiteY6" fmla="*/ 359617 h 709515"/>
                <a:gd name="connsiteX7" fmla="*/ 1380153 w 1817525"/>
                <a:gd name="connsiteY7" fmla="*/ 583163 h 709515"/>
                <a:gd name="connsiteX8" fmla="*/ 485969 w 1817525"/>
                <a:gd name="connsiteY8" fmla="*/ 583163 h 709515"/>
                <a:gd name="connsiteX9" fmla="*/ 262423 w 1817525"/>
                <a:gd name="connsiteY9" fmla="*/ 359617 h 709515"/>
                <a:gd name="connsiteX10" fmla="*/ 252704 w 1817525"/>
                <a:gd name="connsiteY10" fmla="*/ 0 h 7095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1817525" h="709515">
                  <a:moveTo>
                    <a:pt x="252704" y="0"/>
                  </a:moveTo>
                  <a:lnTo>
                    <a:pt x="0" y="0"/>
                  </a:lnTo>
                  <a:lnTo>
                    <a:pt x="0" y="709515"/>
                  </a:lnTo>
                  <a:lnTo>
                    <a:pt x="1817525" y="709515"/>
                  </a:lnTo>
                  <a:lnTo>
                    <a:pt x="1817525" y="0"/>
                  </a:lnTo>
                  <a:lnTo>
                    <a:pt x="1584260" y="0"/>
                  </a:lnTo>
                  <a:lnTo>
                    <a:pt x="1584260" y="359617"/>
                  </a:lnTo>
                  <a:lnTo>
                    <a:pt x="1380153" y="583163"/>
                  </a:lnTo>
                  <a:lnTo>
                    <a:pt x="485969" y="583163"/>
                  </a:lnTo>
                  <a:lnTo>
                    <a:pt x="262423" y="359617"/>
                  </a:lnTo>
                  <a:lnTo>
                    <a:pt x="252704" y="0"/>
                  </a:lnTo>
                  <a:close/>
                </a:path>
              </a:pathLst>
            </a:custGeom>
            <a:gradFill>
              <a:gsLst>
                <a:gs pos="14000">
                  <a:schemeClr val="bg1">
                    <a:lumMod val="85000"/>
                  </a:schemeClr>
                </a:gs>
                <a:gs pos="28000">
                  <a:schemeClr val="bg1"/>
                </a:gs>
                <a:gs pos="45000">
                  <a:schemeClr val="bg1"/>
                </a:gs>
                <a:gs pos="61000">
                  <a:schemeClr val="bg1">
                    <a:lumMod val="85000"/>
                  </a:schemeClr>
                </a:gs>
              </a:gsLst>
              <a:lin ang="5400000" scaled="0"/>
            </a:gra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8" name="Freeform 237"/>
            <xdr:cNvSpPr/>
          </xdr:nvSpPr>
          <xdr:spPr>
            <a:xfrm>
              <a:off x="642529" y="904738"/>
              <a:ext cx="1733298" cy="353374"/>
            </a:xfrm>
            <a:custGeom>
              <a:avLst/>
              <a:gdLst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399592 w 1827245"/>
                <a:gd name="connsiteY2" fmla="*/ 136071 h 359617"/>
                <a:gd name="connsiteX3" fmla="*/ 1409311 w 1827245"/>
                <a:gd name="connsiteY3" fmla="*/ 359617 h 359617"/>
                <a:gd name="connsiteX4" fmla="*/ 544286 w 1827245"/>
                <a:gd name="connsiteY4" fmla="*/ 359617 h 359617"/>
                <a:gd name="connsiteX5" fmla="*/ 544286 w 1827245"/>
                <a:gd name="connsiteY5" fmla="*/ 145791 h 359617"/>
                <a:gd name="connsiteX6" fmla="*/ 0 w 1827245"/>
                <a:gd name="connsiteY6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399592 w 1827245"/>
                <a:gd name="connsiteY2" fmla="*/ 136071 h 359617"/>
                <a:gd name="connsiteX3" fmla="*/ 1409311 w 1827245"/>
                <a:gd name="connsiteY3" fmla="*/ 359617 h 359617"/>
                <a:gd name="connsiteX4" fmla="*/ 544286 w 1827245"/>
                <a:gd name="connsiteY4" fmla="*/ 359617 h 359617"/>
                <a:gd name="connsiteX5" fmla="*/ 544286 w 1827245"/>
                <a:gd name="connsiteY5" fmla="*/ 145791 h 359617"/>
                <a:gd name="connsiteX6" fmla="*/ 0 w 1827245"/>
                <a:gd name="connsiteY6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08018 w 1827245"/>
                <a:gd name="connsiteY2" fmla="*/ 141798 h 359617"/>
                <a:gd name="connsiteX3" fmla="*/ 1409311 w 1827245"/>
                <a:gd name="connsiteY3" fmla="*/ 359617 h 359617"/>
                <a:gd name="connsiteX4" fmla="*/ 544286 w 1827245"/>
                <a:gd name="connsiteY4" fmla="*/ 359617 h 359617"/>
                <a:gd name="connsiteX5" fmla="*/ 544286 w 1827245"/>
                <a:gd name="connsiteY5" fmla="*/ 145791 h 359617"/>
                <a:gd name="connsiteX6" fmla="*/ 0 w 1827245"/>
                <a:gd name="connsiteY6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08018 w 1827245"/>
                <a:gd name="connsiteY2" fmla="*/ 141798 h 359617"/>
                <a:gd name="connsiteX3" fmla="*/ 1409311 w 1827245"/>
                <a:gd name="connsiteY3" fmla="*/ 359617 h 359617"/>
                <a:gd name="connsiteX4" fmla="*/ 544286 w 1827245"/>
                <a:gd name="connsiteY4" fmla="*/ 359617 h 359617"/>
                <a:gd name="connsiteX5" fmla="*/ 544459 w 1827245"/>
                <a:gd name="connsiteY5" fmla="*/ 191555 h 359617"/>
                <a:gd name="connsiteX6" fmla="*/ 544286 w 1827245"/>
                <a:gd name="connsiteY6" fmla="*/ 145791 h 359617"/>
                <a:gd name="connsiteX7" fmla="*/ 0 w 1827245"/>
                <a:gd name="connsiteY7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08018 w 1827245"/>
                <a:gd name="connsiteY2" fmla="*/ 141798 h 359617"/>
                <a:gd name="connsiteX3" fmla="*/ 1409311 w 1827245"/>
                <a:gd name="connsiteY3" fmla="*/ 359617 h 359617"/>
                <a:gd name="connsiteX4" fmla="*/ 544286 w 1827245"/>
                <a:gd name="connsiteY4" fmla="*/ 359617 h 359617"/>
                <a:gd name="connsiteX5" fmla="*/ 544459 w 1827245"/>
                <a:gd name="connsiteY5" fmla="*/ 191555 h 359617"/>
                <a:gd name="connsiteX6" fmla="*/ 544286 w 1827245"/>
                <a:gd name="connsiteY6" fmla="*/ 145791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8018 w 1827245"/>
                <a:gd name="connsiteY3" fmla="*/ 14179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44286 w 1827245"/>
                <a:gd name="connsiteY7" fmla="*/ 145791 h 359617"/>
                <a:gd name="connsiteX8" fmla="*/ 502326 w 1827245"/>
                <a:gd name="connsiteY8" fmla="*/ 134287 h 359617"/>
                <a:gd name="connsiteX9" fmla="*/ 0 w 1827245"/>
                <a:gd name="connsiteY9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8018 w 1827245"/>
                <a:gd name="connsiteY3" fmla="*/ 141798 h 359617"/>
                <a:gd name="connsiteX4" fmla="*/ 1406777 w 1827245"/>
                <a:gd name="connsiteY4" fmla="*/ 185828 h 359617"/>
                <a:gd name="connsiteX5" fmla="*/ 1409311 w 1827245"/>
                <a:gd name="connsiteY5" fmla="*/ 359617 h 359617"/>
                <a:gd name="connsiteX6" fmla="*/ 544286 w 1827245"/>
                <a:gd name="connsiteY6" fmla="*/ 359617 h 359617"/>
                <a:gd name="connsiteX7" fmla="*/ 544459 w 1827245"/>
                <a:gd name="connsiteY7" fmla="*/ 191555 h 359617"/>
                <a:gd name="connsiteX8" fmla="*/ 544286 w 1827245"/>
                <a:gd name="connsiteY8" fmla="*/ 145791 h 359617"/>
                <a:gd name="connsiteX9" fmla="*/ 502326 w 1827245"/>
                <a:gd name="connsiteY9" fmla="*/ 134287 h 359617"/>
                <a:gd name="connsiteX10" fmla="*/ 0 w 1827245"/>
                <a:gd name="connsiteY10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44286 w 1827245"/>
                <a:gd name="connsiteY7" fmla="*/ 145791 h 359617"/>
                <a:gd name="connsiteX8" fmla="*/ 502326 w 1827245"/>
                <a:gd name="connsiteY8" fmla="*/ 134287 h 359617"/>
                <a:gd name="connsiteX9" fmla="*/ 0 w 1827245"/>
                <a:gd name="connsiteY9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44286 w 1827245"/>
                <a:gd name="connsiteY7" fmla="*/ 145791 h 359617"/>
                <a:gd name="connsiteX8" fmla="*/ 502326 w 1827245"/>
                <a:gd name="connsiteY8" fmla="*/ 134287 h 359617"/>
                <a:gd name="connsiteX9" fmla="*/ 0 w 1827245"/>
                <a:gd name="connsiteY9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44286 w 1827245"/>
                <a:gd name="connsiteY7" fmla="*/ 145791 h 359617"/>
                <a:gd name="connsiteX8" fmla="*/ 502326 w 1827245"/>
                <a:gd name="connsiteY8" fmla="*/ 134287 h 359617"/>
                <a:gd name="connsiteX9" fmla="*/ 0 w 1827245"/>
                <a:gd name="connsiteY9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544286 w 1827245"/>
                <a:gd name="connsiteY5" fmla="*/ 359617 h 359617"/>
                <a:gd name="connsiteX6" fmla="*/ 544459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448936 w 1827245"/>
                <a:gd name="connsiteY5" fmla="*/ 349365 h 359617"/>
                <a:gd name="connsiteX6" fmla="*/ 544459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448936 w 1827245"/>
                <a:gd name="connsiteY5" fmla="*/ 349365 h 359617"/>
                <a:gd name="connsiteX6" fmla="*/ 445578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434811 w 1827245"/>
                <a:gd name="connsiteY5" fmla="*/ 345948 h 359617"/>
                <a:gd name="connsiteX6" fmla="*/ 445578 w 1827245"/>
                <a:gd name="connsiteY6" fmla="*/ 191555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434811 w 1827245"/>
                <a:gd name="connsiteY5" fmla="*/ 345948 h 359617"/>
                <a:gd name="connsiteX6" fmla="*/ 434984 w 1827245"/>
                <a:gd name="connsiteY6" fmla="*/ 188138 h 359617"/>
                <a:gd name="connsiteX7" fmla="*/ 502326 w 1827245"/>
                <a:gd name="connsiteY7" fmla="*/ 134287 h 359617"/>
                <a:gd name="connsiteX8" fmla="*/ 0 w 1827245"/>
                <a:gd name="connsiteY8" fmla="*/ 0 h 359617"/>
                <a:gd name="connsiteX0" fmla="*/ 0 w 1827245"/>
                <a:gd name="connsiteY0" fmla="*/ 0 h 359617"/>
                <a:gd name="connsiteX1" fmla="*/ 1827245 w 1827245"/>
                <a:gd name="connsiteY1" fmla="*/ 0 h 359617"/>
                <a:gd name="connsiteX2" fmla="*/ 1448910 w 1827245"/>
                <a:gd name="connsiteY2" fmla="*/ 128560 h 359617"/>
                <a:gd name="connsiteX3" fmla="*/ 1406777 w 1827245"/>
                <a:gd name="connsiteY3" fmla="*/ 185828 h 359617"/>
                <a:gd name="connsiteX4" fmla="*/ 1409311 w 1827245"/>
                <a:gd name="connsiteY4" fmla="*/ 359617 h 359617"/>
                <a:gd name="connsiteX5" fmla="*/ 434811 w 1827245"/>
                <a:gd name="connsiteY5" fmla="*/ 345948 h 359617"/>
                <a:gd name="connsiteX6" fmla="*/ 434984 w 1827245"/>
                <a:gd name="connsiteY6" fmla="*/ 188138 h 359617"/>
                <a:gd name="connsiteX7" fmla="*/ 385786 w 1827245"/>
                <a:gd name="connsiteY7" fmla="*/ 103535 h 359617"/>
                <a:gd name="connsiteX8" fmla="*/ 0 w 1827245"/>
                <a:gd name="connsiteY8" fmla="*/ 0 h 359617"/>
                <a:gd name="connsiteX0" fmla="*/ 0 w 1827245"/>
                <a:gd name="connsiteY0" fmla="*/ 0 h 352783"/>
                <a:gd name="connsiteX1" fmla="*/ 1827245 w 1827245"/>
                <a:gd name="connsiteY1" fmla="*/ 0 h 352783"/>
                <a:gd name="connsiteX2" fmla="*/ 1448910 w 1827245"/>
                <a:gd name="connsiteY2" fmla="*/ 128560 h 352783"/>
                <a:gd name="connsiteX3" fmla="*/ 1406777 w 1827245"/>
                <a:gd name="connsiteY3" fmla="*/ 185828 h 352783"/>
                <a:gd name="connsiteX4" fmla="*/ 1409311 w 1827245"/>
                <a:gd name="connsiteY4" fmla="*/ 352783 h 352783"/>
                <a:gd name="connsiteX5" fmla="*/ 434811 w 1827245"/>
                <a:gd name="connsiteY5" fmla="*/ 345948 h 352783"/>
                <a:gd name="connsiteX6" fmla="*/ 434984 w 1827245"/>
                <a:gd name="connsiteY6" fmla="*/ 188138 h 352783"/>
                <a:gd name="connsiteX7" fmla="*/ 385786 w 1827245"/>
                <a:gd name="connsiteY7" fmla="*/ 103535 h 352783"/>
                <a:gd name="connsiteX8" fmla="*/ 0 w 1827245"/>
                <a:gd name="connsiteY8" fmla="*/ 0 h 352783"/>
                <a:gd name="connsiteX0" fmla="*/ 0 w 1827245"/>
                <a:gd name="connsiteY0" fmla="*/ 0 h 352783"/>
                <a:gd name="connsiteX1" fmla="*/ 1827245 w 1827245"/>
                <a:gd name="connsiteY1" fmla="*/ 0 h 352783"/>
                <a:gd name="connsiteX2" fmla="*/ 1448910 w 1827245"/>
                <a:gd name="connsiteY2" fmla="*/ 128560 h 352783"/>
                <a:gd name="connsiteX3" fmla="*/ 1406777 w 1827245"/>
                <a:gd name="connsiteY3" fmla="*/ 185828 h 352783"/>
                <a:gd name="connsiteX4" fmla="*/ 1395185 w 1827245"/>
                <a:gd name="connsiteY4" fmla="*/ 352783 h 352783"/>
                <a:gd name="connsiteX5" fmla="*/ 434811 w 1827245"/>
                <a:gd name="connsiteY5" fmla="*/ 345948 h 352783"/>
                <a:gd name="connsiteX6" fmla="*/ 434984 w 1827245"/>
                <a:gd name="connsiteY6" fmla="*/ 188138 h 352783"/>
                <a:gd name="connsiteX7" fmla="*/ 385786 w 1827245"/>
                <a:gd name="connsiteY7" fmla="*/ 103535 h 352783"/>
                <a:gd name="connsiteX8" fmla="*/ 0 w 1827245"/>
                <a:gd name="connsiteY8" fmla="*/ 0 h 352783"/>
                <a:gd name="connsiteX0" fmla="*/ 0 w 1827245"/>
                <a:gd name="connsiteY0" fmla="*/ 0 h 352783"/>
                <a:gd name="connsiteX1" fmla="*/ 1827245 w 1827245"/>
                <a:gd name="connsiteY1" fmla="*/ 0 h 352783"/>
                <a:gd name="connsiteX2" fmla="*/ 1448910 w 1827245"/>
                <a:gd name="connsiteY2" fmla="*/ 128560 h 352783"/>
                <a:gd name="connsiteX3" fmla="*/ 1406777 w 1827245"/>
                <a:gd name="connsiteY3" fmla="*/ 185828 h 352783"/>
                <a:gd name="connsiteX4" fmla="*/ 1409311 w 1827245"/>
                <a:gd name="connsiteY4" fmla="*/ 352783 h 352783"/>
                <a:gd name="connsiteX5" fmla="*/ 434811 w 1827245"/>
                <a:gd name="connsiteY5" fmla="*/ 345948 h 352783"/>
                <a:gd name="connsiteX6" fmla="*/ 434984 w 1827245"/>
                <a:gd name="connsiteY6" fmla="*/ 188138 h 352783"/>
                <a:gd name="connsiteX7" fmla="*/ 385786 w 1827245"/>
                <a:gd name="connsiteY7" fmla="*/ 103535 h 352783"/>
                <a:gd name="connsiteX8" fmla="*/ 0 w 1827245"/>
                <a:gd name="connsiteY8" fmla="*/ 0 h 352783"/>
                <a:gd name="connsiteX0" fmla="*/ 0 w 1827245"/>
                <a:gd name="connsiteY0" fmla="*/ 0 h 352783"/>
                <a:gd name="connsiteX1" fmla="*/ 1827245 w 1827245"/>
                <a:gd name="connsiteY1" fmla="*/ 0 h 352783"/>
                <a:gd name="connsiteX2" fmla="*/ 1448910 w 1827245"/>
                <a:gd name="connsiteY2" fmla="*/ 128560 h 352783"/>
                <a:gd name="connsiteX3" fmla="*/ 1406777 w 1827245"/>
                <a:gd name="connsiteY3" fmla="*/ 185828 h 352783"/>
                <a:gd name="connsiteX4" fmla="*/ 1409311 w 1827245"/>
                <a:gd name="connsiteY4" fmla="*/ 352783 h 352783"/>
                <a:gd name="connsiteX5" fmla="*/ 434811 w 1827245"/>
                <a:gd name="connsiteY5" fmla="*/ 345948 h 352783"/>
                <a:gd name="connsiteX6" fmla="*/ 434984 w 1827245"/>
                <a:gd name="connsiteY6" fmla="*/ 188138 h 352783"/>
                <a:gd name="connsiteX7" fmla="*/ 379152 w 1827245"/>
                <a:gd name="connsiteY7" fmla="*/ 113107 h 352783"/>
                <a:gd name="connsiteX8" fmla="*/ 0 w 1827245"/>
                <a:gd name="connsiteY8" fmla="*/ 0 h 35278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827245" h="352783">
                  <a:moveTo>
                    <a:pt x="0" y="0"/>
                  </a:moveTo>
                  <a:lnTo>
                    <a:pt x="1827245" y="0"/>
                  </a:lnTo>
                  <a:lnTo>
                    <a:pt x="1448910" y="128560"/>
                  </a:lnTo>
                  <a:cubicBezTo>
                    <a:pt x="1412395" y="139059"/>
                    <a:pt x="1412395" y="161013"/>
                    <a:pt x="1406777" y="185828"/>
                  </a:cubicBezTo>
                  <a:cubicBezTo>
                    <a:pt x="1407622" y="243758"/>
                    <a:pt x="1408466" y="294853"/>
                    <a:pt x="1409311" y="352783"/>
                  </a:cubicBezTo>
                  <a:lnTo>
                    <a:pt x="434811" y="345948"/>
                  </a:lnTo>
                  <a:cubicBezTo>
                    <a:pt x="434869" y="289927"/>
                    <a:pt x="434926" y="244159"/>
                    <a:pt x="434984" y="188138"/>
                  </a:cubicBezTo>
                  <a:cubicBezTo>
                    <a:pt x="439226" y="139129"/>
                    <a:pt x="408100" y="119263"/>
                    <a:pt x="379152" y="113107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254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9" name="Rounded Rectangle 238"/>
            <xdr:cNvSpPr/>
          </xdr:nvSpPr>
          <xdr:spPr>
            <a:xfrm rot="10800000">
              <a:off x="1337644" y="1123185"/>
              <a:ext cx="330459" cy="51613"/>
            </a:xfrm>
            <a:prstGeom prst="roundRect">
              <a:avLst>
                <a:gd name="adj" fmla="val 50000"/>
              </a:avLst>
            </a:prstGeom>
            <a:solidFill>
              <a:schemeClr val="bg2">
                <a:lumMod val="9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25400" h="12700"/>
              <a:bevelB w="0" h="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0" name="Rectangle 239"/>
            <xdr:cNvSpPr/>
          </xdr:nvSpPr>
          <xdr:spPr>
            <a:xfrm>
              <a:off x="1057463" y="1262831"/>
              <a:ext cx="909311" cy="171232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1" name="Rectangle 240"/>
            <xdr:cNvSpPr/>
          </xdr:nvSpPr>
          <xdr:spPr>
            <a:xfrm>
              <a:off x="1062192" y="1443050"/>
              <a:ext cx="916144" cy="787374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3" name="Freeform 242"/>
            <xdr:cNvSpPr/>
          </xdr:nvSpPr>
          <xdr:spPr>
            <a:xfrm>
              <a:off x="1978338" y="895203"/>
              <a:ext cx="442002" cy="1340612"/>
            </a:xfrm>
            <a:custGeom>
              <a:avLst/>
              <a:gdLst>
                <a:gd name="connsiteX0" fmla="*/ 422335 w 422335"/>
                <a:gd name="connsiteY0" fmla="*/ 0 h 1284977"/>
                <a:gd name="connsiteX1" fmla="*/ 62901 w 422335"/>
                <a:gd name="connsiteY1" fmla="*/ 125802 h 1284977"/>
                <a:gd name="connsiteX2" fmla="*/ 0 w 422335"/>
                <a:gd name="connsiteY2" fmla="*/ 188703 h 1284977"/>
                <a:gd name="connsiteX3" fmla="*/ 0 w 422335"/>
                <a:gd name="connsiteY3" fmla="*/ 1284977 h 1284977"/>
                <a:gd name="connsiteX4" fmla="*/ 395377 w 422335"/>
                <a:gd name="connsiteY4" fmla="*/ 1275991 h 1284977"/>
                <a:gd name="connsiteX5" fmla="*/ 422335 w 422335"/>
                <a:gd name="connsiteY5" fmla="*/ 0 h 1284977"/>
                <a:gd name="connsiteX0" fmla="*/ 422335 w 432012"/>
                <a:gd name="connsiteY0" fmla="*/ 0 h 1284977"/>
                <a:gd name="connsiteX1" fmla="*/ 62901 w 432012"/>
                <a:gd name="connsiteY1" fmla="*/ 125802 h 1284977"/>
                <a:gd name="connsiteX2" fmla="*/ 0 w 432012"/>
                <a:gd name="connsiteY2" fmla="*/ 188703 h 1284977"/>
                <a:gd name="connsiteX3" fmla="*/ 0 w 432012"/>
                <a:gd name="connsiteY3" fmla="*/ 1284977 h 1284977"/>
                <a:gd name="connsiteX4" fmla="*/ 432012 w 432012"/>
                <a:gd name="connsiteY4" fmla="*/ 1279302 h 1284977"/>
                <a:gd name="connsiteX5" fmla="*/ 422335 w 432012"/>
                <a:gd name="connsiteY5" fmla="*/ 0 h 1284977"/>
                <a:gd name="connsiteX0" fmla="*/ 438987 w 439491"/>
                <a:gd name="connsiteY0" fmla="*/ 0 h 1284977"/>
                <a:gd name="connsiteX1" fmla="*/ 62901 w 439491"/>
                <a:gd name="connsiteY1" fmla="*/ 125802 h 1284977"/>
                <a:gd name="connsiteX2" fmla="*/ 0 w 439491"/>
                <a:gd name="connsiteY2" fmla="*/ 188703 h 1284977"/>
                <a:gd name="connsiteX3" fmla="*/ 0 w 439491"/>
                <a:gd name="connsiteY3" fmla="*/ 1284977 h 1284977"/>
                <a:gd name="connsiteX4" fmla="*/ 432012 w 439491"/>
                <a:gd name="connsiteY4" fmla="*/ 1279302 h 1284977"/>
                <a:gd name="connsiteX5" fmla="*/ 438987 w 439491"/>
                <a:gd name="connsiteY5" fmla="*/ 0 h 1284977"/>
                <a:gd name="connsiteX0" fmla="*/ 438987 w 445333"/>
                <a:gd name="connsiteY0" fmla="*/ 0 h 1289232"/>
                <a:gd name="connsiteX1" fmla="*/ 62901 w 445333"/>
                <a:gd name="connsiteY1" fmla="*/ 125802 h 1289232"/>
                <a:gd name="connsiteX2" fmla="*/ 0 w 445333"/>
                <a:gd name="connsiteY2" fmla="*/ 188703 h 1289232"/>
                <a:gd name="connsiteX3" fmla="*/ 0 w 445333"/>
                <a:gd name="connsiteY3" fmla="*/ 1284977 h 1289232"/>
                <a:gd name="connsiteX4" fmla="*/ 445333 w 445333"/>
                <a:gd name="connsiteY4" fmla="*/ 1289232 h 1289232"/>
                <a:gd name="connsiteX5" fmla="*/ 438987 w 445333"/>
                <a:gd name="connsiteY5" fmla="*/ 0 h 1289232"/>
                <a:gd name="connsiteX0" fmla="*/ 438987 w 439491"/>
                <a:gd name="connsiteY0" fmla="*/ 0 h 1284977"/>
                <a:gd name="connsiteX1" fmla="*/ 62901 w 439491"/>
                <a:gd name="connsiteY1" fmla="*/ 125802 h 1284977"/>
                <a:gd name="connsiteX2" fmla="*/ 0 w 439491"/>
                <a:gd name="connsiteY2" fmla="*/ 188703 h 1284977"/>
                <a:gd name="connsiteX3" fmla="*/ 0 w 439491"/>
                <a:gd name="connsiteY3" fmla="*/ 1284977 h 1284977"/>
                <a:gd name="connsiteX4" fmla="*/ 432011 w 439491"/>
                <a:gd name="connsiteY4" fmla="*/ 1279302 h 1284977"/>
                <a:gd name="connsiteX5" fmla="*/ 438987 w 439491"/>
                <a:gd name="connsiteY5" fmla="*/ 0 h 1284977"/>
                <a:gd name="connsiteX0" fmla="*/ 438987 w 442002"/>
                <a:gd name="connsiteY0" fmla="*/ 0 h 1289232"/>
                <a:gd name="connsiteX1" fmla="*/ 62901 w 442002"/>
                <a:gd name="connsiteY1" fmla="*/ 125802 h 1289232"/>
                <a:gd name="connsiteX2" fmla="*/ 0 w 442002"/>
                <a:gd name="connsiteY2" fmla="*/ 188703 h 1289232"/>
                <a:gd name="connsiteX3" fmla="*/ 0 w 442002"/>
                <a:gd name="connsiteY3" fmla="*/ 1284977 h 1289232"/>
                <a:gd name="connsiteX4" fmla="*/ 442002 w 442002"/>
                <a:gd name="connsiteY4" fmla="*/ 1289232 h 1289232"/>
                <a:gd name="connsiteX5" fmla="*/ 438987 w 442002"/>
                <a:gd name="connsiteY5" fmla="*/ 0 h 1289232"/>
                <a:gd name="connsiteX0" fmla="*/ 438987 w 442002"/>
                <a:gd name="connsiteY0" fmla="*/ 0 h 1289232"/>
                <a:gd name="connsiteX1" fmla="*/ 62901 w 442002"/>
                <a:gd name="connsiteY1" fmla="*/ 125802 h 1289232"/>
                <a:gd name="connsiteX2" fmla="*/ 0 w 442002"/>
                <a:gd name="connsiteY2" fmla="*/ 188703 h 1289232"/>
                <a:gd name="connsiteX3" fmla="*/ 0 w 442002"/>
                <a:gd name="connsiteY3" fmla="*/ 1284977 h 1289232"/>
                <a:gd name="connsiteX4" fmla="*/ 442002 w 442002"/>
                <a:gd name="connsiteY4" fmla="*/ 1289232 h 1289232"/>
                <a:gd name="connsiteX5" fmla="*/ 438987 w 442002"/>
                <a:gd name="connsiteY5" fmla="*/ 0 h 1289232"/>
                <a:gd name="connsiteX0" fmla="*/ 438987 w 442002"/>
                <a:gd name="connsiteY0" fmla="*/ 0 h 1289232"/>
                <a:gd name="connsiteX1" fmla="*/ 62901 w 442002"/>
                <a:gd name="connsiteY1" fmla="*/ 125802 h 1289232"/>
                <a:gd name="connsiteX2" fmla="*/ 0 w 442002"/>
                <a:gd name="connsiteY2" fmla="*/ 188703 h 1289232"/>
                <a:gd name="connsiteX3" fmla="*/ 0 w 442002"/>
                <a:gd name="connsiteY3" fmla="*/ 1284977 h 1289232"/>
                <a:gd name="connsiteX4" fmla="*/ 442002 w 442002"/>
                <a:gd name="connsiteY4" fmla="*/ 1289232 h 1289232"/>
                <a:gd name="connsiteX5" fmla="*/ 438987 w 442002"/>
                <a:gd name="connsiteY5" fmla="*/ 0 h 128923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442002" h="1289232">
                  <a:moveTo>
                    <a:pt x="438987" y="0"/>
                  </a:moveTo>
                  <a:lnTo>
                    <a:pt x="62901" y="125802"/>
                  </a:lnTo>
                  <a:cubicBezTo>
                    <a:pt x="18621" y="140149"/>
                    <a:pt x="14306" y="147876"/>
                    <a:pt x="0" y="188703"/>
                  </a:cubicBezTo>
                  <a:lnTo>
                    <a:pt x="0" y="1284977"/>
                  </a:lnTo>
                  <a:lnTo>
                    <a:pt x="442002" y="1289232"/>
                  </a:lnTo>
                  <a:cubicBezTo>
                    <a:pt x="438776" y="862798"/>
                    <a:pt x="442213" y="426434"/>
                    <a:pt x="438987" y="0"/>
                  </a:cubicBezTo>
                  <a:close/>
                </a:path>
              </a:pathLst>
            </a:cu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5" name="Freeform 244"/>
            <xdr:cNvSpPr/>
          </xdr:nvSpPr>
          <xdr:spPr>
            <a:xfrm flipH="1">
              <a:off x="600075" y="891666"/>
              <a:ext cx="446918" cy="1340612"/>
            </a:xfrm>
            <a:custGeom>
              <a:avLst/>
              <a:gdLst>
                <a:gd name="connsiteX0" fmla="*/ 422335 w 422335"/>
                <a:gd name="connsiteY0" fmla="*/ 0 h 1284977"/>
                <a:gd name="connsiteX1" fmla="*/ 62901 w 422335"/>
                <a:gd name="connsiteY1" fmla="*/ 125802 h 1284977"/>
                <a:gd name="connsiteX2" fmla="*/ 0 w 422335"/>
                <a:gd name="connsiteY2" fmla="*/ 188703 h 1284977"/>
                <a:gd name="connsiteX3" fmla="*/ 0 w 422335"/>
                <a:gd name="connsiteY3" fmla="*/ 1284977 h 1284977"/>
                <a:gd name="connsiteX4" fmla="*/ 395377 w 422335"/>
                <a:gd name="connsiteY4" fmla="*/ 1275991 h 1284977"/>
                <a:gd name="connsiteX5" fmla="*/ 422335 w 422335"/>
                <a:gd name="connsiteY5" fmla="*/ 0 h 1284977"/>
                <a:gd name="connsiteX0" fmla="*/ 422335 w 432012"/>
                <a:gd name="connsiteY0" fmla="*/ 0 h 1284977"/>
                <a:gd name="connsiteX1" fmla="*/ 62901 w 432012"/>
                <a:gd name="connsiteY1" fmla="*/ 125802 h 1284977"/>
                <a:gd name="connsiteX2" fmla="*/ 0 w 432012"/>
                <a:gd name="connsiteY2" fmla="*/ 188703 h 1284977"/>
                <a:gd name="connsiteX3" fmla="*/ 0 w 432012"/>
                <a:gd name="connsiteY3" fmla="*/ 1284977 h 1284977"/>
                <a:gd name="connsiteX4" fmla="*/ 432012 w 432012"/>
                <a:gd name="connsiteY4" fmla="*/ 1279302 h 1284977"/>
                <a:gd name="connsiteX5" fmla="*/ 422335 w 432012"/>
                <a:gd name="connsiteY5" fmla="*/ 0 h 1284977"/>
                <a:gd name="connsiteX0" fmla="*/ 438987 w 439491"/>
                <a:gd name="connsiteY0" fmla="*/ 0 h 1284977"/>
                <a:gd name="connsiteX1" fmla="*/ 62901 w 439491"/>
                <a:gd name="connsiteY1" fmla="*/ 125802 h 1284977"/>
                <a:gd name="connsiteX2" fmla="*/ 0 w 439491"/>
                <a:gd name="connsiteY2" fmla="*/ 188703 h 1284977"/>
                <a:gd name="connsiteX3" fmla="*/ 0 w 439491"/>
                <a:gd name="connsiteY3" fmla="*/ 1284977 h 1284977"/>
                <a:gd name="connsiteX4" fmla="*/ 432012 w 439491"/>
                <a:gd name="connsiteY4" fmla="*/ 1279302 h 1284977"/>
                <a:gd name="connsiteX5" fmla="*/ 438987 w 439491"/>
                <a:gd name="connsiteY5" fmla="*/ 0 h 1284977"/>
                <a:gd name="connsiteX0" fmla="*/ 438987 w 445333"/>
                <a:gd name="connsiteY0" fmla="*/ 0 h 1289232"/>
                <a:gd name="connsiteX1" fmla="*/ 62901 w 445333"/>
                <a:gd name="connsiteY1" fmla="*/ 125802 h 1289232"/>
                <a:gd name="connsiteX2" fmla="*/ 0 w 445333"/>
                <a:gd name="connsiteY2" fmla="*/ 188703 h 1289232"/>
                <a:gd name="connsiteX3" fmla="*/ 0 w 445333"/>
                <a:gd name="connsiteY3" fmla="*/ 1284977 h 1289232"/>
                <a:gd name="connsiteX4" fmla="*/ 445333 w 445333"/>
                <a:gd name="connsiteY4" fmla="*/ 1289232 h 1289232"/>
                <a:gd name="connsiteX5" fmla="*/ 438987 w 445333"/>
                <a:gd name="connsiteY5" fmla="*/ 0 h 1289232"/>
                <a:gd name="connsiteX0" fmla="*/ 438987 w 439491"/>
                <a:gd name="connsiteY0" fmla="*/ 0 h 1284977"/>
                <a:gd name="connsiteX1" fmla="*/ 62901 w 439491"/>
                <a:gd name="connsiteY1" fmla="*/ 125802 h 1284977"/>
                <a:gd name="connsiteX2" fmla="*/ 0 w 439491"/>
                <a:gd name="connsiteY2" fmla="*/ 188703 h 1284977"/>
                <a:gd name="connsiteX3" fmla="*/ 0 w 439491"/>
                <a:gd name="connsiteY3" fmla="*/ 1284977 h 1284977"/>
                <a:gd name="connsiteX4" fmla="*/ 432011 w 439491"/>
                <a:gd name="connsiteY4" fmla="*/ 1279302 h 1284977"/>
                <a:gd name="connsiteX5" fmla="*/ 438987 w 439491"/>
                <a:gd name="connsiteY5" fmla="*/ 0 h 1284977"/>
                <a:gd name="connsiteX0" fmla="*/ 438987 w 442002"/>
                <a:gd name="connsiteY0" fmla="*/ 0 h 1289232"/>
                <a:gd name="connsiteX1" fmla="*/ 62901 w 442002"/>
                <a:gd name="connsiteY1" fmla="*/ 125802 h 1289232"/>
                <a:gd name="connsiteX2" fmla="*/ 0 w 442002"/>
                <a:gd name="connsiteY2" fmla="*/ 188703 h 1289232"/>
                <a:gd name="connsiteX3" fmla="*/ 0 w 442002"/>
                <a:gd name="connsiteY3" fmla="*/ 1284977 h 1289232"/>
                <a:gd name="connsiteX4" fmla="*/ 442002 w 442002"/>
                <a:gd name="connsiteY4" fmla="*/ 1289232 h 1289232"/>
                <a:gd name="connsiteX5" fmla="*/ 438987 w 442002"/>
                <a:gd name="connsiteY5" fmla="*/ 0 h 1289232"/>
                <a:gd name="connsiteX0" fmla="*/ 438987 w 442002"/>
                <a:gd name="connsiteY0" fmla="*/ 0 h 1289232"/>
                <a:gd name="connsiteX1" fmla="*/ 62901 w 442002"/>
                <a:gd name="connsiteY1" fmla="*/ 125802 h 1289232"/>
                <a:gd name="connsiteX2" fmla="*/ 0 w 442002"/>
                <a:gd name="connsiteY2" fmla="*/ 188703 h 1289232"/>
                <a:gd name="connsiteX3" fmla="*/ 0 w 442002"/>
                <a:gd name="connsiteY3" fmla="*/ 1284977 h 1289232"/>
                <a:gd name="connsiteX4" fmla="*/ 442002 w 442002"/>
                <a:gd name="connsiteY4" fmla="*/ 1289232 h 1289232"/>
                <a:gd name="connsiteX5" fmla="*/ 438987 w 442002"/>
                <a:gd name="connsiteY5" fmla="*/ 0 h 1289232"/>
                <a:gd name="connsiteX0" fmla="*/ 438987 w 442002"/>
                <a:gd name="connsiteY0" fmla="*/ 0 h 1289232"/>
                <a:gd name="connsiteX1" fmla="*/ 62901 w 442002"/>
                <a:gd name="connsiteY1" fmla="*/ 125802 h 1289232"/>
                <a:gd name="connsiteX2" fmla="*/ 0 w 442002"/>
                <a:gd name="connsiteY2" fmla="*/ 188703 h 1289232"/>
                <a:gd name="connsiteX3" fmla="*/ 0 w 442002"/>
                <a:gd name="connsiteY3" fmla="*/ 1284977 h 1289232"/>
                <a:gd name="connsiteX4" fmla="*/ 442002 w 442002"/>
                <a:gd name="connsiteY4" fmla="*/ 1289232 h 1289232"/>
                <a:gd name="connsiteX5" fmla="*/ 438987 w 442002"/>
                <a:gd name="connsiteY5" fmla="*/ 0 h 128923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442002" h="1289232">
                  <a:moveTo>
                    <a:pt x="438987" y="0"/>
                  </a:moveTo>
                  <a:lnTo>
                    <a:pt x="62901" y="125802"/>
                  </a:lnTo>
                  <a:cubicBezTo>
                    <a:pt x="18621" y="140149"/>
                    <a:pt x="14306" y="147876"/>
                    <a:pt x="0" y="188703"/>
                  </a:cubicBezTo>
                  <a:lnTo>
                    <a:pt x="0" y="1284977"/>
                  </a:lnTo>
                  <a:lnTo>
                    <a:pt x="442002" y="1289232"/>
                  </a:lnTo>
                  <a:cubicBezTo>
                    <a:pt x="438776" y="862798"/>
                    <a:pt x="442213" y="426434"/>
                    <a:pt x="438987" y="0"/>
                  </a:cubicBezTo>
                  <a:close/>
                </a:path>
              </a:pathLst>
            </a:cu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6" name="Rectangle 245"/>
            <xdr:cNvSpPr/>
          </xdr:nvSpPr>
          <xdr:spPr>
            <a:xfrm>
              <a:off x="1104088" y="1295148"/>
              <a:ext cx="428012" cy="72784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252" name="Group 251"/>
            <xdr:cNvGrpSpPr/>
          </xdr:nvGrpSpPr>
          <xdr:grpSpPr>
            <a:xfrm>
              <a:off x="2062984" y="1030662"/>
              <a:ext cx="305893" cy="180858"/>
              <a:chOff x="2056400" y="1029617"/>
              <a:chExt cx="305893" cy="180649"/>
            </a:xfrm>
          </xdr:grpSpPr>
          <xdr:sp macro="" textlink="">
            <xdr:nvSpPr>
              <xdr:cNvPr id="249" name="Rounded Rectangle 248"/>
              <xdr:cNvSpPr/>
            </xdr:nvSpPr>
            <xdr:spPr>
              <a:xfrm rot="20382086">
                <a:off x="2056400" y="1051565"/>
                <a:ext cx="305893" cy="138860"/>
              </a:xfrm>
              <a:prstGeom prst="roundRect">
                <a:avLst>
                  <a:gd name="adj" fmla="val 50000"/>
                </a:avLst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7" name="Oval 246"/>
              <xdr:cNvSpPr/>
            </xdr:nvSpPr>
            <xdr:spPr>
              <a:xfrm>
                <a:off x="2250675" y="1029617"/>
                <a:ext cx="97215" cy="116003"/>
              </a:xfrm>
              <a:prstGeom prst="ellipse">
                <a:avLst/>
              </a:prstGeom>
              <a:solidFill>
                <a:srgbClr val="FFFF00"/>
              </a:solidFill>
              <a:ln>
                <a:solidFill>
                  <a:srgbClr val="FFC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8" name="Oval 247"/>
              <xdr:cNvSpPr/>
            </xdr:nvSpPr>
            <xdr:spPr>
              <a:xfrm>
                <a:off x="2271258" y="1062139"/>
                <a:ext cx="50639" cy="51844"/>
              </a:xfrm>
              <a:prstGeom prst="ellipse">
                <a:avLst/>
              </a:prstGeom>
              <a:solidFill>
                <a:srgbClr val="FF0000"/>
              </a:solidFill>
              <a:ln>
                <a:solidFill>
                  <a:srgbClr val="FF0000"/>
                </a:solidFill>
              </a:ln>
              <a:scene3d>
                <a:camera prst="orthographicFront"/>
                <a:lightRig rig="threePt" dir="t"/>
              </a:scene3d>
              <a:sp3d>
                <a:bevelT w="508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1" name="Oval 250"/>
              <xdr:cNvSpPr/>
            </xdr:nvSpPr>
            <xdr:spPr>
              <a:xfrm>
                <a:off x="2075088" y="1091002"/>
                <a:ext cx="97215" cy="119264"/>
              </a:xfrm>
              <a:prstGeom prst="ellipse">
                <a:avLst/>
              </a:prstGeom>
              <a:solidFill>
                <a:srgbClr val="FFFF00"/>
              </a:solidFill>
              <a:ln>
                <a:solidFill>
                  <a:srgbClr val="FFC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0" name="Oval 249"/>
              <xdr:cNvSpPr/>
            </xdr:nvSpPr>
            <xdr:spPr>
              <a:xfrm>
                <a:off x="2093888" y="1125467"/>
                <a:ext cx="59531" cy="53393"/>
              </a:xfrm>
              <a:prstGeom prst="ellipse">
                <a:avLst/>
              </a:prstGeom>
              <a:solidFill>
                <a:srgbClr val="00B050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253" name="Group 252"/>
            <xdr:cNvGrpSpPr/>
          </xdr:nvGrpSpPr>
          <xdr:grpSpPr>
            <a:xfrm flipH="1">
              <a:off x="655893" y="998394"/>
              <a:ext cx="305893" cy="180858"/>
              <a:chOff x="2056400" y="1029617"/>
              <a:chExt cx="305893" cy="180649"/>
            </a:xfrm>
          </xdr:grpSpPr>
          <xdr:sp macro="" textlink="">
            <xdr:nvSpPr>
              <xdr:cNvPr id="254" name="Rounded Rectangle 253"/>
              <xdr:cNvSpPr/>
            </xdr:nvSpPr>
            <xdr:spPr>
              <a:xfrm rot="20382086">
                <a:off x="2056400" y="1051565"/>
                <a:ext cx="305893" cy="138860"/>
              </a:xfrm>
              <a:prstGeom prst="roundRect">
                <a:avLst>
                  <a:gd name="adj" fmla="val 50000"/>
                </a:avLst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5" name="Oval 254"/>
              <xdr:cNvSpPr/>
            </xdr:nvSpPr>
            <xdr:spPr>
              <a:xfrm>
                <a:off x="2250675" y="1029617"/>
                <a:ext cx="97215" cy="116003"/>
              </a:xfrm>
              <a:prstGeom prst="ellipse">
                <a:avLst/>
              </a:prstGeom>
              <a:solidFill>
                <a:srgbClr val="FFFF00"/>
              </a:solidFill>
              <a:ln>
                <a:solidFill>
                  <a:srgbClr val="FFC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6" name="Oval 255"/>
              <xdr:cNvSpPr/>
            </xdr:nvSpPr>
            <xdr:spPr>
              <a:xfrm>
                <a:off x="2271258" y="1062139"/>
                <a:ext cx="50639" cy="51844"/>
              </a:xfrm>
              <a:prstGeom prst="ellipse">
                <a:avLst/>
              </a:prstGeom>
              <a:solidFill>
                <a:srgbClr val="FF0000"/>
              </a:solidFill>
              <a:ln>
                <a:solidFill>
                  <a:srgbClr val="FF0000"/>
                </a:solidFill>
              </a:ln>
              <a:scene3d>
                <a:camera prst="orthographicFront"/>
                <a:lightRig rig="threePt" dir="t"/>
              </a:scene3d>
              <a:sp3d>
                <a:bevelT w="508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7" name="Oval 256"/>
              <xdr:cNvSpPr/>
            </xdr:nvSpPr>
            <xdr:spPr>
              <a:xfrm>
                <a:off x="2075088" y="1091002"/>
                <a:ext cx="97215" cy="119264"/>
              </a:xfrm>
              <a:prstGeom prst="ellipse">
                <a:avLst/>
              </a:prstGeom>
              <a:solidFill>
                <a:srgbClr val="FFFF00"/>
              </a:solidFill>
              <a:ln>
                <a:solidFill>
                  <a:srgbClr val="FFC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8" name="Oval 257"/>
              <xdr:cNvSpPr/>
            </xdr:nvSpPr>
            <xdr:spPr>
              <a:xfrm>
                <a:off x="2093888" y="1125467"/>
                <a:ext cx="59531" cy="53393"/>
              </a:xfrm>
              <a:prstGeom prst="ellipse">
                <a:avLst/>
              </a:prstGeom>
              <a:solidFill>
                <a:srgbClr val="00B050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59" name="&quot;No&quot; Symbol 258"/>
            <xdr:cNvSpPr/>
          </xdr:nvSpPr>
          <xdr:spPr>
            <a:xfrm rot="2845453">
              <a:off x="1719061" y="1305288"/>
              <a:ext cx="89554" cy="79233"/>
            </a:xfrm>
            <a:prstGeom prst="noSmoking">
              <a:avLst/>
            </a:prstGeom>
            <a:solidFill>
              <a:srgbClr val="FF0000"/>
            </a:solidFill>
            <a:ln w="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60" name="Rectangle 259"/>
            <xdr:cNvSpPr/>
          </xdr:nvSpPr>
          <xdr:spPr>
            <a:xfrm>
              <a:off x="2197986" y="99140"/>
              <a:ext cx="171077" cy="82118"/>
            </a:xfrm>
            <a:prstGeom prst="rect">
              <a:avLst/>
            </a:prstGeom>
            <a:gradFill flip="none" rotWithShape="1">
              <a:gsLst>
                <a:gs pos="0">
                  <a:schemeClr val="bg1">
                    <a:lumMod val="75000"/>
                  </a:schemeClr>
                </a:gs>
                <a:gs pos="47000">
                  <a:schemeClr val="bg1"/>
                </a:gs>
                <a:gs pos="61000">
                  <a:schemeClr val="bg1"/>
                </a:gs>
                <a:gs pos="100000">
                  <a:schemeClr val="bg1">
                    <a:lumMod val="7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1" name="Round Same Side Corner Rectangle 260"/>
            <xdr:cNvSpPr/>
          </xdr:nvSpPr>
          <xdr:spPr>
            <a:xfrm>
              <a:off x="2198199" y="42782"/>
              <a:ext cx="86460" cy="49098"/>
            </a:xfrm>
            <a:prstGeom prst="round2SameRect">
              <a:avLst/>
            </a:prstGeom>
            <a:solidFill>
              <a:srgbClr val="00B050"/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2" name="Round Same Side Corner Rectangle 261"/>
            <xdr:cNvSpPr/>
          </xdr:nvSpPr>
          <xdr:spPr>
            <a:xfrm>
              <a:off x="2286896" y="43057"/>
              <a:ext cx="84615" cy="49098"/>
            </a:xfrm>
            <a:prstGeom prst="round2SameRect">
              <a:avLst/>
            </a:prstGeom>
            <a:solidFill>
              <a:srgbClr val="FF0000"/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3" name="Rectangle 262"/>
            <xdr:cNvSpPr/>
          </xdr:nvSpPr>
          <xdr:spPr>
            <a:xfrm>
              <a:off x="2252144" y="45515"/>
              <a:ext cx="64972" cy="48525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9" name="Rectangle 268"/>
            <xdr:cNvSpPr/>
          </xdr:nvSpPr>
          <xdr:spPr>
            <a:xfrm>
              <a:off x="747655" y="2230350"/>
              <a:ext cx="72122" cy="95954"/>
            </a:xfrm>
            <a:prstGeom prst="rect">
              <a:avLst/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0" name="Trapezoid 269"/>
            <xdr:cNvSpPr/>
          </xdr:nvSpPr>
          <xdr:spPr>
            <a:xfrm>
              <a:off x="719916" y="2335262"/>
              <a:ext cx="133149" cy="56445"/>
            </a:xfrm>
            <a:prstGeom prst="trapezoid">
              <a:avLst>
                <a:gd name="adj" fmla="val 37500"/>
              </a:avLst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1" name="Rectangle 270"/>
            <xdr:cNvSpPr/>
          </xdr:nvSpPr>
          <xdr:spPr>
            <a:xfrm>
              <a:off x="2199353" y="2242217"/>
              <a:ext cx="72122" cy="99269"/>
            </a:xfrm>
            <a:prstGeom prst="rect">
              <a:avLst/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2" name="Trapezoid 271"/>
            <xdr:cNvSpPr/>
          </xdr:nvSpPr>
          <xdr:spPr>
            <a:xfrm>
              <a:off x="2171614" y="2347129"/>
              <a:ext cx="133149" cy="56445"/>
            </a:xfrm>
            <a:prstGeom prst="trapezoid">
              <a:avLst>
                <a:gd name="adj" fmla="val 37500"/>
              </a:avLst>
            </a:prstGeom>
            <a:solidFill>
              <a:schemeClr val="tx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85" name="Rectangle 284"/>
          <xdr:cNvSpPr/>
        </xdr:nvSpPr>
        <xdr:spPr>
          <a:xfrm>
            <a:off x="2611694" y="2150805"/>
            <a:ext cx="689344" cy="115453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84" name="Group 283"/>
          <xdr:cNvGrpSpPr/>
        </xdr:nvGrpSpPr>
        <xdr:grpSpPr>
          <a:xfrm>
            <a:off x="2683386" y="1515808"/>
            <a:ext cx="737420" cy="696451"/>
            <a:chOff x="1208548" y="501855"/>
            <a:chExt cx="737420" cy="696451"/>
          </a:xfrm>
        </xdr:grpSpPr>
        <xdr:sp macro="" textlink="">
          <xdr:nvSpPr>
            <xdr:cNvPr id="282" name="Rectangle 281"/>
            <xdr:cNvSpPr/>
          </xdr:nvSpPr>
          <xdr:spPr>
            <a:xfrm>
              <a:off x="1208548" y="1085646"/>
              <a:ext cx="737420" cy="112660"/>
            </a:xfrm>
            <a:prstGeom prst="rect">
              <a:avLst/>
            </a:prstGeom>
            <a:solidFill>
              <a:schemeClr val="bg2"/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83" name="Rectangle 282"/>
            <xdr:cNvSpPr/>
          </xdr:nvSpPr>
          <xdr:spPr>
            <a:xfrm>
              <a:off x="1229033" y="501855"/>
              <a:ext cx="686210" cy="563306"/>
            </a:xfrm>
            <a:prstGeom prst="rect">
              <a:avLst/>
            </a:prstGeom>
            <a:solidFill>
              <a:schemeClr val="bg2"/>
            </a:solidFill>
            <a:ln>
              <a:solidFill>
                <a:schemeClr val="bg1">
                  <a:lumMod val="6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281" name="Group 280"/>
            <xdr:cNvGrpSpPr/>
          </xdr:nvGrpSpPr>
          <xdr:grpSpPr>
            <a:xfrm>
              <a:off x="1280243" y="553064"/>
              <a:ext cx="577398" cy="408322"/>
              <a:chOff x="0" y="3697339"/>
              <a:chExt cx="577398" cy="408322"/>
            </a:xfrm>
          </xdr:grpSpPr>
          <xdr:sp macro="" textlink="">
            <xdr:nvSpPr>
              <xdr:cNvPr id="279" name="Rectangle 278"/>
              <xdr:cNvSpPr/>
            </xdr:nvSpPr>
            <xdr:spPr>
              <a:xfrm>
                <a:off x="0" y="3697339"/>
                <a:ext cx="577398" cy="408322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80" name="Rectangle 279"/>
              <xdr:cNvSpPr/>
            </xdr:nvSpPr>
            <xdr:spPr>
              <a:xfrm>
                <a:off x="40967" y="3728065"/>
                <a:ext cx="481371" cy="348226"/>
              </a:xfrm>
              <a:prstGeom prst="rect">
                <a:avLst/>
              </a:prstGeom>
              <a:solidFill>
                <a:schemeClr val="bg1">
                  <a:lumMod val="50000"/>
                </a:schemeClr>
              </a:solidFill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</xdr:grpSp>
    </xdr:grpSp>
    <xdr:clientData/>
  </xdr:twoCellAnchor>
  <xdr:twoCellAnchor>
    <xdr:from>
      <xdr:col>1</xdr:col>
      <xdr:colOff>69084</xdr:colOff>
      <xdr:row>9</xdr:row>
      <xdr:rowOff>102001</xdr:rowOff>
    </xdr:from>
    <xdr:to>
      <xdr:col>3</xdr:col>
      <xdr:colOff>383108</xdr:colOff>
      <xdr:row>19</xdr:row>
      <xdr:rowOff>79354</xdr:rowOff>
    </xdr:to>
    <xdr:grpSp>
      <xdr:nvGrpSpPr>
        <xdr:cNvPr id="311" name="Group 310"/>
        <xdr:cNvGrpSpPr/>
      </xdr:nvGrpSpPr>
      <xdr:grpSpPr>
        <a:xfrm>
          <a:off x="1319240" y="1876032"/>
          <a:ext cx="1528462" cy="1882353"/>
          <a:chOff x="563306" y="1791340"/>
          <a:chExt cx="1536099" cy="1864382"/>
        </a:xfrm>
      </xdr:grpSpPr>
      <xdr:sp macro="" textlink="">
        <xdr:nvSpPr>
          <xdr:cNvPr id="288" name="Rectangle 287"/>
          <xdr:cNvSpPr/>
        </xdr:nvSpPr>
        <xdr:spPr>
          <a:xfrm>
            <a:off x="563306" y="1938237"/>
            <a:ext cx="1163758" cy="1550592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89" name="Picture 288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23931" y="2274676"/>
            <a:ext cx="375474" cy="321848"/>
          </a:xfrm>
          <a:prstGeom prst="rect">
            <a:avLst/>
          </a:prstGeom>
        </xdr:spPr>
      </xdr:pic>
      <xdr:sp macro="" textlink="">
        <xdr:nvSpPr>
          <xdr:cNvPr id="290" name="Rectangle 289"/>
          <xdr:cNvSpPr/>
        </xdr:nvSpPr>
        <xdr:spPr>
          <a:xfrm>
            <a:off x="583790" y="1958721"/>
            <a:ext cx="1088930" cy="188703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" name="Oval 290"/>
          <xdr:cNvSpPr/>
        </xdr:nvSpPr>
        <xdr:spPr>
          <a:xfrm>
            <a:off x="1527414" y="1992372"/>
            <a:ext cx="96906" cy="114350"/>
          </a:xfrm>
          <a:prstGeom prst="ellipse">
            <a:avLst/>
          </a:prstGeom>
          <a:solidFill>
            <a:srgbClr val="FFFF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" name="Oval 291"/>
          <xdr:cNvSpPr/>
        </xdr:nvSpPr>
        <xdr:spPr>
          <a:xfrm>
            <a:off x="1550768" y="2029742"/>
            <a:ext cx="50568" cy="49365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 w="508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" name="Rectangle 292"/>
          <xdr:cNvSpPr/>
        </xdr:nvSpPr>
        <xdr:spPr>
          <a:xfrm>
            <a:off x="644412" y="2018400"/>
            <a:ext cx="73552" cy="46024"/>
          </a:xfrm>
          <a:prstGeom prst="rect">
            <a:avLst/>
          </a:prstGeom>
          <a:solidFill>
            <a:schemeClr val="bg1">
              <a:lumMod val="65000"/>
            </a:schemeClr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" name="Rectangle 293"/>
          <xdr:cNvSpPr/>
        </xdr:nvSpPr>
        <xdr:spPr>
          <a:xfrm>
            <a:off x="737640" y="2018400"/>
            <a:ext cx="73552" cy="46024"/>
          </a:xfrm>
          <a:prstGeom prst="rect">
            <a:avLst/>
          </a:prstGeom>
          <a:solidFill>
            <a:srgbClr val="92D050"/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" name="Rectangle 294"/>
          <xdr:cNvSpPr/>
        </xdr:nvSpPr>
        <xdr:spPr>
          <a:xfrm>
            <a:off x="826270" y="2018400"/>
            <a:ext cx="73552" cy="46024"/>
          </a:xfrm>
          <a:prstGeom prst="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" name="Rectangle 295"/>
          <xdr:cNvSpPr/>
        </xdr:nvSpPr>
        <xdr:spPr>
          <a:xfrm>
            <a:off x="914510" y="2018400"/>
            <a:ext cx="73552" cy="46024"/>
          </a:xfrm>
          <a:prstGeom prst="rect">
            <a:avLst/>
          </a:prstGeom>
          <a:solidFill>
            <a:schemeClr val="bg2">
              <a:lumMod val="90000"/>
            </a:schemeClr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" name="Rectangle 296"/>
          <xdr:cNvSpPr/>
        </xdr:nvSpPr>
        <xdr:spPr>
          <a:xfrm>
            <a:off x="1056808" y="1993708"/>
            <a:ext cx="424347" cy="101073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3" name="Rectangle 302"/>
          <xdr:cNvSpPr/>
        </xdr:nvSpPr>
        <xdr:spPr>
          <a:xfrm>
            <a:off x="684290" y="3495711"/>
            <a:ext cx="71583" cy="92159"/>
          </a:xfrm>
          <a:prstGeom prst="rect">
            <a:avLst/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4" name="Trapezoid 303"/>
          <xdr:cNvSpPr/>
        </xdr:nvSpPr>
        <xdr:spPr>
          <a:xfrm>
            <a:off x="656758" y="3596642"/>
            <a:ext cx="132155" cy="55270"/>
          </a:xfrm>
          <a:prstGeom prst="trapezoid">
            <a:avLst>
              <a:gd name="adj" fmla="val 37500"/>
            </a:avLst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5" name="Rectangle 304"/>
          <xdr:cNvSpPr/>
        </xdr:nvSpPr>
        <xdr:spPr>
          <a:xfrm>
            <a:off x="1527737" y="3499521"/>
            <a:ext cx="71583" cy="92159"/>
          </a:xfrm>
          <a:prstGeom prst="rect">
            <a:avLst/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6" name="Trapezoid 305"/>
          <xdr:cNvSpPr/>
        </xdr:nvSpPr>
        <xdr:spPr>
          <a:xfrm>
            <a:off x="1500205" y="3600452"/>
            <a:ext cx="132155" cy="55270"/>
          </a:xfrm>
          <a:prstGeom prst="trapezoid">
            <a:avLst>
              <a:gd name="adj" fmla="val 37500"/>
            </a:avLst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7" name="Rectangle 306"/>
          <xdr:cNvSpPr/>
        </xdr:nvSpPr>
        <xdr:spPr>
          <a:xfrm>
            <a:off x="633538" y="1846108"/>
            <a:ext cx="170102" cy="79458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75000"/>
                </a:schemeClr>
              </a:gs>
              <a:gs pos="47000">
                <a:schemeClr val="bg1"/>
              </a:gs>
              <a:gs pos="61000">
                <a:schemeClr val="bg1"/>
              </a:gs>
              <a:gs pos="100000">
                <a:schemeClr val="bg1">
                  <a:lumMod val="75000"/>
                </a:schemeClr>
              </a:gs>
            </a:gsLst>
            <a:lin ang="0" scaled="1"/>
            <a:tileRect/>
          </a:gra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8" name="Round Same Side Corner Rectangle 307"/>
          <xdr:cNvSpPr/>
        </xdr:nvSpPr>
        <xdr:spPr>
          <a:xfrm>
            <a:off x="633750" y="1791340"/>
            <a:ext cx="85967" cy="47713"/>
          </a:xfrm>
          <a:prstGeom prst="round2SameRect">
            <a:avLst/>
          </a:prstGeom>
          <a:solidFill>
            <a:srgbClr val="00B05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9" name="Round Same Side Corner Rectangle 308"/>
          <xdr:cNvSpPr/>
        </xdr:nvSpPr>
        <xdr:spPr>
          <a:xfrm>
            <a:off x="721942" y="1791607"/>
            <a:ext cx="84133" cy="47713"/>
          </a:xfrm>
          <a:prstGeom prst="round2SameRect">
            <a:avLst/>
          </a:prstGeom>
          <a:solidFill>
            <a:srgbClr val="FF00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0" name="Rectangle 309"/>
          <xdr:cNvSpPr/>
        </xdr:nvSpPr>
        <xdr:spPr>
          <a:xfrm>
            <a:off x="687388" y="1793996"/>
            <a:ext cx="64602" cy="47156"/>
          </a:xfrm>
          <a:prstGeom prst="rect">
            <a:avLst/>
          </a:prstGeom>
          <a:solidFill>
            <a:srgbClr val="FFFF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21</xdr:col>
      <xdr:colOff>136239</xdr:colOff>
      <xdr:row>9</xdr:row>
      <xdr:rowOff>62902</xdr:rowOff>
    </xdr:from>
    <xdr:to>
      <xdr:col>23</xdr:col>
      <xdr:colOff>453876</xdr:colOff>
      <xdr:row>19</xdr:row>
      <xdr:rowOff>40255</xdr:rowOff>
    </xdr:to>
    <xdr:grpSp>
      <xdr:nvGrpSpPr>
        <xdr:cNvPr id="331" name="Group 330"/>
        <xdr:cNvGrpSpPr/>
      </xdr:nvGrpSpPr>
      <xdr:grpSpPr>
        <a:xfrm>
          <a:off x="13887958" y="1836933"/>
          <a:ext cx="1532074" cy="1882353"/>
          <a:chOff x="187351" y="1791340"/>
          <a:chExt cx="1539713" cy="1864382"/>
        </a:xfrm>
      </xdr:grpSpPr>
      <xdr:sp macro="" textlink="">
        <xdr:nvSpPr>
          <xdr:cNvPr id="332" name="Rectangle 331"/>
          <xdr:cNvSpPr/>
        </xdr:nvSpPr>
        <xdr:spPr>
          <a:xfrm>
            <a:off x="563306" y="1938237"/>
            <a:ext cx="1163758" cy="1550592"/>
          </a:xfrm>
          <a:prstGeom prst="rect">
            <a:avLst/>
          </a:prstGeom>
          <a:solidFill>
            <a:schemeClr val="bg2"/>
          </a:solidFill>
          <a:ln>
            <a:solidFill>
              <a:schemeClr val="bg1">
                <a:lumMod val="65000"/>
              </a:schemeClr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33" name="Picture 332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87351" y="2292647"/>
            <a:ext cx="375474" cy="321848"/>
          </a:xfrm>
          <a:prstGeom prst="rect">
            <a:avLst/>
          </a:prstGeom>
        </xdr:spPr>
      </xdr:pic>
      <xdr:sp macro="" textlink="">
        <xdr:nvSpPr>
          <xdr:cNvPr id="334" name="Rectangle 333"/>
          <xdr:cNvSpPr/>
        </xdr:nvSpPr>
        <xdr:spPr>
          <a:xfrm>
            <a:off x="583790" y="1958721"/>
            <a:ext cx="1088930" cy="188703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5" name="Oval 334"/>
          <xdr:cNvSpPr/>
        </xdr:nvSpPr>
        <xdr:spPr>
          <a:xfrm>
            <a:off x="1527414" y="1992372"/>
            <a:ext cx="96906" cy="114350"/>
          </a:xfrm>
          <a:prstGeom prst="ellipse">
            <a:avLst/>
          </a:prstGeom>
          <a:solidFill>
            <a:srgbClr val="FFFF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6" name="Oval 335"/>
          <xdr:cNvSpPr/>
        </xdr:nvSpPr>
        <xdr:spPr>
          <a:xfrm>
            <a:off x="1550768" y="2029742"/>
            <a:ext cx="50568" cy="49365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 w="508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7" name="Rectangle 336"/>
          <xdr:cNvSpPr/>
        </xdr:nvSpPr>
        <xdr:spPr>
          <a:xfrm>
            <a:off x="644412" y="2018400"/>
            <a:ext cx="73552" cy="46024"/>
          </a:xfrm>
          <a:prstGeom prst="rect">
            <a:avLst/>
          </a:prstGeom>
          <a:solidFill>
            <a:schemeClr val="bg1">
              <a:lumMod val="65000"/>
            </a:schemeClr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8" name="Rectangle 337"/>
          <xdr:cNvSpPr/>
        </xdr:nvSpPr>
        <xdr:spPr>
          <a:xfrm>
            <a:off x="737640" y="2018400"/>
            <a:ext cx="73552" cy="46024"/>
          </a:xfrm>
          <a:prstGeom prst="rect">
            <a:avLst/>
          </a:prstGeom>
          <a:solidFill>
            <a:srgbClr val="92D050"/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9" name="Rectangle 338"/>
          <xdr:cNvSpPr/>
        </xdr:nvSpPr>
        <xdr:spPr>
          <a:xfrm>
            <a:off x="826270" y="2018400"/>
            <a:ext cx="73552" cy="46024"/>
          </a:xfrm>
          <a:prstGeom prst="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0" name="Rectangle 339"/>
          <xdr:cNvSpPr/>
        </xdr:nvSpPr>
        <xdr:spPr>
          <a:xfrm>
            <a:off x="914510" y="2018400"/>
            <a:ext cx="73552" cy="46024"/>
          </a:xfrm>
          <a:prstGeom prst="rect">
            <a:avLst/>
          </a:prstGeom>
          <a:solidFill>
            <a:schemeClr val="bg2">
              <a:lumMod val="90000"/>
            </a:schemeClr>
          </a:solidFill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1" name="Rectangle 340"/>
          <xdr:cNvSpPr/>
        </xdr:nvSpPr>
        <xdr:spPr>
          <a:xfrm>
            <a:off x="1056808" y="1993708"/>
            <a:ext cx="424347" cy="101073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2" name="Rectangle 341"/>
          <xdr:cNvSpPr/>
        </xdr:nvSpPr>
        <xdr:spPr>
          <a:xfrm>
            <a:off x="684290" y="3495711"/>
            <a:ext cx="71583" cy="92159"/>
          </a:xfrm>
          <a:prstGeom prst="rect">
            <a:avLst/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3" name="Trapezoid 342"/>
          <xdr:cNvSpPr/>
        </xdr:nvSpPr>
        <xdr:spPr>
          <a:xfrm>
            <a:off x="656758" y="3596642"/>
            <a:ext cx="132155" cy="55270"/>
          </a:xfrm>
          <a:prstGeom prst="trapezoid">
            <a:avLst>
              <a:gd name="adj" fmla="val 37500"/>
            </a:avLst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4" name="Rectangle 343"/>
          <xdr:cNvSpPr/>
        </xdr:nvSpPr>
        <xdr:spPr>
          <a:xfrm>
            <a:off x="1527737" y="3499521"/>
            <a:ext cx="71583" cy="92159"/>
          </a:xfrm>
          <a:prstGeom prst="rect">
            <a:avLst/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5" name="Trapezoid 344"/>
          <xdr:cNvSpPr/>
        </xdr:nvSpPr>
        <xdr:spPr>
          <a:xfrm>
            <a:off x="1500205" y="3600452"/>
            <a:ext cx="132155" cy="55270"/>
          </a:xfrm>
          <a:prstGeom prst="trapezoid">
            <a:avLst>
              <a:gd name="adj" fmla="val 37500"/>
            </a:avLst>
          </a:prstGeom>
          <a:solidFill>
            <a:schemeClr val="tx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6" name="Rectangle 345"/>
          <xdr:cNvSpPr/>
        </xdr:nvSpPr>
        <xdr:spPr>
          <a:xfrm>
            <a:off x="633538" y="1846108"/>
            <a:ext cx="170102" cy="79458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75000"/>
                </a:schemeClr>
              </a:gs>
              <a:gs pos="47000">
                <a:schemeClr val="bg1"/>
              </a:gs>
              <a:gs pos="61000">
                <a:schemeClr val="bg1"/>
              </a:gs>
              <a:gs pos="100000">
                <a:schemeClr val="bg1">
                  <a:lumMod val="75000"/>
                </a:schemeClr>
              </a:gs>
            </a:gsLst>
            <a:lin ang="0" scaled="1"/>
            <a:tileRect/>
          </a:gra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7" name="Round Same Side Corner Rectangle 346"/>
          <xdr:cNvSpPr/>
        </xdr:nvSpPr>
        <xdr:spPr>
          <a:xfrm>
            <a:off x="633750" y="1791340"/>
            <a:ext cx="85967" cy="47713"/>
          </a:xfrm>
          <a:prstGeom prst="round2SameRect">
            <a:avLst/>
          </a:prstGeom>
          <a:solidFill>
            <a:srgbClr val="00B05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8" name="Round Same Side Corner Rectangle 347"/>
          <xdr:cNvSpPr/>
        </xdr:nvSpPr>
        <xdr:spPr>
          <a:xfrm>
            <a:off x="721942" y="1791607"/>
            <a:ext cx="84133" cy="47713"/>
          </a:xfrm>
          <a:prstGeom prst="round2SameRect">
            <a:avLst/>
          </a:prstGeom>
          <a:solidFill>
            <a:srgbClr val="FF00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9" name="Rectangle 348"/>
          <xdr:cNvSpPr/>
        </xdr:nvSpPr>
        <xdr:spPr>
          <a:xfrm>
            <a:off x="687388" y="1793996"/>
            <a:ext cx="64602" cy="47156"/>
          </a:xfrm>
          <a:prstGeom prst="rect">
            <a:avLst/>
          </a:prstGeom>
          <a:solidFill>
            <a:srgbClr val="FFFF00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22225</xdr:colOff>
      <xdr:row>19</xdr:row>
      <xdr:rowOff>142875</xdr:rowOff>
    </xdr:from>
    <xdr:to>
      <xdr:col>1</xdr:col>
      <xdr:colOff>530225</xdr:colOff>
      <xdr:row>21</xdr:row>
      <xdr:rowOff>99855</xdr:rowOff>
    </xdr:to>
    <xdr:pic>
      <xdr:nvPicPr>
        <xdr:cNvPr id="352" name="Picture351" descr="Image result for pcb boar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3810000"/>
          <a:ext cx="508000" cy="337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11906</xdr:colOff>
      <xdr:row>2</xdr:row>
      <xdr:rowOff>71436</xdr:rowOff>
    </xdr:from>
    <xdr:to>
      <xdr:col>0</xdr:col>
      <xdr:colOff>1095375</xdr:colOff>
      <xdr:row>3</xdr:row>
      <xdr:rowOff>190498</xdr:rowOff>
    </xdr:to>
    <xdr:sp macro="[0]!Start" textlink="">
      <xdr:nvSpPr>
        <xdr:cNvPr id="353" name="Rounded Rectangle 352"/>
        <xdr:cNvSpPr/>
      </xdr:nvSpPr>
      <xdr:spPr>
        <a:xfrm>
          <a:off x="11906" y="464342"/>
          <a:ext cx="1083469" cy="321469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Manual</a:t>
          </a:r>
        </a:p>
      </xdr:txBody>
    </xdr:sp>
    <xdr:clientData/>
  </xdr:twoCellAnchor>
  <xdr:twoCellAnchor>
    <xdr:from>
      <xdr:col>0</xdr:col>
      <xdr:colOff>11906</xdr:colOff>
      <xdr:row>4</xdr:row>
      <xdr:rowOff>47625</xdr:rowOff>
    </xdr:from>
    <xdr:to>
      <xdr:col>0</xdr:col>
      <xdr:colOff>1083469</xdr:colOff>
      <xdr:row>5</xdr:row>
      <xdr:rowOff>154781</xdr:rowOff>
    </xdr:to>
    <xdr:sp macro="[0]!Reset_Machine" textlink="">
      <xdr:nvSpPr>
        <xdr:cNvPr id="354" name="Rounded Rectangle 353"/>
        <xdr:cNvSpPr/>
      </xdr:nvSpPr>
      <xdr:spPr>
        <a:xfrm>
          <a:off x="11906" y="845344"/>
          <a:ext cx="1071563" cy="297656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RESET</a:t>
          </a:r>
        </a:p>
      </xdr:txBody>
    </xdr:sp>
    <xdr:clientData/>
  </xdr:twoCellAnchor>
  <xdr:twoCellAnchor>
    <xdr:from>
      <xdr:col>0</xdr:col>
      <xdr:colOff>23812</xdr:colOff>
      <xdr:row>0</xdr:row>
      <xdr:rowOff>23812</xdr:rowOff>
    </xdr:from>
    <xdr:to>
      <xdr:col>0</xdr:col>
      <xdr:colOff>1095375</xdr:colOff>
      <xdr:row>2</xdr:row>
      <xdr:rowOff>23813</xdr:rowOff>
    </xdr:to>
    <xdr:sp macro="[0]!Auto" textlink="">
      <xdr:nvSpPr>
        <xdr:cNvPr id="355" name="Snip Diagonal Corner Rectangle 354"/>
        <xdr:cNvSpPr/>
      </xdr:nvSpPr>
      <xdr:spPr>
        <a:xfrm>
          <a:off x="23812" y="23812"/>
          <a:ext cx="1071563" cy="392907"/>
        </a:xfrm>
        <a:prstGeom prst="snip2DiagRect">
          <a:avLst/>
        </a:prstGeom>
        <a:solidFill>
          <a:srgbClr val="0070C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AUTO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O12" sqref="O12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veObject">
                <anchor moveWithCells="1" sizeWithCells="1">
                  <from>
                    <xdr:col>0</xdr:col>
                    <xdr:colOff>28575</xdr:colOff>
                    <xdr:row>0</xdr:row>
                    <xdr:rowOff>0</xdr:rowOff>
                  </from>
                  <to>
                    <xdr:col>1</xdr:col>
                    <xdr:colOff>47625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30"/>
  <sheetViews>
    <sheetView tabSelected="1" zoomScale="80" zoomScaleNormal="80" workbookViewId="0">
      <selection activeCell="R27" sqref="R27"/>
    </sheetView>
  </sheetViews>
  <sheetFormatPr defaultColWidth="0" defaultRowHeight="15" zeroHeight="1" x14ac:dyDescent="0.25"/>
  <cols>
    <col min="1" max="1" width="18.7109375" style="1" customWidth="1"/>
    <col min="2" max="4" width="9.140625" style="1" customWidth="1"/>
    <col min="5" max="5" width="13" style="1" bestFit="1" customWidth="1"/>
    <col min="6" max="9" width="9.140625" style="1" customWidth="1"/>
    <col min="10" max="10" width="10.5703125" style="1" bestFit="1" customWidth="1"/>
    <col min="11" max="26" width="9.140625" style="1" customWidth="1"/>
    <col min="27" max="16384" width="9.140625" style="1" hidden="1"/>
  </cols>
  <sheetData>
    <row r="1" spans="2:24" x14ac:dyDescent="0.25">
      <c r="B1" s="15" t="s">
        <v>10</v>
      </c>
      <c r="C1" s="15"/>
      <c r="D1" s="18"/>
      <c r="E1" s="16" t="s">
        <v>1</v>
      </c>
      <c r="F1" s="16"/>
      <c r="G1" s="19"/>
      <c r="H1" s="18" t="s">
        <v>2</v>
      </c>
      <c r="I1" s="18"/>
      <c r="J1" s="17" t="s">
        <v>3</v>
      </c>
      <c r="K1" s="17"/>
      <c r="L1" s="20"/>
      <c r="M1" s="18" t="s">
        <v>2</v>
      </c>
      <c r="N1" s="21"/>
      <c r="O1" s="35" t="s">
        <v>9</v>
      </c>
      <c r="P1" s="36" t="s">
        <v>8</v>
      </c>
      <c r="Q1" s="36"/>
      <c r="R1" s="37" t="s">
        <v>7</v>
      </c>
      <c r="S1" s="38" t="s">
        <v>6</v>
      </c>
      <c r="T1" s="47" t="s">
        <v>4</v>
      </c>
      <c r="U1" s="50" t="s">
        <v>5</v>
      </c>
      <c r="V1" s="21"/>
      <c r="W1" s="15" t="s">
        <v>0</v>
      </c>
      <c r="X1" s="15"/>
    </row>
    <row r="2" spans="2:24" ht="15.75" thickBot="1" x14ac:dyDescent="0.3">
      <c r="B2" s="3" t="s">
        <v>20</v>
      </c>
      <c r="C2" s="3"/>
      <c r="E2" s="4" t="s">
        <v>20</v>
      </c>
      <c r="F2" s="9">
        <v>3</v>
      </c>
      <c r="G2" s="4" t="s">
        <v>23</v>
      </c>
      <c r="H2" s="1" t="s">
        <v>11</v>
      </c>
      <c r="J2" s="13" t="s">
        <v>20</v>
      </c>
      <c r="K2" s="9">
        <v>3</v>
      </c>
      <c r="L2" s="13" t="s">
        <v>16</v>
      </c>
      <c r="M2" s="1" t="s">
        <v>11</v>
      </c>
      <c r="N2" s="12" t="s">
        <v>18</v>
      </c>
      <c r="O2" s="57">
        <v>150</v>
      </c>
      <c r="P2" s="57">
        <v>160</v>
      </c>
      <c r="Q2" s="57">
        <v>170</v>
      </c>
      <c r="R2" s="57">
        <v>200</v>
      </c>
      <c r="S2" s="57">
        <v>210</v>
      </c>
      <c r="T2" s="30">
        <v>180</v>
      </c>
      <c r="U2" s="30">
        <v>150</v>
      </c>
      <c r="V2" s="12" t="s">
        <v>27</v>
      </c>
      <c r="W2" s="3" t="s">
        <v>32</v>
      </c>
      <c r="X2" s="3"/>
    </row>
    <row r="3" spans="2:24" ht="15.75" thickBot="1" x14ac:dyDescent="0.3">
      <c r="B3" s="53">
        <v>3</v>
      </c>
      <c r="C3" s="54"/>
      <c r="E3" s="4" t="s">
        <v>13</v>
      </c>
      <c r="F3" s="9">
        <v>2</v>
      </c>
      <c r="G3" s="4" t="s">
        <v>23</v>
      </c>
      <c r="H3" s="55">
        <v>3</v>
      </c>
      <c r="J3" s="13" t="s">
        <v>13</v>
      </c>
      <c r="K3" s="9">
        <v>2</v>
      </c>
      <c r="L3" s="13" t="s">
        <v>16</v>
      </c>
      <c r="M3" s="55">
        <v>3</v>
      </c>
      <c r="N3" s="12" t="s">
        <v>22</v>
      </c>
      <c r="O3" s="57">
        <v>508</v>
      </c>
      <c r="P3" s="57">
        <v>508</v>
      </c>
      <c r="Q3" s="57">
        <v>508</v>
      </c>
      <c r="R3" s="57">
        <v>508</v>
      </c>
      <c r="S3" s="57">
        <v>508</v>
      </c>
      <c r="T3" s="30">
        <v>508</v>
      </c>
      <c r="U3" s="30">
        <v>508</v>
      </c>
      <c r="V3" s="12" t="s">
        <v>28</v>
      </c>
      <c r="W3" s="53">
        <v>3</v>
      </c>
      <c r="X3" s="54"/>
    </row>
    <row r="4" spans="2:24" ht="15.75" thickBot="1" x14ac:dyDescent="0.3">
      <c r="B4" s="14" t="s">
        <v>16</v>
      </c>
      <c r="C4" s="14"/>
      <c r="E4" s="4" t="s">
        <v>19</v>
      </c>
      <c r="F4" s="9">
        <v>2</v>
      </c>
      <c r="G4" s="4" t="s">
        <v>23</v>
      </c>
      <c r="H4" s="2" t="s">
        <v>16</v>
      </c>
      <c r="J4" s="13" t="s">
        <v>12</v>
      </c>
      <c r="K4" s="9">
        <v>2</v>
      </c>
      <c r="L4" s="13" t="s">
        <v>16</v>
      </c>
      <c r="M4" s="2" t="s">
        <v>16</v>
      </c>
      <c r="N4" s="12" t="s">
        <v>30</v>
      </c>
      <c r="O4" s="39">
        <f>INT(O3/$O$6)</f>
        <v>6</v>
      </c>
      <c r="P4" s="40">
        <f t="shared" ref="P4:U4" si="0">INT(P3/$O$6)</f>
        <v>6</v>
      </c>
      <c r="Q4" s="40">
        <f t="shared" si="0"/>
        <v>6</v>
      </c>
      <c r="R4" s="41">
        <f t="shared" si="0"/>
        <v>6</v>
      </c>
      <c r="S4" s="42">
        <f t="shared" si="0"/>
        <v>6</v>
      </c>
      <c r="T4" s="48">
        <f t="shared" si="0"/>
        <v>6</v>
      </c>
      <c r="U4" s="52">
        <f t="shared" si="0"/>
        <v>6</v>
      </c>
      <c r="V4" s="12" t="s">
        <v>23</v>
      </c>
      <c r="W4" s="14" t="s">
        <v>16</v>
      </c>
      <c r="X4" s="14"/>
    </row>
    <row r="5" spans="2:24" x14ac:dyDescent="0.25">
      <c r="E5" s="4" t="s">
        <v>24</v>
      </c>
      <c r="F5" s="9">
        <v>15</v>
      </c>
      <c r="G5" s="4" t="s">
        <v>29</v>
      </c>
      <c r="J5" s="13" t="s">
        <v>14</v>
      </c>
      <c r="K5" s="9">
        <v>50</v>
      </c>
      <c r="L5" s="13" t="s">
        <v>26</v>
      </c>
      <c r="N5" s="12"/>
      <c r="O5" s="43">
        <f>O4/60</f>
        <v>0.1</v>
      </c>
      <c r="P5" s="44">
        <f t="shared" ref="P5:U5" si="1">P4/60</f>
        <v>0.1</v>
      </c>
      <c r="Q5" s="44">
        <f t="shared" si="1"/>
        <v>0.1</v>
      </c>
      <c r="R5" s="45">
        <f t="shared" si="1"/>
        <v>0.1</v>
      </c>
      <c r="S5" s="46">
        <f t="shared" si="1"/>
        <v>0.1</v>
      </c>
      <c r="T5" s="49">
        <f t="shared" si="1"/>
        <v>0.1</v>
      </c>
      <c r="U5" s="51">
        <f t="shared" si="1"/>
        <v>0.1</v>
      </c>
      <c r="V5" s="12" t="s">
        <v>31</v>
      </c>
    </row>
    <row r="6" spans="2:24" ht="15.75" thickBot="1" x14ac:dyDescent="0.3">
      <c r="E6" s="4" t="s">
        <v>25</v>
      </c>
      <c r="F6" s="9">
        <v>150</v>
      </c>
      <c r="G6" s="4" t="s">
        <v>28</v>
      </c>
      <c r="J6" s="13" t="s">
        <v>15</v>
      </c>
      <c r="K6" s="9">
        <v>0.2</v>
      </c>
      <c r="L6" s="13" t="s">
        <v>16</v>
      </c>
      <c r="N6" s="12" t="s">
        <v>21</v>
      </c>
      <c r="O6" s="56">
        <v>80.5</v>
      </c>
      <c r="P6" s="56"/>
      <c r="Q6" s="56"/>
      <c r="R6" s="56"/>
      <c r="S6" s="56"/>
      <c r="T6" s="56"/>
      <c r="U6" s="56"/>
      <c r="V6" s="12" t="s">
        <v>29</v>
      </c>
    </row>
    <row r="7" spans="2:24" ht="15.75" thickBot="1" x14ac:dyDescent="0.3">
      <c r="E7" s="4" t="s">
        <v>17</v>
      </c>
      <c r="F7" s="22">
        <f>F2+F3+F4+INT(F6/F5)</f>
        <v>17</v>
      </c>
      <c r="G7" s="4" t="s">
        <v>16</v>
      </c>
      <c r="J7" s="13" t="s">
        <v>17</v>
      </c>
      <c r="K7" s="23">
        <f>K2+K3+K4+INT(K5*K6)</f>
        <v>17</v>
      </c>
      <c r="L7" s="13" t="s">
        <v>16</v>
      </c>
      <c r="N7" s="12" t="s">
        <v>17</v>
      </c>
      <c r="O7" s="25">
        <f>SUM(O4:U4)</f>
        <v>42</v>
      </c>
      <c r="P7" s="26"/>
      <c r="Q7" s="26"/>
      <c r="R7" s="26"/>
      <c r="S7" s="26"/>
      <c r="T7" s="26"/>
      <c r="U7" s="27"/>
      <c r="V7" s="12" t="s">
        <v>23</v>
      </c>
    </row>
    <row r="8" spans="2:24" x14ac:dyDescent="0.25">
      <c r="E8" s="4"/>
      <c r="F8" s="4"/>
      <c r="G8" s="4"/>
      <c r="J8" s="13"/>
      <c r="K8" s="13"/>
      <c r="L8" s="13"/>
      <c r="N8" s="12"/>
      <c r="O8" s="24">
        <f>O7/60</f>
        <v>0.7</v>
      </c>
      <c r="P8" s="24"/>
      <c r="Q8" s="24"/>
      <c r="R8" s="24"/>
      <c r="S8" s="24"/>
      <c r="T8" s="24"/>
      <c r="U8" s="24"/>
      <c r="V8" s="12" t="s">
        <v>31</v>
      </c>
    </row>
    <row r="9" spans="2:24" x14ac:dyDescent="0.25">
      <c r="E9" s="4"/>
      <c r="F9" s="4"/>
      <c r="G9" s="4"/>
      <c r="J9" s="13"/>
      <c r="K9" s="13"/>
      <c r="L9" s="13"/>
      <c r="N9" s="12"/>
      <c r="O9" s="28"/>
      <c r="P9" s="31"/>
      <c r="Q9" s="31"/>
      <c r="R9" s="33"/>
      <c r="S9" s="11"/>
      <c r="T9" s="8"/>
      <c r="U9" s="6"/>
      <c r="V9" s="12"/>
    </row>
    <row r="10" spans="2:24" x14ac:dyDescent="0.25">
      <c r="E10" s="4"/>
      <c r="F10" s="4"/>
      <c r="G10" s="4"/>
      <c r="J10" s="13"/>
      <c r="K10" s="13"/>
      <c r="L10" s="13"/>
      <c r="N10" s="12"/>
      <c r="O10" s="28"/>
      <c r="P10" s="31"/>
      <c r="Q10" s="31"/>
      <c r="R10" s="33"/>
      <c r="S10" s="11"/>
      <c r="T10" s="8"/>
      <c r="U10" s="6"/>
      <c r="V10" s="12"/>
    </row>
    <row r="11" spans="2:24" x14ac:dyDescent="0.25">
      <c r="E11" s="4"/>
      <c r="F11" s="4"/>
      <c r="G11" s="4"/>
      <c r="J11" s="13"/>
      <c r="K11" s="13"/>
      <c r="L11" s="13"/>
      <c r="N11" s="12"/>
      <c r="O11" s="28"/>
      <c r="P11" s="31"/>
      <c r="Q11" s="31"/>
      <c r="R11" s="33"/>
      <c r="S11" s="11"/>
      <c r="T11" s="8"/>
      <c r="U11" s="6"/>
      <c r="V11" s="12"/>
    </row>
    <row r="12" spans="2:24" x14ac:dyDescent="0.25">
      <c r="E12" s="4"/>
      <c r="F12" s="4"/>
      <c r="G12" s="4"/>
      <c r="J12" s="13"/>
      <c r="K12" s="13"/>
      <c r="L12" s="13"/>
      <c r="N12" s="12"/>
      <c r="O12" s="29"/>
      <c r="P12" s="32"/>
      <c r="Q12" s="32"/>
      <c r="R12" s="34"/>
      <c r="S12" s="10"/>
      <c r="T12" s="7"/>
      <c r="U12" s="5"/>
      <c r="V12" s="12"/>
    </row>
    <row r="13" spans="2:24" x14ac:dyDescent="0.25">
      <c r="E13" s="4"/>
      <c r="F13" s="4"/>
      <c r="G13" s="4"/>
      <c r="J13" s="13"/>
      <c r="K13" s="13"/>
      <c r="L13" s="13"/>
      <c r="N13" s="12"/>
      <c r="O13" s="29"/>
      <c r="P13" s="32"/>
      <c r="Q13" s="32"/>
      <c r="R13" s="34"/>
      <c r="S13" s="10"/>
      <c r="T13" s="7"/>
      <c r="U13" s="5"/>
      <c r="V13" s="12"/>
    </row>
    <row r="14" spans="2:24" x14ac:dyDescent="0.25">
      <c r="E14" s="4"/>
      <c r="F14" s="4"/>
      <c r="G14" s="4"/>
      <c r="J14" s="13"/>
      <c r="K14" s="13"/>
      <c r="L14" s="13"/>
      <c r="N14" s="12"/>
      <c r="O14" s="29"/>
      <c r="P14" s="32"/>
      <c r="Q14" s="32"/>
      <c r="R14" s="34"/>
      <c r="S14" s="10"/>
      <c r="T14" s="7"/>
      <c r="U14" s="5"/>
      <c r="V14" s="12"/>
    </row>
    <row r="15" spans="2:24" x14ac:dyDescent="0.25">
      <c r="E15" s="4"/>
      <c r="F15" s="4"/>
      <c r="G15" s="4"/>
      <c r="J15" s="13"/>
      <c r="K15" s="13"/>
      <c r="L15" s="13"/>
      <c r="N15" s="12"/>
      <c r="O15" s="29"/>
      <c r="P15" s="32"/>
      <c r="Q15" s="32"/>
      <c r="R15" s="34"/>
      <c r="S15" s="10"/>
      <c r="T15" s="7"/>
      <c r="U15" s="5"/>
      <c r="V15" s="12"/>
    </row>
    <row r="16" spans="2:24" x14ac:dyDescent="0.25">
      <c r="E16" s="4"/>
      <c r="F16" s="4"/>
      <c r="G16" s="4"/>
      <c r="J16" s="13"/>
      <c r="K16" s="13"/>
      <c r="L16" s="13"/>
      <c r="N16" s="12"/>
      <c r="O16" s="29"/>
      <c r="P16" s="32"/>
      <c r="Q16" s="32"/>
      <c r="R16" s="34"/>
      <c r="S16" s="10"/>
      <c r="T16" s="7"/>
      <c r="U16" s="5"/>
      <c r="V16" s="12"/>
    </row>
    <row r="17" spans="5:22" x14ac:dyDescent="0.25">
      <c r="E17" s="4"/>
      <c r="F17" s="4"/>
      <c r="G17" s="4"/>
      <c r="J17" s="13"/>
      <c r="K17" s="13"/>
      <c r="L17" s="13"/>
      <c r="N17" s="12"/>
      <c r="O17" s="29"/>
      <c r="P17" s="32"/>
      <c r="Q17" s="32"/>
      <c r="R17" s="34"/>
      <c r="S17" s="10"/>
      <c r="T17" s="7"/>
      <c r="U17" s="5"/>
      <c r="V17" s="12"/>
    </row>
    <row r="18" spans="5:22" x14ac:dyDescent="0.25">
      <c r="E18" s="4"/>
      <c r="F18" s="4"/>
      <c r="G18" s="4"/>
      <c r="J18" s="13"/>
      <c r="K18" s="13"/>
      <c r="L18" s="13"/>
      <c r="N18" s="12"/>
      <c r="O18" s="29"/>
      <c r="P18" s="32"/>
      <c r="Q18" s="32"/>
      <c r="R18" s="34"/>
      <c r="S18" s="10"/>
      <c r="T18" s="7"/>
      <c r="U18" s="5"/>
      <c r="V18" s="12"/>
    </row>
    <row r="19" spans="5:22" x14ac:dyDescent="0.25">
      <c r="E19" s="4"/>
      <c r="F19" s="4"/>
      <c r="G19" s="4"/>
      <c r="J19" s="13"/>
      <c r="K19" s="13"/>
      <c r="L19" s="13"/>
      <c r="N19" s="12"/>
      <c r="O19" s="29"/>
      <c r="P19" s="32"/>
      <c r="Q19" s="32"/>
      <c r="R19" s="34"/>
      <c r="S19" s="10"/>
      <c r="T19" s="7"/>
      <c r="U19" s="5"/>
      <c r="V19" s="12"/>
    </row>
    <row r="20" spans="5:22" x14ac:dyDescent="0.25">
      <c r="E20" s="4"/>
      <c r="F20" s="4"/>
      <c r="G20" s="4"/>
      <c r="J20" s="13"/>
      <c r="K20" s="13"/>
      <c r="L20" s="13"/>
      <c r="N20" s="12"/>
      <c r="O20" s="29"/>
      <c r="P20" s="32"/>
      <c r="Q20" s="32"/>
      <c r="R20" s="34"/>
      <c r="S20" s="10"/>
      <c r="T20" s="7"/>
      <c r="U20" s="5"/>
      <c r="V20" s="12"/>
    </row>
    <row r="21" spans="5:22" x14ac:dyDescent="0.25">
      <c r="E21" s="4"/>
      <c r="F21" s="4"/>
      <c r="G21" s="4"/>
      <c r="J21" s="13"/>
      <c r="K21" s="13"/>
      <c r="L21" s="13"/>
      <c r="N21" s="12"/>
      <c r="O21" s="29"/>
      <c r="P21" s="32"/>
      <c r="Q21" s="32"/>
      <c r="R21" s="34"/>
      <c r="S21" s="10"/>
      <c r="T21" s="7"/>
      <c r="U21" s="5"/>
      <c r="V21" s="12"/>
    </row>
    <row r="22" spans="5:22" x14ac:dyDescent="0.25">
      <c r="E22" s="4"/>
      <c r="F22" s="4"/>
      <c r="G22" s="4"/>
      <c r="J22" s="13"/>
      <c r="K22" s="13"/>
      <c r="L22" s="13"/>
      <c r="N22" s="12"/>
      <c r="O22" s="29"/>
      <c r="P22" s="32"/>
      <c r="Q22" s="32"/>
      <c r="R22" s="34"/>
      <c r="S22" s="10"/>
      <c r="T22" s="7"/>
      <c r="U22" s="5"/>
      <c r="V22" s="12"/>
    </row>
    <row r="23" spans="5:22" ht="15.75" thickBot="1" x14ac:dyDescent="0.3">
      <c r="E23" s="4"/>
      <c r="F23" s="4"/>
      <c r="G23" s="4"/>
      <c r="J23" s="13"/>
      <c r="K23" s="13"/>
      <c r="L23" s="13"/>
      <c r="N23" s="12"/>
      <c r="O23" s="29"/>
      <c r="P23" s="32"/>
      <c r="Q23" s="32"/>
      <c r="R23" s="34"/>
      <c r="S23" s="10"/>
      <c r="T23" s="7"/>
      <c r="U23" s="5"/>
      <c r="V23" s="12"/>
    </row>
    <row r="24" spans="5:22" ht="15.75" thickBot="1" x14ac:dyDescent="0.3">
      <c r="E24"/>
      <c r="J24" s="67"/>
    </row>
    <row r="25" spans="5:22" x14ac:dyDescent="0.25">
      <c r="H25" s="58" t="s">
        <v>33</v>
      </c>
      <c r="I25" s="59"/>
      <c r="J25" s="59"/>
      <c r="K25" s="59"/>
      <c r="L25" s="60"/>
    </row>
    <row r="26" spans="5:22" x14ac:dyDescent="0.25">
      <c r="H26" s="61"/>
      <c r="I26" s="62"/>
      <c r="J26" s="62"/>
      <c r="K26" s="62"/>
      <c r="L26" s="63"/>
    </row>
    <row r="27" spans="5:22" x14ac:dyDescent="0.25">
      <c r="H27" s="61"/>
      <c r="I27" s="62"/>
      <c r="J27" s="62"/>
      <c r="K27" s="62"/>
      <c r="L27" s="63"/>
    </row>
    <row r="28" spans="5:22" x14ac:dyDescent="0.25">
      <c r="H28" s="61"/>
      <c r="I28" s="62"/>
      <c r="J28" s="62"/>
      <c r="K28" s="62"/>
      <c r="L28" s="63"/>
    </row>
    <row r="29" spans="5:22" x14ac:dyDescent="0.25">
      <c r="H29" s="61"/>
      <c r="I29" s="62"/>
      <c r="J29" s="62"/>
      <c r="K29" s="62"/>
      <c r="L29" s="63"/>
    </row>
    <row r="30" spans="5:22" ht="15.75" thickBot="1" x14ac:dyDescent="0.3">
      <c r="H30" s="64"/>
      <c r="I30" s="65"/>
      <c r="J30" s="65"/>
      <c r="K30" s="65"/>
      <c r="L30" s="66"/>
    </row>
  </sheetData>
  <mergeCells count="15">
    <mergeCell ref="H25:L30"/>
    <mergeCell ref="O7:U7"/>
    <mergeCell ref="O8:U8"/>
    <mergeCell ref="B2:C2"/>
    <mergeCell ref="B3:C3"/>
    <mergeCell ref="B4:C4"/>
    <mergeCell ref="W2:X2"/>
    <mergeCell ref="W3:X3"/>
    <mergeCell ref="W4:X4"/>
    <mergeCell ref="B1:C1"/>
    <mergeCell ref="E1:F1"/>
    <mergeCell ref="J1:K1"/>
    <mergeCell ref="P1:Q1"/>
    <mergeCell ref="W1:X1"/>
    <mergeCell ref="O6:U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Car</vt:lpstr>
      <vt:lpstr>Machine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2017-08-20T07:12:25Z</dcterms:created>
  <dcterms:modified xsi:type="dcterms:W3CDTF">2017-08-21T13:25:22Z</dcterms:modified>
</cp:coreProperties>
</file>