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mbling SOftware Development\"/>
    </mc:Choice>
  </mc:AlternateContent>
  <workbookProtection workbookAlgorithmName="SHA-512" workbookHashValue="MsqlBUZqkKfGuIwI2rVbnLkJpIy5bY3XdE9DPUOP73pPXIk3iqr6qBQlCWL1Lv4JlnTOzAtoxT8eAy70M+/KHg==" workbookSaltValue="qMGFQ+oCVHPAFhmAlpe7/Q==" workbookSpinCount="100000" lockStructure="1"/>
  <bookViews>
    <workbookView xWindow="120" yWindow="75" windowWidth="15195" windowHeight="6915" tabRatio="766" activeTab="3"/>
  </bookViews>
  <sheets>
    <sheet name="Coverpage" sheetId="1" r:id="rId1"/>
    <sheet name="Introduction" sheetId="2" r:id="rId2"/>
    <sheet name="Instructions Manual" sheetId="3" r:id="rId3"/>
    <sheet name="Main" sheetId="4" r:id="rId4"/>
    <sheet name="Data" sheetId="5" r:id="rId5"/>
  </sheets>
  <definedNames>
    <definedName name="_xlnm.Print_Area" localSheetId="4">Data!$B$1:$I$23</definedName>
    <definedName name="Z_358E4FB0_3A35_461B_AF3A_74D5EE139742_.wvu.Cols" localSheetId="0" hidden="1">Coverpage!$P:$XFD</definedName>
    <definedName name="Z_358E4FB0_3A35_461B_AF3A_74D5EE139742_.wvu.Cols" localSheetId="2" hidden="1">'Instructions Manual'!$O:$XFD</definedName>
    <definedName name="Z_358E4FB0_3A35_461B_AF3A_74D5EE139742_.wvu.Cols" localSheetId="1" hidden="1">Introduction!$P:$XFD</definedName>
    <definedName name="Z_358E4FB0_3A35_461B_AF3A_74D5EE139742_.wvu.Cols" localSheetId="3" hidden="1">Main!$Q:$XFD</definedName>
    <definedName name="Z_358E4FB0_3A35_461B_AF3A_74D5EE139742_.wvu.PrintArea" localSheetId="4" hidden="1">Data!$B$1:$I$23</definedName>
    <definedName name="Z_358E4FB0_3A35_461B_AF3A_74D5EE139742_.wvu.Rows" localSheetId="0" hidden="1">Coverpage!$23:$1048576</definedName>
    <definedName name="Z_358E4FB0_3A35_461B_AF3A_74D5EE139742_.wvu.Rows" localSheetId="1" hidden="1">Introduction!$334:$1048576</definedName>
    <definedName name="Z_358E4FB0_3A35_461B_AF3A_74D5EE139742_.wvu.Rows" localSheetId="3" hidden="1">Main!$22:$1048576</definedName>
  </definedNames>
  <calcPr calcId="152511"/>
  <customWorkbookViews>
    <customWorkbookView name="remy lim - Personal View" guid="{358E4FB0-3A35-461B-AF3A-74D5EE139742}" mergeInterval="0" personalView="1" maximized="1" xWindow="-8" yWindow="-8" windowWidth="1382" windowHeight="744" tabRatio="766" activeSheetId="4"/>
  </customWorkbookViews>
</workbook>
</file>

<file path=xl/calcChain.xml><?xml version="1.0" encoding="utf-8"?>
<calcChain xmlns="http://schemas.openxmlformats.org/spreadsheetml/2006/main">
  <c r="M18" i="5" l="1"/>
  <c r="J15" i="4" l="1"/>
  <c r="I15" i="4"/>
  <c r="H15" i="4"/>
  <c r="G15" i="4"/>
  <c r="F15" i="4"/>
  <c r="J14" i="4"/>
  <c r="I14" i="4"/>
  <c r="H14" i="4"/>
  <c r="G14" i="4"/>
  <c r="F14" i="4"/>
  <c r="B2" i="4" l="1"/>
  <c r="H16" i="4"/>
  <c r="I16" i="4"/>
  <c r="J16" i="4"/>
  <c r="G16" i="4"/>
  <c r="F16" i="4"/>
  <c r="F17" i="4" l="1"/>
  <c r="G327" i="2"/>
  <c r="F327" i="2"/>
  <c r="E327" i="2"/>
  <c r="D327" i="2"/>
  <c r="C327" i="2"/>
  <c r="E14" i="4" l="1"/>
  <c r="E15" i="4" l="1"/>
  <c r="N321" i="2" l="1"/>
  <c r="G319" i="2"/>
  <c r="N291" i="2"/>
  <c r="G291" i="2"/>
  <c r="N314" i="2"/>
  <c r="G314" i="2"/>
  <c r="N308" i="2"/>
  <c r="N303" i="2"/>
  <c r="N297" i="2"/>
  <c r="G29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7" i="2"/>
  <c r="B3" i="4" l="1"/>
  <c r="D3" i="4"/>
</calcChain>
</file>

<file path=xl/sharedStrings.xml><?xml version="1.0" encoding="utf-8"?>
<sst xmlns="http://schemas.openxmlformats.org/spreadsheetml/2006/main" count="256" uniqueCount="121">
  <si>
    <t>Odd</t>
  </si>
  <si>
    <t>Even</t>
  </si>
  <si>
    <t>Targetmatch</t>
  </si>
  <si>
    <t>Sum Upp Limit</t>
  </si>
  <si>
    <t>Sum Low Limit</t>
  </si>
  <si>
    <t>1 to  9</t>
  </si>
  <si>
    <t>10 to 19</t>
  </si>
  <si>
    <t>20 to 29</t>
  </si>
  <si>
    <t>30 to 39</t>
  </si>
  <si>
    <t>40 to 49</t>
  </si>
  <si>
    <t>Ball</t>
  </si>
  <si>
    <t>Start</t>
  </si>
  <si>
    <t>Stop</t>
  </si>
  <si>
    <t xml:space="preserve">            </t>
  </si>
  <si>
    <t>Match</t>
  </si>
  <si>
    <t xml:space="preserve">           </t>
  </si>
  <si>
    <t>Parameters</t>
  </si>
  <si>
    <t>Uppsum</t>
  </si>
  <si>
    <t>Lowsum</t>
  </si>
  <si>
    <t>Spot#1</t>
  </si>
  <si>
    <t>Spot#2</t>
  </si>
  <si>
    <t>Spot#3</t>
  </si>
  <si>
    <t>Spot#4</t>
  </si>
  <si>
    <t>Spot#5</t>
  </si>
  <si>
    <t>Small</t>
  </si>
  <si>
    <t>Big</t>
  </si>
  <si>
    <t>High</t>
  </si>
  <si>
    <t>Low</t>
  </si>
  <si>
    <t>Range</t>
  </si>
  <si>
    <t>If we group them into system 7( Since 7 balls will be drawn each time), the combinations has reduced to 77,384,784 probability has risen to 0.00000129224%.</t>
  </si>
  <si>
    <t xml:space="preserve">By understanding the pattern of the draw by grouping the 49 numbers into 5 groups, further reduced the probability: </t>
  </si>
  <si>
    <t>1st Group</t>
  </si>
  <si>
    <t>2nd Group</t>
  </si>
  <si>
    <t>3rd Group</t>
  </si>
  <si>
    <t>4th Group</t>
  </si>
  <si>
    <t>5th Group</t>
  </si>
  <si>
    <t>Probabiity</t>
  </si>
  <si>
    <t>The sum of all the 7 numbers in each draw range between 12 to 322, the sum of the previous draw always deduce the next draw.</t>
  </si>
  <si>
    <t>The pattern will show if the next draw will go higher or lower, hence will help to predict the grouping selection.</t>
  </si>
  <si>
    <t>Upper Sum</t>
  </si>
  <si>
    <t>Lower Sum</t>
  </si>
  <si>
    <t>Next, by understanding the number of Odd and Even pattern , will help to predict if the total sum will be Odd or Even.</t>
  </si>
  <si>
    <t>Odd and Even prediction also help to reduced the number of combination possiblities and increases the probability.</t>
  </si>
  <si>
    <t>Probability</t>
  </si>
  <si>
    <t>Combo</t>
  </si>
  <si>
    <t xml:space="preserve">Further deducing using how many numbers are smaller or greater than 25, wil also help to narrow the gap of the total sum range. </t>
  </si>
  <si>
    <t>The pattern of how many numbers are bigger or  smaller than 25 will also help to deduct the grouping combination.</t>
  </si>
  <si>
    <t>By combining both criterias together, further reduce the possibilities and increases the probability.</t>
  </si>
  <si>
    <t>You may also notice that after a long period of data collection, some numbers maybe long due to be drawn or high likely the number will be drawn again (AKA repeat)</t>
  </si>
  <si>
    <t>If you can spot them , they may also decrease the number of combinations and increase your probability</t>
  </si>
  <si>
    <t>There is a total of 541,493,688 combinations when picking out 6 numbers out of 49, the probability is 0.00000018467435% to strike the first prize</t>
  </si>
  <si>
    <t xml:space="preserve">Its all about increasing your odds in winning and minimizing your losses in foolish unneccessary bets. </t>
  </si>
  <si>
    <t>Possible Sum</t>
  </si>
  <si>
    <t>31,33,35,35, 37 or 39</t>
  </si>
  <si>
    <t>Combination with Odd &amp; Even pattern will also help to reduce the possibilities and increases the probability.</t>
  </si>
  <si>
    <t>Instructions Manual</t>
  </si>
  <si>
    <t>1. Goto Main Page</t>
  </si>
  <si>
    <t>2. Enter your prediction interms of the possibile amount of numbers in each grouping of the coming draw (F2,G2,H2,I2 &amp;J2)</t>
  </si>
  <si>
    <t>3. Enter your prediction of the total sum range in the coming draw ( B4 (Upper Limit)&amp; B5(Lower Limit))</t>
  </si>
  <si>
    <t xml:space="preserve">5. Enter your prediction number of odd and even in the coming draw (B6 (Odd) &amp; B7(Even)) - Total of both Odd and Even must be 7 </t>
  </si>
  <si>
    <t>4. Upper Limt Sum must be higher than Lower Limit Sum. Ensure either Upper or Lower Limit range fall inbetween the grouping Max &amp; Min Sum</t>
  </si>
  <si>
    <t>7. Total of both Big &amp; Small must be 7 . Ensure that these number fits into the assumption of the grouping prediction you made earlier.</t>
  </si>
  <si>
    <t>The number of matched combination will be shown in Data Page :U2.</t>
  </si>
  <si>
    <t>You will see in Data Page:K2 if the program is hanged or still processing.</t>
  </si>
  <si>
    <t>Data Page:Column B to H are the actual Sets of System 7 bet</t>
  </si>
  <si>
    <t>Toto 7/49 Generator Programmed By Remy Lim 2017 Jan</t>
  </si>
  <si>
    <t>9. Enter the minimum number of match within the numbers determined earlier (Min 1 number, Max 5 number) into B21</t>
  </si>
  <si>
    <t>8. Determine between 1 to 20 numbers that you predict may come in the coming draw.(Enter  Min 1 number,Enter zero to omit the rest, do not duplicate numbers except zeros) Enter into B11,B12,B13,B14 ,B15,B16,B17,B18,B19,B20,C11…C20</t>
  </si>
  <si>
    <t>25 &amp; Below (Small)</t>
  </si>
  <si>
    <t>26 &amp; Above (Big)</t>
  </si>
  <si>
    <t>Numbers Ommited</t>
  </si>
  <si>
    <t>Numbers Spotted</t>
  </si>
  <si>
    <t>Grouping</t>
  </si>
  <si>
    <t>1 to 9</t>
  </si>
  <si>
    <t>Upp Range</t>
  </si>
  <si>
    <t>Lower Range</t>
  </si>
  <si>
    <t>Permutation</t>
  </si>
  <si>
    <t>Est End</t>
  </si>
  <si>
    <t>Ball1</t>
  </si>
  <si>
    <t>Ball2</t>
  </si>
  <si>
    <t>Ball3</t>
  </si>
  <si>
    <t>Ball4</t>
  </si>
  <si>
    <t>Ball5</t>
  </si>
  <si>
    <t>Ball6</t>
  </si>
  <si>
    <t>Ball7</t>
  </si>
  <si>
    <t>SUM</t>
  </si>
  <si>
    <t>Status</t>
  </si>
  <si>
    <t># of Sets</t>
  </si>
  <si>
    <t>#1</t>
  </si>
  <si>
    <t>#2</t>
  </si>
  <si>
    <t>#3</t>
  </si>
  <si>
    <t>#4</t>
  </si>
  <si>
    <t>#5</t>
  </si>
  <si>
    <t>#6</t>
  </si>
  <si>
    <t>#7</t>
  </si>
  <si>
    <t>Highest Hits</t>
  </si>
  <si>
    <t>x</t>
  </si>
  <si>
    <t>times</t>
  </si>
  <si>
    <t>Spot Number</t>
  </si>
  <si>
    <t>Omit Number</t>
  </si>
  <si>
    <t>Lap Time</t>
  </si>
  <si>
    <t>10.Determine between 1 to 40 numbers that you predict will not come in the coming draw.(Enter  Min 1 number,Enter zero to omit the rest,do not duplicate numbers except zeros) Enter intoM11,M12,M13,M14 ,M15,M16,M17,M18,M19,M20,P11…P20</t>
  </si>
  <si>
    <t>You can see the progress of the Yellow/RED bar indicating the status. Est End predicts the estimated time the  program will stop running.</t>
  </si>
  <si>
    <t>12. Hit "Press Here to Compute" , system will start computing, System will switch automatically to Data Page, sit back and relax as it may take a long time depends on the grouping pattern you entered.</t>
  </si>
  <si>
    <t>11. In the event when the same number were predicted in Spot and Omit, Number will be omitted.</t>
  </si>
  <si>
    <t>**Note: The intention of this program is to help gamblers to place their bets wisely, it is not advisable to bet if the system shows multiple sets of matched combinations.</t>
  </si>
  <si>
    <t>The objective of this program is to help gamblers to realise the slim probability to win a lottery. This program is a tool to calculate and minimize foolish, irrational, additive and excessive betting.</t>
  </si>
  <si>
    <t>We will not be responsible for any of the outcome for purchasing or using this program.</t>
  </si>
  <si>
    <t xml:space="preserve">You may also notice some numbers will not be drawn after certain number/s, or certain numbers will not be drawn for sure. </t>
  </si>
  <si>
    <t>If you can list them all out and omit them in the consideration, you can improve your odds as well.</t>
  </si>
  <si>
    <t>Omit 10</t>
  </si>
  <si>
    <t>Omit 20</t>
  </si>
  <si>
    <t>Omit 1</t>
  </si>
  <si>
    <t>Omit 30</t>
  </si>
  <si>
    <t>Omit 40</t>
  </si>
  <si>
    <t>Permutation Reduced</t>
  </si>
  <si>
    <t>6. Enter you prediction of big and small total of numbers in the coming draw (B8 (Small) &amp; B9(Big)) . Small :1 to 25 , Big : 26 to 49</t>
  </si>
  <si>
    <t>INTRODUCTION</t>
  </si>
  <si>
    <t xml:space="preserve">         </t>
  </si>
  <si>
    <t xml:space="preserve">You can hit "ESC" anytime to End. 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</si>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</sst>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_);_(* \(#,##0\);_(* &quot;-&quot;??_);_(@_)"/>
    <numFmt numFmtId="165" formatCode="0.000000%"/>
    <numFmt numFmtId="166" formatCode="0.0000000%"/>
    <numFmt numFmtId="167" formatCode="0.00000000%"/>
    <numFmt numFmtId="168" formatCode="[h]:mm:ss;@"/>
    <numFmt numFmtId="169" formatCode="dd\-mmm\-yyyy\ h:mm:ss.00"/>
    <numFmt numFmtId="170" formatCode="0.0000%"/>
  </numFmts>
  <fonts count="10" x14ac:knownFonts="1">
    <font>
      <sz val="11"/>
      <color theme="1"/>
      <name val="Calibri"/>
      <family val="2"/>
      <scheme val="minor"/>
    </font>
    <font>
      <b/>
      <i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3">
    <xf numFmtId="0" fontId="0" fillId="0" borderId="0" xfId="0"/>
    <xf numFmtId="0" fontId="0" fillId="3" borderId="0" xfId="0" applyFill="1"/>
    <xf numFmtId="0" fontId="0" fillId="3" borderId="7" xfId="0" applyFill="1" applyBorder="1"/>
    <xf numFmtId="0" fontId="0" fillId="3" borderId="7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 vertical="top"/>
    </xf>
    <xf numFmtId="3" fontId="0" fillId="0" borderId="7" xfId="0" applyNumberFormat="1" applyBorder="1" applyAlignment="1">
      <alignment horizontal="center"/>
    </xf>
    <xf numFmtId="0" fontId="5" fillId="0" borderId="18" xfId="0" applyFont="1" applyBorder="1" applyAlignment="1">
      <alignment horizontal="center" vertical="top"/>
    </xf>
    <xf numFmtId="3" fontId="0" fillId="0" borderId="7" xfId="0" applyNumberFormat="1" applyFill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3" fontId="0" fillId="0" borderId="10" xfId="0" applyNumberFormat="1" applyFill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167" fontId="0" fillId="0" borderId="12" xfId="1" applyNumberFormat="1" applyFont="1" applyBorder="1"/>
    <xf numFmtId="3" fontId="0" fillId="0" borderId="13" xfId="0" applyNumberFormat="1" applyBorder="1" applyAlignment="1">
      <alignment horizontal="center"/>
    </xf>
    <xf numFmtId="3" fontId="0" fillId="0" borderId="20" xfId="0" applyNumberFormat="1" applyBorder="1" applyAlignment="1">
      <alignment horizontal="center"/>
    </xf>
    <xf numFmtId="167" fontId="0" fillId="0" borderId="14" xfId="1" applyNumberFormat="1" applyFont="1" applyBorder="1"/>
    <xf numFmtId="0" fontId="0" fillId="0" borderId="7" xfId="0" applyBorder="1" applyAlignment="1">
      <alignment horizontal="center"/>
    </xf>
    <xf numFmtId="0" fontId="0" fillId="0" borderId="7" xfId="0" applyFill="1" applyBorder="1" applyAlignment="1">
      <alignment horizontal="center"/>
    </xf>
    <xf numFmtId="10" fontId="0" fillId="0" borderId="7" xfId="1" applyNumberFormat="1" applyFont="1" applyBorder="1"/>
    <xf numFmtId="165" fontId="0" fillId="0" borderId="7" xfId="1" applyNumberFormat="1" applyFont="1" applyBorder="1"/>
    <xf numFmtId="166" fontId="0" fillId="0" borderId="7" xfId="1" applyNumberFormat="1" applyFont="1" applyBorder="1"/>
    <xf numFmtId="167" fontId="0" fillId="0" borderId="7" xfId="1" applyNumberFormat="1" applyFont="1" applyBorder="1" applyAlignment="1">
      <alignment horizontal="center"/>
    </xf>
    <xf numFmtId="3" fontId="0" fillId="0" borderId="21" xfId="0" applyNumberFormat="1" applyFill="1" applyBorder="1" applyAlignment="1">
      <alignment horizontal="center"/>
    </xf>
    <xf numFmtId="167" fontId="0" fillId="0" borderId="22" xfId="1" applyNumberFormat="1" applyFont="1" applyBorder="1"/>
    <xf numFmtId="0" fontId="0" fillId="0" borderId="10" xfId="0" applyBorder="1" applyAlignment="1">
      <alignment horizontal="center"/>
    </xf>
    <xf numFmtId="0" fontId="0" fillId="0" borderId="0" xfId="0" applyAlignment="1">
      <alignment vertical="top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170" fontId="0" fillId="0" borderId="13" xfId="1" applyNumberFormat="1" applyFont="1" applyBorder="1" applyAlignment="1">
      <alignment horizontal="center"/>
    </xf>
    <xf numFmtId="170" fontId="0" fillId="0" borderId="20" xfId="1" applyNumberFormat="1" applyFont="1" applyBorder="1" applyAlignment="1">
      <alignment horizontal="center"/>
    </xf>
    <xf numFmtId="170" fontId="0" fillId="0" borderId="14" xfId="1" applyNumberFormat="1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7" xfId="0" applyFill="1" applyBorder="1" applyProtection="1">
      <protection locked="0"/>
    </xf>
    <xf numFmtId="10" fontId="0" fillId="0" borderId="0" xfId="1" applyNumberFormat="1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1" applyFont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4" borderId="11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0" fillId="3" borderId="31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5" borderId="23" xfId="0" applyFill="1" applyBorder="1" applyAlignment="1" applyProtection="1">
      <alignment horizontal="center"/>
      <protection locked="0"/>
    </xf>
    <xf numFmtId="3" fontId="0" fillId="3" borderId="29" xfId="0" applyNumberFormat="1" applyFill="1" applyBorder="1" applyAlignment="1" applyProtection="1">
      <alignment horizontal="center"/>
      <protection locked="0"/>
    </xf>
    <xf numFmtId="19" fontId="0" fillId="0" borderId="0" xfId="0" applyNumberFormat="1" applyProtection="1">
      <protection locked="0"/>
    </xf>
    <xf numFmtId="0" fontId="0" fillId="6" borderId="15" xfId="0" applyFill="1" applyBorder="1" applyProtection="1"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3" borderId="32" xfId="0" applyFill="1" applyBorder="1" applyProtection="1">
      <protection locked="0"/>
    </xf>
    <xf numFmtId="164" fontId="0" fillId="0" borderId="0" xfId="2" applyNumberFormat="1" applyFon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22" xfId="0" applyFill="1" applyBorder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1" fontId="0" fillId="0" borderId="0" xfId="2" applyNumberFormat="1" applyFon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8" fontId="0" fillId="0" borderId="0" xfId="0" applyNumberFormat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 vertical="top"/>
    </xf>
    <xf numFmtId="0" fontId="8" fillId="0" borderId="6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 applyProtection="1">
      <alignment horizontal="left" vertical="top"/>
      <protection locked="0"/>
    </xf>
    <xf numFmtId="169" fontId="0" fillId="0" borderId="0" xfId="0" applyNumberFormat="1" applyAlignment="1" applyProtection="1">
      <alignment horizontal="center"/>
      <protection locked="0"/>
    </xf>
    <xf numFmtId="169" fontId="0" fillId="0" borderId="4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17" xfId="0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0" fontId="0" fillId="5" borderId="35" xfId="0" applyFill="1" applyBorder="1" applyAlignment="1" applyProtection="1">
      <alignment horizontal="center"/>
      <protection locked="0"/>
    </xf>
    <xf numFmtId="169" fontId="0" fillId="0" borderId="2" xfId="0" applyNumberFormat="1" applyBorder="1" applyAlignment="1" applyProtection="1">
      <alignment horizontal="center"/>
      <protection locked="0"/>
    </xf>
    <xf numFmtId="169" fontId="0" fillId="0" borderId="8" xfId="0" applyNumberFormat="1" applyBorder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4" xfId="0" applyNumberFormat="1" applyBorder="1" applyAlignment="1" applyProtection="1">
      <alignment horizontal="center" vertical="center"/>
      <protection locked="0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219075</xdr:colOff>
      <xdr:row>15</xdr:row>
      <xdr:rowOff>66675</xdr:rowOff>
    </xdr:to>
    <xdr:pic>
      <xdr:nvPicPr>
        <xdr:cNvPr id="3073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3</xdr:col>
      <xdr:colOff>245441</xdr:colOff>
      <xdr:row>13</xdr:row>
      <xdr:rowOff>143414</xdr:rowOff>
    </xdr:from>
    <xdr:ext cx="5033622" cy="937629"/>
    <xdr:sp macro="" textlink="">
      <xdr:nvSpPr>
        <xdr:cNvPr id="2" name="Rectangle 1"/>
        <xdr:cNvSpPr/>
      </xdr:nvSpPr>
      <xdr:spPr>
        <a:xfrm>
          <a:off x="2074241" y="26199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twoCellAnchor>
    <xdr:from>
      <xdr:col>5</xdr:col>
      <xdr:colOff>419100</xdr:colOff>
      <xdr:row>0</xdr:row>
      <xdr:rowOff>161924</xdr:rowOff>
    </xdr:from>
    <xdr:to>
      <xdr:col>12</xdr:col>
      <xdr:colOff>514350</xdr:colOff>
      <xdr:row>13</xdr:row>
      <xdr:rowOff>25491</xdr:rowOff>
    </xdr:to>
    <xdr:grpSp>
      <xdr:nvGrpSpPr>
        <xdr:cNvPr id="29" name="Group 28"/>
        <xdr:cNvGrpSpPr/>
      </xdr:nvGrpSpPr>
      <xdr:grpSpPr>
        <a:xfrm>
          <a:off x="3467100" y="161924"/>
          <a:ext cx="4362450" cy="2340067"/>
          <a:chOff x="3467100" y="161924"/>
          <a:chExt cx="4362450" cy="2340067"/>
        </a:xfrm>
      </xdr:grpSpPr>
      <xdr:sp macro="" textlink="">
        <xdr:nvSpPr>
          <xdr:cNvPr id="3" name="Oval 2"/>
          <xdr:cNvSpPr/>
        </xdr:nvSpPr>
        <xdr:spPr>
          <a:xfrm>
            <a:off x="5238750" y="219075"/>
            <a:ext cx="723900" cy="6667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275" endPos="40000" dist="1016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7105650" y="419100"/>
            <a:ext cx="723900" cy="6667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/>
          <xdr:cNvSpPr/>
        </xdr:nvSpPr>
        <xdr:spPr>
          <a:xfrm>
            <a:off x="5391150" y="1019175"/>
            <a:ext cx="723900" cy="6667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4"/>
          <xdr:cNvSpPr/>
        </xdr:nvSpPr>
        <xdr:spPr>
          <a:xfrm>
            <a:off x="6096000" y="1143000"/>
            <a:ext cx="1409700" cy="13144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300" endPos="3850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Oval 9"/>
          <xdr:cNvSpPr/>
        </xdr:nvSpPr>
        <xdr:spPr>
          <a:xfrm>
            <a:off x="4667250" y="438150"/>
            <a:ext cx="723900" cy="6667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275" endPos="40000" dist="1016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Oval 6"/>
          <xdr:cNvSpPr/>
        </xdr:nvSpPr>
        <xdr:spPr>
          <a:xfrm>
            <a:off x="4695824" y="1304925"/>
            <a:ext cx="981075" cy="8572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300" endPos="55500" dist="1016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/>
          <xdr:cNvSpPr/>
        </xdr:nvSpPr>
        <xdr:spPr>
          <a:xfrm>
            <a:off x="3533775" y="1190625"/>
            <a:ext cx="723900" cy="66675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9525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TextBox 12"/>
          <xdr:cNvSpPr txBox="1"/>
        </xdr:nvSpPr>
        <xdr:spPr>
          <a:xfrm rot="1775536">
            <a:off x="6724650" y="1095377"/>
            <a:ext cx="600677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3200"/>
              <a:t>49</a:t>
            </a:r>
          </a:p>
        </xdr:txBody>
      </xdr:sp>
      <xdr:sp macro="" textlink="">
        <xdr:nvSpPr>
          <xdr:cNvPr id="16" name="TextBox 15"/>
          <xdr:cNvSpPr txBox="1"/>
        </xdr:nvSpPr>
        <xdr:spPr>
          <a:xfrm rot="7352771">
            <a:off x="6819900" y="1905001"/>
            <a:ext cx="600677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3200"/>
              <a:t>49</a:t>
            </a:r>
          </a:p>
        </xdr:txBody>
      </xdr:sp>
      <xdr:sp macro="" textlink="">
        <xdr:nvSpPr>
          <xdr:cNvPr id="17" name="TextBox 16"/>
          <xdr:cNvSpPr txBox="1"/>
        </xdr:nvSpPr>
        <xdr:spPr>
          <a:xfrm rot="15971446">
            <a:off x="5972175" y="1562100"/>
            <a:ext cx="600677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3200"/>
              <a:t>49</a:t>
            </a:r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5181600" y="1295400"/>
            <a:ext cx="444609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25</a:t>
            </a:r>
          </a:p>
        </xdr:txBody>
      </xdr:sp>
      <xdr:sp macro="" textlink="">
        <xdr:nvSpPr>
          <xdr:cNvPr id="19" name="TextBox 18"/>
          <xdr:cNvSpPr txBox="1"/>
        </xdr:nvSpPr>
        <xdr:spPr>
          <a:xfrm rot="14188915">
            <a:off x="4914899" y="1800225"/>
            <a:ext cx="444609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25</a:t>
            </a:r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7105650" y="419100"/>
            <a:ext cx="39267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/>
              <a:t>18</a:t>
            </a:r>
          </a:p>
        </xdr:txBody>
      </xdr:sp>
      <xdr:sp macro="" textlink="">
        <xdr:nvSpPr>
          <xdr:cNvPr id="21" name="TextBox 20"/>
          <xdr:cNvSpPr txBox="1"/>
        </xdr:nvSpPr>
        <xdr:spPr>
          <a:xfrm rot="6892462">
            <a:off x="7353300" y="800100"/>
            <a:ext cx="39267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/>
              <a:t>18</a:t>
            </a:r>
          </a:p>
        </xdr:txBody>
      </xdr:sp>
      <xdr:sp macro="" textlink="">
        <xdr:nvSpPr>
          <xdr:cNvPr id="22" name="TextBox 21"/>
          <xdr:cNvSpPr txBox="1"/>
        </xdr:nvSpPr>
        <xdr:spPr>
          <a:xfrm rot="19171532">
            <a:off x="4657724" y="428625"/>
            <a:ext cx="39267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/>
              <a:t>33</a:t>
            </a:r>
          </a:p>
        </xdr:txBody>
      </xdr:sp>
      <xdr:sp macro="" textlink="">
        <xdr:nvSpPr>
          <xdr:cNvPr id="23" name="TextBox 22"/>
          <xdr:cNvSpPr txBox="1"/>
        </xdr:nvSpPr>
        <xdr:spPr>
          <a:xfrm rot="12346979">
            <a:off x="4752974" y="828674"/>
            <a:ext cx="39267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/>
              <a:t>33</a:t>
            </a:r>
          </a:p>
        </xdr:txBody>
      </xdr:sp>
      <xdr:sp macro="" textlink="">
        <xdr:nvSpPr>
          <xdr:cNvPr id="24" name="TextBox 23"/>
          <xdr:cNvSpPr txBox="1"/>
        </xdr:nvSpPr>
        <xdr:spPr>
          <a:xfrm rot="4853078">
            <a:off x="5095874" y="552450"/>
            <a:ext cx="39267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/>
              <a:t>33</a:t>
            </a:r>
          </a:p>
        </xdr:txBody>
      </xdr:sp>
      <xdr:sp macro="" textlink="">
        <xdr:nvSpPr>
          <xdr:cNvPr id="25" name="TextBox 24"/>
          <xdr:cNvSpPr txBox="1"/>
        </xdr:nvSpPr>
        <xdr:spPr>
          <a:xfrm rot="283055">
            <a:off x="5433626" y="161924"/>
            <a:ext cx="288669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sng"/>
              <a:t>9</a:t>
            </a:r>
          </a:p>
        </xdr:txBody>
      </xdr:sp>
      <xdr:sp macro="" textlink="">
        <xdr:nvSpPr>
          <xdr:cNvPr id="26" name="TextBox 25"/>
          <xdr:cNvSpPr txBox="1"/>
        </xdr:nvSpPr>
        <xdr:spPr>
          <a:xfrm rot="6637040">
            <a:off x="5605076" y="619125"/>
            <a:ext cx="288669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sng"/>
              <a:t>9</a:t>
            </a:r>
          </a:p>
        </xdr:txBody>
      </xdr:sp>
      <xdr:sp macro="" textlink="">
        <xdr:nvSpPr>
          <xdr:cNvPr id="27" name="TextBox 26"/>
          <xdr:cNvSpPr txBox="1"/>
        </xdr:nvSpPr>
        <xdr:spPr>
          <a:xfrm rot="3885225">
            <a:off x="3971924" y="1228725"/>
            <a:ext cx="288669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none"/>
              <a:t>7</a:t>
            </a:r>
          </a:p>
        </xdr:txBody>
      </xdr:sp>
      <xdr:sp macro="" textlink="">
        <xdr:nvSpPr>
          <xdr:cNvPr id="28" name="TextBox 27"/>
          <xdr:cNvSpPr txBox="1"/>
        </xdr:nvSpPr>
        <xdr:spPr>
          <a:xfrm rot="10032598">
            <a:off x="3686174" y="1562101"/>
            <a:ext cx="288669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none"/>
              <a:t>7</a:t>
            </a:r>
          </a:p>
        </xdr:txBody>
      </xdr:sp>
      <xdr:sp macro="" textlink="">
        <xdr:nvSpPr>
          <xdr:cNvPr id="32" name="TextBox 31"/>
          <xdr:cNvSpPr txBox="1"/>
        </xdr:nvSpPr>
        <xdr:spPr>
          <a:xfrm rot="17520926">
            <a:off x="3494158" y="1239766"/>
            <a:ext cx="288669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none"/>
              <a:t>7</a:t>
            </a:r>
          </a:p>
        </xdr:txBody>
      </xdr:sp>
      <xdr:sp macro="" textlink="">
        <xdr:nvSpPr>
          <xdr:cNvPr id="33" name="TextBox 32"/>
          <xdr:cNvSpPr txBox="1"/>
        </xdr:nvSpPr>
        <xdr:spPr>
          <a:xfrm rot="20948794">
            <a:off x="5667735" y="1288474"/>
            <a:ext cx="26771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600" u="none"/>
              <a:t>8</a:t>
            </a:r>
          </a:p>
        </xdr:txBody>
      </xdr:sp>
      <xdr:sp macro="" textlink="">
        <xdr:nvSpPr>
          <xdr:cNvPr id="34" name="TextBox 33"/>
          <xdr:cNvSpPr txBox="1"/>
        </xdr:nvSpPr>
        <xdr:spPr>
          <a:xfrm rot="17659673">
            <a:off x="5751042" y="918516"/>
            <a:ext cx="271421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none"/>
              <a:t>c</a:t>
            </a:r>
          </a:p>
        </xdr:txBody>
      </xdr:sp>
      <xdr:sp macro="" textlink="">
        <xdr:nvSpPr>
          <xdr:cNvPr id="35" name="TextBox 34"/>
          <xdr:cNvSpPr txBox="1"/>
        </xdr:nvSpPr>
        <xdr:spPr>
          <a:xfrm rot="12640269">
            <a:off x="5322418" y="1089966"/>
            <a:ext cx="271421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u="none"/>
              <a:t>c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107156</xdr:colOff>
      <xdr:row>4</xdr:row>
      <xdr:rowOff>107156</xdr:rowOff>
    </xdr:from>
    <xdr:to>
      <xdr:col>5</xdr:col>
      <xdr:colOff>1437059</xdr:colOff>
      <xdr:row>4</xdr:row>
      <xdr:rowOff>4326204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156" y="690562"/>
          <a:ext cx="9723809" cy="42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2</xdr:row>
      <xdr:rowOff>71438</xdr:rowOff>
    </xdr:from>
    <xdr:to>
      <xdr:col>5</xdr:col>
      <xdr:colOff>130970</xdr:colOff>
      <xdr:row>2</xdr:row>
      <xdr:rowOff>5101438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6" y="464344"/>
          <a:ext cx="8477250" cy="503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5</xdr:col>
      <xdr:colOff>1406094</xdr:colOff>
      <xdr:row>6</xdr:row>
      <xdr:rowOff>4276190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82250"/>
          <a:ext cx="9800000" cy="4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5</xdr:col>
      <xdr:colOff>1387046</xdr:colOff>
      <xdr:row>8</xdr:row>
      <xdr:rowOff>4247619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978063"/>
          <a:ext cx="9780952" cy="42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5</xdr:col>
      <xdr:colOff>1406094</xdr:colOff>
      <xdr:row>10</xdr:row>
      <xdr:rowOff>4257143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9431000"/>
          <a:ext cx="9800000" cy="42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59531</xdr:rowOff>
    </xdr:from>
    <xdr:to>
      <xdr:col>5</xdr:col>
      <xdr:colOff>1415624</xdr:colOff>
      <xdr:row>13</xdr:row>
      <xdr:rowOff>4278579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625" y="23943469"/>
          <a:ext cx="9761905" cy="42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5</xdr:col>
      <xdr:colOff>1387046</xdr:colOff>
      <xdr:row>15</xdr:row>
      <xdr:rowOff>4266667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8622625"/>
          <a:ext cx="9780952" cy="42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5</xdr:col>
      <xdr:colOff>1377522</xdr:colOff>
      <xdr:row>21</xdr:row>
      <xdr:rowOff>13758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3468469"/>
          <a:ext cx="9771428" cy="42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17</xdr:row>
      <xdr:rowOff>83344</xdr:rowOff>
    </xdr:from>
    <xdr:to>
      <xdr:col>5</xdr:col>
      <xdr:colOff>1448959</xdr:colOff>
      <xdr:row>17</xdr:row>
      <xdr:rowOff>4292868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" y="33170813"/>
          <a:ext cx="9771428" cy="4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5</xdr:col>
      <xdr:colOff>1358475</xdr:colOff>
      <xdr:row>22</xdr:row>
      <xdr:rowOff>4247619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42207656"/>
          <a:ext cx="9752381" cy="42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71439</xdr:colOff>
      <xdr:row>26</xdr:row>
      <xdr:rowOff>112392</xdr:rowOff>
    </xdr:from>
    <xdr:to>
      <xdr:col>6</xdr:col>
      <xdr:colOff>559594</xdr:colOff>
      <xdr:row>26</xdr:row>
      <xdr:rowOff>5119688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439" y="47153986"/>
          <a:ext cx="10560843" cy="500729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83344</xdr:rowOff>
    </xdr:from>
    <xdr:to>
      <xdr:col>6</xdr:col>
      <xdr:colOff>642937</xdr:colOff>
      <xdr:row>28</xdr:row>
      <xdr:rowOff>5148967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625" y="52518469"/>
          <a:ext cx="10668000" cy="5065623"/>
        </a:xfrm>
        <a:prstGeom prst="rect">
          <a:avLst/>
        </a:prstGeom>
      </xdr:spPr>
    </xdr:pic>
    <xdr:clientData/>
  </xdr:twoCellAnchor>
  <xdr:twoCellAnchor editAs="oneCell">
    <xdr:from>
      <xdr:col>0</xdr:col>
      <xdr:colOff>59530</xdr:colOff>
      <xdr:row>30</xdr:row>
      <xdr:rowOff>83344</xdr:rowOff>
    </xdr:from>
    <xdr:to>
      <xdr:col>7</xdr:col>
      <xdr:colOff>333374</xdr:colOff>
      <xdr:row>30</xdr:row>
      <xdr:rowOff>5102828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530" y="58888313"/>
          <a:ext cx="12025313" cy="5019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13</xdr:row>
          <xdr:rowOff>9525</xdr:rowOff>
        </xdr:from>
        <xdr:to>
          <xdr:col>11</xdr:col>
          <xdr:colOff>152400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Here TO 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2"/>
  <sheetViews>
    <sheetView workbookViewId="0">
      <selection activeCell="J22" sqref="J22"/>
    </sheetView>
  </sheetViews>
  <sheetFormatPr defaultColWidth="0" defaultRowHeight="15" zeroHeight="1" x14ac:dyDescent="0.25"/>
  <cols>
    <col min="1" max="15" width="9.140625" style="5" customWidth="1"/>
    <col min="16" max="16384" width="9.140625" style="5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1" t="s">
        <v>65</v>
      </c>
    </row>
  </sheetData>
  <sheetProtection algorithmName="SHA-512" hashValue="EOEcifukwzQa/2OMpKQ/pIeNqVfN8k2wiYW2gOk4vsMPtM7ra5DJHU46+0UdTjvXhqckzDr0DHXDKHUVD2fL+A==" saltValue="p7Bq2iFzWH2H/ZD8BauCLw==" spinCount="100000" sheet="1" objects="1" scenarios="1"/>
  <customSheetViews>
    <customSheetView guid="{358E4FB0-3A35-461B-AF3A-74D5EE139742}" hiddenRows="1" hiddenColumns="1">
      <selection activeCell="J22" sqref="J2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33"/>
  <sheetViews>
    <sheetView zoomScale="90" zoomScaleNormal="90" workbookViewId="0">
      <selection activeCell="A4" sqref="A4:N4"/>
    </sheetView>
  </sheetViews>
  <sheetFormatPr defaultColWidth="0" defaultRowHeight="15" zeroHeight="1" x14ac:dyDescent="0.25"/>
  <cols>
    <col min="1" max="1" width="12" customWidth="1"/>
    <col min="2" max="5" width="12.140625" bestFit="1" customWidth="1"/>
    <col min="6" max="6" width="13.28515625" bestFit="1" customWidth="1"/>
    <col min="7" max="7" width="13" bestFit="1" customWidth="1"/>
    <col min="8" max="8" width="10.7109375" bestFit="1" customWidth="1"/>
    <col min="9" max="9" width="10.5703125" bestFit="1" customWidth="1"/>
    <col min="10" max="10" width="10.7109375" bestFit="1" customWidth="1"/>
    <col min="11" max="12" width="9.140625" customWidth="1"/>
    <col min="13" max="13" width="7.28515625" bestFit="1" customWidth="1"/>
    <col min="14" max="14" width="13" bestFit="1" customWidth="1"/>
    <col min="15" max="15" width="9.140625" customWidth="1"/>
    <col min="16" max="16384" width="9.140625" hidden="1"/>
  </cols>
  <sheetData>
    <row r="1" spans="1:14" s="78" customFormat="1" ht="92.25" x14ac:dyDescent="1.35">
      <c r="A1" s="78" t="s">
        <v>117</v>
      </c>
    </row>
    <row r="2" spans="1:14" x14ac:dyDescent="0.25">
      <c r="A2" s="81" t="s">
        <v>50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</row>
    <row r="3" spans="1:14" x14ac:dyDescent="0.25">
      <c r="A3" s="81" t="s">
        <v>29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</row>
    <row r="4" spans="1:14" x14ac:dyDescent="0.25">
      <c r="A4" s="81" t="s">
        <v>30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</row>
    <row r="5" spans="1:14" ht="15.75" thickBot="1" x14ac:dyDescent="0.3">
      <c r="A5" s="8" t="s">
        <v>31</v>
      </c>
      <c r="B5" s="8" t="s">
        <v>32</v>
      </c>
      <c r="C5" s="8" t="s">
        <v>33</v>
      </c>
      <c r="D5" s="8" t="s">
        <v>34</v>
      </c>
      <c r="E5" s="8" t="s">
        <v>35</v>
      </c>
      <c r="F5" s="6"/>
      <c r="G5" s="6"/>
      <c r="H5" s="6"/>
      <c r="I5" s="6"/>
      <c r="J5" s="6"/>
      <c r="K5" s="6"/>
      <c r="L5" s="6"/>
      <c r="M5" s="6"/>
      <c r="N5" s="6"/>
    </row>
    <row r="6" spans="1:14" x14ac:dyDescent="0.25">
      <c r="A6" s="10" t="s">
        <v>5</v>
      </c>
      <c r="B6" s="11" t="s">
        <v>6</v>
      </c>
      <c r="C6" s="11" t="s">
        <v>7</v>
      </c>
      <c r="D6" s="11" t="s">
        <v>8</v>
      </c>
      <c r="E6" s="11" t="s">
        <v>9</v>
      </c>
      <c r="F6" s="11" t="s">
        <v>44</v>
      </c>
      <c r="G6" s="12" t="s">
        <v>36</v>
      </c>
      <c r="I6" s="18" t="s">
        <v>40</v>
      </c>
      <c r="J6" s="18" t="s">
        <v>39</v>
      </c>
    </row>
    <row r="7" spans="1:14" x14ac:dyDescent="0.25">
      <c r="A7" s="13">
        <v>1</v>
      </c>
      <c r="B7" s="7">
        <v>1</v>
      </c>
      <c r="C7" s="7">
        <v>1</v>
      </c>
      <c r="D7" s="7">
        <v>2</v>
      </c>
      <c r="E7" s="7">
        <v>2</v>
      </c>
      <c r="F7" s="7">
        <v>1822500</v>
      </c>
      <c r="G7" s="14">
        <f>1/F7</f>
        <v>5.4869684499314128E-7</v>
      </c>
      <c r="I7" s="18">
        <v>36</v>
      </c>
      <c r="J7" s="18">
        <v>231</v>
      </c>
    </row>
    <row r="8" spans="1:14" x14ac:dyDescent="0.25">
      <c r="A8" s="13">
        <v>1</v>
      </c>
      <c r="B8" s="7">
        <v>1</v>
      </c>
      <c r="C8" s="7">
        <v>2</v>
      </c>
      <c r="D8" s="7">
        <v>1</v>
      </c>
      <c r="E8" s="7">
        <v>2</v>
      </c>
      <c r="F8" s="7">
        <v>1822500</v>
      </c>
      <c r="G8" s="14">
        <f t="shared" ref="G8:G71" si="0">1/F8</f>
        <v>5.4869684499314128E-7</v>
      </c>
      <c r="I8" s="18">
        <v>27</v>
      </c>
      <c r="J8" s="18">
        <v>221</v>
      </c>
    </row>
    <row r="9" spans="1:14" x14ac:dyDescent="0.25">
      <c r="A9" s="13">
        <v>1</v>
      </c>
      <c r="B9" s="7">
        <v>2</v>
      </c>
      <c r="C9" s="7">
        <v>1</v>
      </c>
      <c r="D9" s="7">
        <v>1</v>
      </c>
      <c r="E9" s="7">
        <v>2</v>
      </c>
      <c r="F9" s="7">
        <v>1822500</v>
      </c>
      <c r="G9" s="14">
        <f t="shared" si="0"/>
        <v>5.4869684499314128E-7</v>
      </c>
      <c r="I9" s="18">
        <v>36</v>
      </c>
      <c r="J9" s="18">
        <v>211</v>
      </c>
    </row>
    <row r="10" spans="1:14" x14ac:dyDescent="0.25">
      <c r="A10" s="13">
        <v>1</v>
      </c>
      <c r="B10" s="7">
        <v>1</v>
      </c>
      <c r="C10" s="7">
        <v>2</v>
      </c>
      <c r="D10" s="7">
        <v>2</v>
      </c>
      <c r="E10" s="7">
        <v>1</v>
      </c>
      <c r="F10" s="7">
        <v>1822500</v>
      </c>
      <c r="G10" s="14">
        <f t="shared" si="0"/>
        <v>5.4869684499314128E-7</v>
      </c>
      <c r="I10" s="18">
        <v>36</v>
      </c>
      <c r="J10" s="18">
        <v>211</v>
      </c>
    </row>
    <row r="11" spans="1:14" x14ac:dyDescent="0.25">
      <c r="A11" s="13">
        <v>1</v>
      </c>
      <c r="B11" s="7">
        <v>2</v>
      </c>
      <c r="C11" s="7">
        <v>1</v>
      </c>
      <c r="D11" s="7">
        <v>2</v>
      </c>
      <c r="E11" s="7">
        <v>1</v>
      </c>
      <c r="F11" s="7">
        <v>1822500</v>
      </c>
      <c r="G11" s="14">
        <f t="shared" si="0"/>
        <v>5.4869684499314128E-7</v>
      </c>
      <c r="I11" s="18">
        <v>45</v>
      </c>
      <c r="J11" s="18">
        <v>201</v>
      </c>
    </row>
    <row r="12" spans="1:14" x14ac:dyDescent="0.25">
      <c r="A12" s="13">
        <v>1</v>
      </c>
      <c r="B12" s="7">
        <v>2</v>
      </c>
      <c r="C12" s="7">
        <v>2</v>
      </c>
      <c r="D12" s="7">
        <v>1</v>
      </c>
      <c r="E12" s="7">
        <v>1</v>
      </c>
      <c r="F12" s="7">
        <v>1822500</v>
      </c>
      <c r="G12" s="14">
        <f t="shared" si="0"/>
        <v>5.4869684499314128E-7</v>
      </c>
      <c r="I12" s="18">
        <v>36</v>
      </c>
      <c r="J12" s="18">
        <v>191</v>
      </c>
    </row>
    <row r="13" spans="1:14" x14ac:dyDescent="0.25">
      <c r="A13" s="13">
        <v>2</v>
      </c>
      <c r="B13" s="7">
        <v>1</v>
      </c>
      <c r="C13" s="7">
        <v>1</v>
      </c>
      <c r="D13" s="7">
        <v>1</v>
      </c>
      <c r="E13" s="7">
        <v>2</v>
      </c>
      <c r="F13" s="7">
        <v>1620000</v>
      </c>
      <c r="G13" s="14">
        <f t="shared" si="0"/>
        <v>6.1728395061728396E-7</v>
      </c>
      <c r="I13" s="18">
        <v>27</v>
      </c>
      <c r="J13" s="18">
        <v>201</v>
      </c>
    </row>
    <row r="14" spans="1:14" x14ac:dyDescent="0.25">
      <c r="A14" s="13">
        <v>2</v>
      </c>
      <c r="B14" s="7">
        <v>1</v>
      </c>
      <c r="C14" s="7">
        <v>1</v>
      </c>
      <c r="D14" s="7">
        <v>2</v>
      </c>
      <c r="E14" s="7">
        <v>1</v>
      </c>
      <c r="F14" s="7">
        <v>1620000</v>
      </c>
      <c r="G14" s="14">
        <f t="shared" si="0"/>
        <v>6.1728395061728396E-7</v>
      </c>
      <c r="I14" s="18">
        <v>36</v>
      </c>
      <c r="J14" s="18">
        <v>191</v>
      </c>
    </row>
    <row r="15" spans="1:14" x14ac:dyDescent="0.25">
      <c r="A15" s="13">
        <v>2</v>
      </c>
      <c r="B15" s="7">
        <v>1</v>
      </c>
      <c r="C15" s="7">
        <v>2</v>
      </c>
      <c r="D15" s="7">
        <v>1</v>
      </c>
      <c r="E15" s="7">
        <v>1</v>
      </c>
      <c r="F15" s="7">
        <v>1620000</v>
      </c>
      <c r="G15" s="14">
        <f t="shared" si="0"/>
        <v>6.1728395061728396E-7</v>
      </c>
      <c r="I15" s="18">
        <v>27</v>
      </c>
      <c r="J15" s="18">
        <v>181</v>
      </c>
    </row>
    <row r="16" spans="1:14" x14ac:dyDescent="0.25">
      <c r="A16" s="13">
        <v>2</v>
      </c>
      <c r="B16" s="7">
        <v>2</v>
      </c>
      <c r="C16" s="7">
        <v>1</v>
      </c>
      <c r="D16" s="7">
        <v>1</v>
      </c>
      <c r="E16" s="7">
        <v>1</v>
      </c>
      <c r="F16" s="7">
        <v>1620000</v>
      </c>
      <c r="G16" s="14">
        <f t="shared" si="0"/>
        <v>6.1728395061728396E-7</v>
      </c>
      <c r="I16" s="18">
        <v>36</v>
      </c>
      <c r="J16" s="18">
        <v>171</v>
      </c>
    </row>
    <row r="17" spans="1:10" x14ac:dyDescent="0.25">
      <c r="A17" s="13">
        <v>0</v>
      </c>
      <c r="B17" s="7">
        <v>1</v>
      </c>
      <c r="C17" s="7">
        <v>2</v>
      </c>
      <c r="D17" s="7">
        <v>2</v>
      </c>
      <c r="E17" s="7">
        <v>2</v>
      </c>
      <c r="F17" s="7">
        <v>911250</v>
      </c>
      <c r="G17" s="14">
        <f t="shared" si="0"/>
        <v>1.0973936899862826E-6</v>
      </c>
      <c r="I17" s="18">
        <v>37</v>
      </c>
      <c r="J17" s="18">
        <v>250</v>
      </c>
    </row>
    <row r="18" spans="1:10" x14ac:dyDescent="0.25">
      <c r="A18" s="13">
        <v>0</v>
      </c>
      <c r="B18" s="7">
        <v>2</v>
      </c>
      <c r="C18" s="7">
        <v>1</v>
      </c>
      <c r="D18" s="7">
        <v>2</v>
      </c>
      <c r="E18" s="7">
        <v>2</v>
      </c>
      <c r="F18" s="7">
        <v>911250</v>
      </c>
      <c r="G18" s="14">
        <f t="shared" si="0"/>
        <v>1.0973936899862826E-6</v>
      </c>
      <c r="I18" s="18">
        <v>46</v>
      </c>
      <c r="J18" s="18">
        <v>240</v>
      </c>
    </row>
    <row r="19" spans="1:10" x14ac:dyDescent="0.25">
      <c r="A19" s="13">
        <v>0</v>
      </c>
      <c r="B19" s="7">
        <v>2</v>
      </c>
      <c r="C19" s="7">
        <v>2</v>
      </c>
      <c r="D19" s="7">
        <v>1</v>
      </c>
      <c r="E19" s="7">
        <v>2</v>
      </c>
      <c r="F19" s="7">
        <v>911250</v>
      </c>
      <c r="G19" s="14">
        <f t="shared" si="0"/>
        <v>1.0973936899862826E-6</v>
      </c>
      <c r="I19" s="18">
        <v>37</v>
      </c>
      <c r="J19" s="18">
        <v>230</v>
      </c>
    </row>
    <row r="20" spans="1:10" x14ac:dyDescent="0.25">
      <c r="A20" s="13">
        <v>0</v>
      </c>
      <c r="B20" s="7">
        <v>2</v>
      </c>
      <c r="C20" s="7">
        <v>2</v>
      </c>
      <c r="D20" s="7">
        <v>2</v>
      </c>
      <c r="E20" s="7">
        <v>1</v>
      </c>
      <c r="F20" s="7">
        <v>911250</v>
      </c>
      <c r="G20" s="14">
        <f t="shared" si="0"/>
        <v>1.0973936899862826E-6</v>
      </c>
      <c r="I20" s="18">
        <v>46</v>
      </c>
      <c r="J20" s="18">
        <v>220</v>
      </c>
    </row>
    <row r="21" spans="1:10" x14ac:dyDescent="0.25">
      <c r="A21" s="13">
        <v>3</v>
      </c>
      <c r="B21" s="7">
        <v>1</v>
      </c>
      <c r="C21" s="7">
        <v>1</v>
      </c>
      <c r="D21" s="7">
        <v>1</v>
      </c>
      <c r="E21" s="7">
        <v>1</v>
      </c>
      <c r="F21" s="7">
        <v>840000</v>
      </c>
      <c r="G21" s="14">
        <f t="shared" si="0"/>
        <v>1.1904761904761904E-6</v>
      </c>
      <c r="I21" s="18">
        <v>28</v>
      </c>
      <c r="J21" s="18">
        <v>160</v>
      </c>
    </row>
    <row r="22" spans="1:10" x14ac:dyDescent="0.25">
      <c r="A22" s="13">
        <v>1</v>
      </c>
      <c r="B22" s="7">
        <v>0</v>
      </c>
      <c r="C22" s="7">
        <v>2</v>
      </c>
      <c r="D22" s="7">
        <v>2</v>
      </c>
      <c r="E22" s="7">
        <v>2</v>
      </c>
      <c r="F22" s="7">
        <v>820125</v>
      </c>
      <c r="G22" s="14">
        <f t="shared" si="0"/>
        <v>1.2193263222069807E-6</v>
      </c>
      <c r="I22" s="18">
        <v>28</v>
      </c>
      <c r="J22" s="18">
        <v>240</v>
      </c>
    </row>
    <row r="23" spans="1:10" x14ac:dyDescent="0.25">
      <c r="A23" s="13">
        <v>1</v>
      </c>
      <c r="B23" s="7">
        <v>2</v>
      </c>
      <c r="C23" s="7">
        <v>0</v>
      </c>
      <c r="D23" s="7">
        <v>2</v>
      </c>
      <c r="E23" s="7">
        <v>2</v>
      </c>
      <c r="F23" s="7">
        <v>820125</v>
      </c>
      <c r="G23" s="14">
        <f t="shared" si="0"/>
        <v>1.2193263222069807E-6</v>
      </c>
      <c r="I23" s="18">
        <v>46</v>
      </c>
      <c r="J23" s="18">
        <v>220</v>
      </c>
    </row>
    <row r="24" spans="1:10" x14ac:dyDescent="0.25">
      <c r="A24" s="13">
        <v>1</v>
      </c>
      <c r="B24" s="7">
        <v>2</v>
      </c>
      <c r="C24" s="7">
        <v>2</v>
      </c>
      <c r="D24" s="7">
        <v>0</v>
      </c>
      <c r="E24" s="7">
        <v>2</v>
      </c>
      <c r="F24" s="7">
        <v>820125</v>
      </c>
      <c r="G24" s="14">
        <f t="shared" si="0"/>
        <v>1.2193263222069807E-6</v>
      </c>
      <c r="I24" s="18">
        <v>28</v>
      </c>
      <c r="J24" s="18">
        <v>200</v>
      </c>
    </row>
    <row r="25" spans="1:10" x14ac:dyDescent="0.25">
      <c r="A25" s="13">
        <v>1</v>
      </c>
      <c r="B25" s="7">
        <v>2</v>
      </c>
      <c r="C25" s="7">
        <v>2</v>
      </c>
      <c r="D25" s="7">
        <v>2</v>
      </c>
      <c r="E25" s="7">
        <v>0</v>
      </c>
      <c r="F25" s="7">
        <v>820125</v>
      </c>
      <c r="G25" s="14">
        <f t="shared" si="0"/>
        <v>1.2193263222069807E-6</v>
      </c>
      <c r="I25" s="18">
        <v>46</v>
      </c>
      <c r="J25" s="18">
        <v>180</v>
      </c>
    </row>
    <row r="26" spans="1:10" x14ac:dyDescent="0.25">
      <c r="A26" s="13">
        <v>2</v>
      </c>
      <c r="B26" s="7">
        <v>0</v>
      </c>
      <c r="C26" s="7">
        <v>1</v>
      </c>
      <c r="D26" s="7">
        <v>2</v>
      </c>
      <c r="E26" s="7">
        <v>2</v>
      </c>
      <c r="F26" s="7">
        <v>729000</v>
      </c>
      <c r="G26" s="14">
        <f t="shared" si="0"/>
        <v>1.3717421124828533E-6</v>
      </c>
      <c r="I26" s="18">
        <v>28</v>
      </c>
      <c r="J26" s="18">
        <v>220</v>
      </c>
    </row>
    <row r="27" spans="1:10" x14ac:dyDescent="0.25">
      <c r="A27" s="13">
        <v>2</v>
      </c>
      <c r="B27" s="7">
        <v>1</v>
      </c>
      <c r="C27" s="7">
        <v>0</v>
      </c>
      <c r="D27" s="7">
        <v>2</v>
      </c>
      <c r="E27" s="7">
        <v>2</v>
      </c>
      <c r="F27" s="7">
        <v>729000</v>
      </c>
      <c r="G27" s="14">
        <f t="shared" si="0"/>
        <v>1.3717421124828533E-6</v>
      </c>
      <c r="I27" s="18">
        <v>37</v>
      </c>
      <c r="J27" s="18">
        <v>210</v>
      </c>
    </row>
    <row r="28" spans="1:10" x14ac:dyDescent="0.25">
      <c r="A28" s="13">
        <v>2</v>
      </c>
      <c r="B28" s="7">
        <v>0</v>
      </c>
      <c r="C28" s="7">
        <v>2</v>
      </c>
      <c r="D28" s="7">
        <v>1</v>
      </c>
      <c r="E28" s="7">
        <v>2</v>
      </c>
      <c r="F28" s="7">
        <v>729000</v>
      </c>
      <c r="G28" s="14">
        <f t="shared" si="0"/>
        <v>1.3717421124828533E-6</v>
      </c>
      <c r="I28" s="18">
        <v>19</v>
      </c>
      <c r="J28" s="18">
        <v>210</v>
      </c>
    </row>
    <row r="29" spans="1:10" x14ac:dyDescent="0.25">
      <c r="A29" s="13">
        <v>2</v>
      </c>
      <c r="B29" s="7">
        <v>0</v>
      </c>
      <c r="C29" s="7">
        <v>2</v>
      </c>
      <c r="D29" s="7">
        <v>2</v>
      </c>
      <c r="E29" s="7">
        <v>1</v>
      </c>
      <c r="F29" s="7">
        <v>729000</v>
      </c>
      <c r="G29" s="14">
        <f t="shared" si="0"/>
        <v>1.3717421124828533E-6</v>
      </c>
      <c r="I29" s="18">
        <v>28</v>
      </c>
      <c r="J29" s="18">
        <v>200</v>
      </c>
    </row>
    <row r="30" spans="1:10" x14ac:dyDescent="0.25">
      <c r="A30" s="13">
        <v>2</v>
      </c>
      <c r="B30" s="7">
        <v>1</v>
      </c>
      <c r="C30" s="7">
        <v>2</v>
      </c>
      <c r="D30" s="7">
        <v>0</v>
      </c>
      <c r="E30" s="7">
        <v>2</v>
      </c>
      <c r="F30" s="7">
        <v>729000</v>
      </c>
      <c r="G30" s="14">
        <f t="shared" si="0"/>
        <v>1.3717421124828533E-6</v>
      </c>
      <c r="I30" s="18">
        <v>19</v>
      </c>
      <c r="J30" s="18">
        <v>190</v>
      </c>
    </row>
    <row r="31" spans="1:10" x14ac:dyDescent="0.25">
      <c r="A31" s="13">
        <v>2</v>
      </c>
      <c r="B31" s="7">
        <v>2</v>
      </c>
      <c r="C31" s="7">
        <v>0</v>
      </c>
      <c r="D31" s="7">
        <v>1</v>
      </c>
      <c r="E31" s="7">
        <v>2</v>
      </c>
      <c r="F31" s="7">
        <v>729000</v>
      </c>
      <c r="G31" s="14">
        <f t="shared" si="0"/>
        <v>1.3717421124828533E-6</v>
      </c>
      <c r="I31" s="18">
        <v>37</v>
      </c>
      <c r="J31" s="18">
        <v>190</v>
      </c>
    </row>
    <row r="32" spans="1:10" x14ac:dyDescent="0.25">
      <c r="A32" s="13">
        <v>2</v>
      </c>
      <c r="B32" s="7">
        <v>2</v>
      </c>
      <c r="C32" s="7">
        <v>1</v>
      </c>
      <c r="D32" s="7">
        <v>0</v>
      </c>
      <c r="E32" s="7">
        <v>2</v>
      </c>
      <c r="F32" s="7">
        <v>729000</v>
      </c>
      <c r="G32" s="14">
        <f t="shared" si="0"/>
        <v>1.3717421124828533E-6</v>
      </c>
      <c r="I32" s="18">
        <v>28</v>
      </c>
      <c r="J32" s="18">
        <v>180</v>
      </c>
    </row>
    <row r="33" spans="1:10" x14ac:dyDescent="0.25">
      <c r="A33" s="13">
        <v>2</v>
      </c>
      <c r="B33" s="7">
        <v>2</v>
      </c>
      <c r="C33" s="7">
        <v>0</v>
      </c>
      <c r="D33" s="7">
        <v>2</v>
      </c>
      <c r="E33" s="7">
        <v>1</v>
      </c>
      <c r="F33" s="7">
        <v>729000</v>
      </c>
      <c r="G33" s="14">
        <f t="shared" si="0"/>
        <v>1.3717421124828533E-6</v>
      </c>
      <c r="I33" s="18">
        <v>46</v>
      </c>
      <c r="J33" s="18">
        <v>180</v>
      </c>
    </row>
    <row r="34" spans="1:10" x14ac:dyDescent="0.25">
      <c r="A34" s="13">
        <v>2</v>
      </c>
      <c r="B34" s="7">
        <v>1</v>
      </c>
      <c r="C34" s="7">
        <v>2</v>
      </c>
      <c r="D34" s="7">
        <v>2</v>
      </c>
      <c r="E34" s="7">
        <v>0</v>
      </c>
      <c r="F34" s="7">
        <v>729000</v>
      </c>
      <c r="G34" s="14">
        <f t="shared" si="0"/>
        <v>1.3717421124828533E-6</v>
      </c>
      <c r="I34" s="18">
        <v>37</v>
      </c>
      <c r="J34" s="18">
        <v>170</v>
      </c>
    </row>
    <row r="35" spans="1:10" x14ac:dyDescent="0.25">
      <c r="A35" s="13">
        <v>2</v>
      </c>
      <c r="B35" s="7">
        <v>2</v>
      </c>
      <c r="C35" s="7">
        <v>1</v>
      </c>
      <c r="D35" s="7">
        <v>2</v>
      </c>
      <c r="E35" s="7">
        <v>0</v>
      </c>
      <c r="F35" s="7">
        <v>729000</v>
      </c>
      <c r="G35" s="14">
        <f t="shared" si="0"/>
        <v>1.3717421124828533E-6</v>
      </c>
      <c r="I35" s="18">
        <v>46</v>
      </c>
      <c r="J35" s="18">
        <v>160</v>
      </c>
    </row>
    <row r="36" spans="1:10" x14ac:dyDescent="0.25">
      <c r="A36" s="13">
        <v>2</v>
      </c>
      <c r="B36" s="7">
        <v>2</v>
      </c>
      <c r="C36" s="7">
        <v>2</v>
      </c>
      <c r="D36" s="7">
        <v>0</v>
      </c>
      <c r="E36" s="7">
        <v>1</v>
      </c>
      <c r="F36" s="7">
        <v>729000</v>
      </c>
      <c r="G36" s="14">
        <f t="shared" si="0"/>
        <v>1.3717421124828533E-6</v>
      </c>
      <c r="I36" s="18">
        <v>28</v>
      </c>
      <c r="J36" s="18">
        <v>160</v>
      </c>
    </row>
    <row r="37" spans="1:10" x14ac:dyDescent="0.25">
      <c r="A37" s="13">
        <v>2</v>
      </c>
      <c r="B37" s="7">
        <v>2</v>
      </c>
      <c r="C37" s="7">
        <v>2</v>
      </c>
      <c r="D37" s="7">
        <v>1</v>
      </c>
      <c r="E37" s="7">
        <v>0</v>
      </c>
      <c r="F37" s="7">
        <v>729000</v>
      </c>
      <c r="G37" s="14">
        <f t="shared" si="0"/>
        <v>1.3717421124828533E-6</v>
      </c>
      <c r="I37" s="18">
        <v>37</v>
      </c>
      <c r="J37" s="18">
        <v>150</v>
      </c>
    </row>
    <row r="38" spans="1:10" x14ac:dyDescent="0.25">
      <c r="A38" s="13">
        <v>0</v>
      </c>
      <c r="B38" s="7">
        <v>1</v>
      </c>
      <c r="C38" s="7">
        <v>1</v>
      </c>
      <c r="D38" s="7">
        <v>2</v>
      </c>
      <c r="E38" s="7">
        <v>3</v>
      </c>
      <c r="F38" s="7">
        <v>540000</v>
      </c>
      <c r="G38" s="14">
        <f t="shared" si="0"/>
        <v>1.8518518518518519E-6</v>
      </c>
      <c r="I38" s="18">
        <v>38</v>
      </c>
      <c r="J38" s="18">
        <v>269</v>
      </c>
    </row>
    <row r="39" spans="1:10" x14ac:dyDescent="0.25">
      <c r="A39" s="13">
        <v>0</v>
      </c>
      <c r="B39" s="7">
        <v>1</v>
      </c>
      <c r="C39" s="7">
        <v>1</v>
      </c>
      <c r="D39" s="7">
        <v>3</v>
      </c>
      <c r="E39" s="7">
        <v>2</v>
      </c>
      <c r="F39" s="7">
        <v>540000</v>
      </c>
      <c r="G39" s="14">
        <f t="shared" si="0"/>
        <v>1.8518518518518519E-6</v>
      </c>
      <c r="I39" s="18">
        <v>47</v>
      </c>
      <c r="J39" s="18">
        <v>259</v>
      </c>
    </row>
    <row r="40" spans="1:10" x14ac:dyDescent="0.25">
      <c r="A40" s="13">
        <v>0</v>
      </c>
      <c r="B40" s="7">
        <v>1</v>
      </c>
      <c r="C40" s="7">
        <v>2</v>
      </c>
      <c r="D40" s="7">
        <v>1</v>
      </c>
      <c r="E40" s="7">
        <v>3</v>
      </c>
      <c r="F40" s="7">
        <v>540000</v>
      </c>
      <c r="G40" s="14">
        <f t="shared" si="0"/>
        <v>1.8518518518518519E-6</v>
      </c>
      <c r="I40" s="18">
        <v>29</v>
      </c>
      <c r="J40" s="18">
        <v>259</v>
      </c>
    </row>
    <row r="41" spans="1:10" x14ac:dyDescent="0.25">
      <c r="A41" s="13">
        <v>0</v>
      </c>
      <c r="B41" s="7">
        <v>2</v>
      </c>
      <c r="C41" s="7">
        <v>1</v>
      </c>
      <c r="D41" s="7">
        <v>1</v>
      </c>
      <c r="E41" s="7">
        <v>3</v>
      </c>
      <c r="F41" s="7">
        <v>540000</v>
      </c>
      <c r="G41" s="14">
        <f t="shared" si="0"/>
        <v>1.8518518518518519E-6</v>
      </c>
      <c r="I41" s="18">
        <v>38</v>
      </c>
      <c r="J41" s="18">
        <v>249</v>
      </c>
    </row>
    <row r="42" spans="1:10" x14ac:dyDescent="0.25">
      <c r="A42" s="13">
        <v>0</v>
      </c>
      <c r="B42" s="7">
        <v>1</v>
      </c>
      <c r="C42" s="7">
        <v>3</v>
      </c>
      <c r="D42" s="7">
        <v>1</v>
      </c>
      <c r="E42" s="7">
        <v>2</v>
      </c>
      <c r="F42" s="7">
        <v>540000</v>
      </c>
      <c r="G42" s="14">
        <f t="shared" si="0"/>
        <v>1.8518518518518519E-6</v>
      </c>
      <c r="I42" s="18">
        <v>29</v>
      </c>
      <c r="J42" s="18">
        <v>239</v>
      </c>
    </row>
    <row r="43" spans="1:10" x14ac:dyDescent="0.25">
      <c r="A43" s="13">
        <v>0</v>
      </c>
      <c r="B43" s="7">
        <v>1</v>
      </c>
      <c r="C43" s="7">
        <v>2</v>
      </c>
      <c r="D43" s="7">
        <v>3</v>
      </c>
      <c r="E43" s="7">
        <v>1</v>
      </c>
      <c r="F43" s="7">
        <v>540000</v>
      </c>
      <c r="G43" s="14">
        <f t="shared" si="0"/>
        <v>1.8518518518518519E-6</v>
      </c>
      <c r="I43" s="18">
        <v>47</v>
      </c>
      <c r="J43" s="18">
        <v>239</v>
      </c>
    </row>
    <row r="44" spans="1:10" x14ac:dyDescent="0.25">
      <c r="A44" s="13">
        <v>0</v>
      </c>
      <c r="B44" s="7">
        <v>1</v>
      </c>
      <c r="C44" s="7">
        <v>3</v>
      </c>
      <c r="D44" s="7">
        <v>2</v>
      </c>
      <c r="E44" s="7">
        <v>1</v>
      </c>
      <c r="F44" s="7">
        <v>540000</v>
      </c>
      <c r="G44" s="14">
        <f t="shared" si="0"/>
        <v>1.8518518518518519E-6</v>
      </c>
      <c r="I44" s="18">
        <v>38</v>
      </c>
      <c r="J44" s="18">
        <v>229</v>
      </c>
    </row>
    <row r="45" spans="1:10" x14ac:dyDescent="0.25">
      <c r="A45" s="13">
        <v>0</v>
      </c>
      <c r="B45" s="7">
        <v>2</v>
      </c>
      <c r="C45" s="7">
        <v>1</v>
      </c>
      <c r="D45" s="7">
        <v>3</v>
      </c>
      <c r="E45" s="7">
        <v>1</v>
      </c>
      <c r="F45" s="7">
        <v>540000</v>
      </c>
      <c r="G45" s="14">
        <f t="shared" si="0"/>
        <v>1.8518518518518519E-6</v>
      </c>
      <c r="I45" s="18">
        <v>56</v>
      </c>
      <c r="J45" s="18">
        <v>229</v>
      </c>
    </row>
    <row r="46" spans="1:10" x14ac:dyDescent="0.25">
      <c r="A46" s="13">
        <v>0</v>
      </c>
      <c r="B46" s="7">
        <v>3</v>
      </c>
      <c r="C46" s="7">
        <v>1</v>
      </c>
      <c r="D46" s="7">
        <v>1</v>
      </c>
      <c r="E46" s="7">
        <v>2</v>
      </c>
      <c r="F46" s="7">
        <v>540000</v>
      </c>
      <c r="G46" s="14">
        <f t="shared" si="0"/>
        <v>1.8518518518518519E-6</v>
      </c>
      <c r="I46" s="18">
        <v>47</v>
      </c>
      <c r="J46" s="18">
        <v>219</v>
      </c>
    </row>
    <row r="47" spans="1:10" x14ac:dyDescent="0.25">
      <c r="A47" s="13">
        <v>0</v>
      </c>
      <c r="B47" s="7">
        <v>3</v>
      </c>
      <c r="C47" s="7">
        <v>1</v>
      </c>
      <c r="D47" s="7">
        <v>2</v>
      </c>
      <c r="E47" s="7">
        <v>1</v>
      </c>
      <c r="F47" s="7">
        <v>540000</v>
      </c>
      <c r="G47" s="14">
        <f t="shared" si="0"/>
        <v>1.8518518518518519E-6</v>
      </c>
      <c r="I47" s="18">
        <v>56</v>
      </c>
      <c r="J47" s="18">
        <v>209</v>
      </c>
    </row>
    <row r="48" spans="1:10" x14ac:dyDescent="0.25">
      <c r="A48" s="13">
        <v>0</v>
      </c>
      <c r="B48" s="7">
        <v>2</v>
      </c>
      <c r="C48" s="7">
        <v>3</v>
      </c>
      <c r="D48" s="7">
        <v>1</v>
      </c>
      <c r="E48" s="7">
        <v>1</v>
      </c>
      <c r="F48" s="7">
        <v>540000</v>
      </c>
      <c r="G48" s="14">
        <f t="shared" si="0"/>
        <v>1.8518518518518519E-6</v>
      </c>
      <c r="I48" s="18">
        <v>38</v>
      </c>
      <c r="J48" s="18">
        <v>209</v>
      </c>
    </row>
    <row r="49" spans="1:10" x14ac:dyDescent="0.25">
      <c r="A49" s="13">
        <v>0</v>
      </c>
      <c r="B49" s="7">
        <v>3</v>
      </c>
      <c r="C49" s="7">
        <v>2</v>
      </c>
      <c r="D49" s="7">
        <v>1</v>
      </c>
      <c r="E49" s="7">
        <v>1</v>
      </c>
      <c r="F49" s="7">
        <v>540000</v>
      </c>
      <c r="G49" s="14">
        <f t="shared" si="0"/>
        <v>1.8518518518518519E-6</v>
      </c>
      <c r="I49" s="18">
        <v>47</v>
      </c>
      <c r="J49" s="18">
        <v>199</v>
      </c>
    </row>
    <row r="50" spans="1:10" x14ac:dyDescent="0.25">
      <c r="A50" s="13">
        <v>1</v>
      </c>
      <c r="B50" s="7">
        <v>0</v>
      </c>
      <c r="C50" s="7">
        <v>1</v>
      </c>
      <c r="D50" s="7">
        <v>2</v>
      </c>
      <c r="E50" s="7">
        <v>3</v>
      </c>
      <c r="F50" s="7">
        <v>486000</v>
      </c>
      <c r="G50" s="14">
        <f t="shared" si="0"/>
        <v>2.05761316872428E-6</v>
      </c>
      <c r="I50" s="18">
        <v>29</v>
      </c>
      <c r="J50" s="18">
        <v>259</v>
      </c>
    </row>
    <row r="51" spans="1:10" x14ac:dyDescent="0.25">
      <c r="A51" s="13">
        <v>1</v>
      </c>
      <c r="B51" s="7">
        <v>0</v>
      </c>
      <c r="C51" s="7">
        <v>1</v>
      </c>
      <c r="D51" s="7">
        <v>3</v>
      </c>
      <c r="E51" s="7">
        <v>2</v>
      </c>
      <c r="F51" s="7">
        <v>486000</v>
      </c>
      <c r="G51" s="14">
        <f t="shared" si="0"/>
        <v>2.05761316872428E-6</v>
      </c>
      <c r="I51" s="18">
        <v>38</v>
      </c>
      <c r="J51" s="18">
        <v>249</v>
      </c>
    </row>
    <row r="52" spans="1:10" x14ac:dyDescent="0.25">
      <c r="A52" s="13">
        <v>1</v>
      </c>
      <c r="B52" s="7">
        <v>0</v>
      </c>
      <c r="C52" s="7">
        <v>2</v>
      </c>
      <c r="D52" s="7">
        <v>1</v>
      </c>
      <c r="E52" s="7">
        <v>3</v>
      </c>
      <c r="F52" s="7">
        <v>486000</v>
      </c>
      <c r="G52" s="14">
        <f t="shared" si="0"/>
        <v>2.05761316872428E-6</v>
      </c>
      <c r="I52" s="18">
        <v>20</v>
      </c>
      <c r="J52" s="18">
        <v>249</v>
      </c>
    </row>
    <row r="53" spans="1:10" x14ac:dyDescent="0.25">
      <c r="A53" s="13">
        <v>1</v>
      </c>
      <c r="B53" s="7">
        <v>1</v>
      </c>
      <c r="C53" s="7">
        <v>0</v>
      </c>
      <c r="D53" s="7">
        <v>2</v>
      </c>
      <c r="E53" s="7">
        <v>3</v>
      </c>
      <c r="F53" s="7">
        <v>486000</v>
      </c>
      <c r="G53" s="14">
        <f t="shared" si="0"/>
        <v>2.05761316872428E-6</v>
      </c>
      <c r="I53" s="18">
        <v>38</v>
      </c>
      <c r="J53" s="18">
        <v>249</v>
      </c>
    </row>
    <row r="54" spans="1:10" x14ac:dyDescent="0.25">
      <c r="A54" s="13">
        <v>1</v>
      </c>
      <c r="B54" s="7">
        <v>1</v>
      </c>
      <c r="C54" s="7">
        <v>0</v>
      </c>
      <c r="D54" s="7">
        <v>3</v>
      </c>
      <c r="E54" s="7">
        <v>2</v>
      </c>
      <c r="F54" s="7">
        <v>486000</v>
      </c>
      <c r="G54" s="14">
        <f t="shared" si="0"/>
        <v>2.05761316872428E-6</v>
      </c>
      <c r="I54" s="18">
        <v>47</v>
      </c>
      <c r="J54" s="18">
        <v>239</v>
      </c>
    </row>
    <row r="55" spans="1:10" x14ac:dyDescent="0.25">
      <c r="A55" s="13">
        <v>1</v>
      </c>
      <c r="B55" s="7">
        <v>0</v>
      </c>
      <c r="C55" s="7">
        <v>3</v>
      </c>
      <c r="D55" s="7">
        <v>1</v>
      </c>
      <c r="E55" s="7">
        <v>2</v>
      </c>
      <c r="F55" s="7">
        <v>486000</v>
      </c>
      <c r="G55" s="14">
        <f t="shared" si="0"/>
        <v>2.05761316872428E-6</v>
      </c>
      <c r="I55" s="18">
        <v>20</v>
      </c>
      <c r="J55" s="18">
        <v>229</v>
      </c>
    </row>
    <row r="56" spans="1:10" x14ac:dyDescent="0.25">
      <c r="A56" s="13">
        <v>1</v>
      </c>
      <c r="B56" s="7">
        <v>0</v>
      </c>
      <c r="C56" s="7">
        <v>2</v>
      </c>
      <c r="D56" s="7">
        <v>3</v>
      </c>
      <c r="E56" s="7">
        <v>1</v>
      </c>
      <c r="F56" s="7">
        <v>486000</v>
      </c>
      <c r="G56" s="14">
        <f t="shared" si="0"/>
        <v>2.05761316872428E-6</v>
      </c>
      <c r="I56" s="18">
        <v>38</v>
      </c>
      <c r="J56" s="18">
        <v>229</v>
      </c>
    </row>
    <row r="57" spans="1:10" x14ac:dyDescent="0.25">
      <c r="A57" s="13">
        <v>1</v>
      </c>
      <c r="B57" s="7">
        <v>2</v>
      </c>
      <c r="C57" s="7">
        <v>0</v>
      </c>
      <c r="D57" s="7">
        <v>1</v>
      </c>
      <c r="E57" s="7">
        <v>3</v>
      </c>
      <c r="F57" s="7">
        <v>486000</v>
      </c>
      <c r="G57" s="14">
        <f t="shared" si="0"/>
        <v>2.05761316872428E-6</v>
      </c>
      <c r="I57" s="18">
        <v>38</v>
      </c>
      <c r="J57" s="18">
        <v>229</v>
      </c>
    </row>
    <row r="58" spans="1:10" x14ac:dyDescent="0.25">
      <c r="A58" s="13">
        <v>1</v>
      </c>
      <c r="B58" s="7">
        <v>1</v>
      </c>
      <c r="C58" s="7">
        <v>2</v>
      </c>
      <c r="D58" s="7">
        <v>0</v>
      </c>
      <c r="E58" s="7">
        <v>3</v>
      </c>
      <c r="F58" s="7">
        <v>486000</v>
      </c>
      <c r="G58" s="14">
        <f t="shared" si="0"/>
        <v>2.05761316872428E-6</v>
      </c>
      <c r="I58" s="18">
        <v>20</v>
      </c>
      <c r="J58" s="18">
        <v>229</v>
      </c>
    </row>
    <row r="59" spans="1:10" x14ac:dyDescent="0.25">
      <c r="A59" s="13">
        <v>1</v>
      </c>
      <c r="B59" s="7">
        <v>0</v>
      </c>
      <c r="C59" s="7">
        <v>3</v>
      </c>
      <c r="D59" s="7">
        <v>2</v>
      </c>
      <c r="E59" s="7">
        <v>1</v>
      </c>
      <c r="F59" s="7">
        <v>486000</v>
      </c>
      <c r="G59" s="14">
        <f t="shared" si="0"/>
        <v>2.05761316872428E-6</v>
      </c>
      <c r="I59" s="18">
        <v>29</v>
      </c>
      <c r="J59" s="18">
        <v>219</v>
      </c>
    </row>
    <row r="60" spans="1:10" x14ac:dyDescent="0.25">
      <c r="A60" s="13">
        <v>1</v>
      </c>
      <c r="B60" s="7">
        <v>2</v>
      </c>
      <c r="C60" s="7">
        <v>1</v>
      </c>
      <c r="D60" s="7">
        <v>0</v>
      </c>
      <c r="E60" s="7">
        <v>3</v>
      </c>
      <c r="F60" s="7">
        <v>486000</v>
      </c>
      <c r="G60" s="14">
        <f t="shared" si="0"/>
        <v>2.05761316872428E-6</v>
      </c>
      <c r="I60" s="18">
        <v>29</v>
      </c>
      <c r="J60" s="18">
        <v>219</v>
      </c>
    </row>
    <row r="61" spans="1:10" x14ac:dyDescent="0.25">
      <c r="A61" s="13">
        <v>1</v>
      </c>
      <c r="B61" s="7">
        <v>1</v>
      </c>
      <c r="C61" s="7">
        <v>3</v>
      </c>
      <c r="D61" s="7">
        <v>0</v>
      </c>
      <c r="E61" s="7">
        <v>2</v>
      </c>
      <c r="F61" s="7">
        <v>486000</v>
      </c>
      <c r="G61" s="14">
        <f t="shared" si="0"/>
        <v>2.05761316872428E-6</v>
      </c>
      <c r="I61" s="18">
        <v>20</v>
      </c>
      <c r="J61" s="18">
        <v>209</v>
      </c>
    </row>
    <row r="62" spans="1:10" x14ac:dyDescent="0.25">
      <c r="A62" s="13">
        <v>1</v>
      </c>
      <c r="B62" s="7">
        <v>2</v>
      </c>
      <c r="C62" s="7">
        <v>0</v>
      </c>
      <c r="D62" s="7">
        <v>3</v>
      </c>
      <c r="E62" s="7">
        <v>1</v>
      </c>
      <c r="F62" s="7">
        <v>486000</v>
      </c>
      <c r="G62" s="14">
        <f t="shared" si="0"/>
        <v>2.05761316872428E-6</v>
      </c>
      <c r="I62" s="18">
        <v>56</v>
      </c>
      <c r="J62" s="18">
        <v>209</v>
      </c>
    </row>
    <row r="63" spans="1:10" x14ac:dyDescent="0.25">
      <c r="A63" s="13">
        <v>1</v>
      </c>
      <c r="B63" s="7">
        <v>3</v>
      </c>
      <c r="C63" s="7">
        <v>0</v>
      </c>
      <c r="D63" s="7">
        <v>1</v>
      </c>
      <c r="E63" s="7">
        <v>2</v>
      </c>
      <c r="F63" s="7">
        <v>486000</v>
      </c>
      <c r="G63" s="14">
        <f t="shared" si="0"/>
        <v>2.05761316872428E-6</v>
      </c>
      <c r="I63" s="18">
        <v>47</v>
      </c>
      <c r="J63" s="18">
        <v>199</v>
      </c>
    </row>
    <row r="64" spans="1:10" x14ac:dyDescent="0.25">
      <c r="A64" s="13">
        <v>1</v>
      </c>
      <c r="B64" s="7">
        <v>1</v>
      </c>
      <c r="C64" s="7">
        <v>2</v>
      </c>
      <c r="D64" s="7">
        <v>3</v>
      </c>
      <c r="E64" s="7">
        <v>0</v>
      </c>
      <c r="F64" s="7">
        <v>486000</v>
      </c>
      <c r="G64" s="14">
        <f t="shared" si="0"/>
        <v>2.05761316872428E-6</v>
      </c>
      <c r="I64" s="18">
        <v>47</v>
      </c>
      <c r="J64" s="18">
        <v>199</v>
      </c>
    </row>
    <row r="65" spans="1:10" x14ac:dyDescent="0.25">
      <c r="A65" s="13">
        <v>1</v>
      </c>
      <c r="B65" s="7">
        <v>3</v>
      </c>
      <c r="C65" s="7">
        <v>0</v>
      </c>
      <c r="D65" s="7">
        <v>2</v>
      </c>
      <c r="E65" s="7">
        <v>1</v>
      </c>
      <c r="F65" s="7">
        <v>486000</v>
      </c>
      <c r="G65" s="14">
        <f t="shared" si="0"/>
        <v>2.05761316872428E-6</v>
      </c>
      <c r="I65" s="18">
        <v>56</v>
      </c>
      <c r="J65" s="18">
        <v>189</v>
      </c>
    </row>
    <row r="66" spans="1:10" x14ac:dyDescent="0.25">
      <c r="A66" s="13">
        <v>1</v>
      </c>
      <c r="B66" s="7">
        <v>3</v>
      </c>
      <c r="C66" s="7">
        <v>1</v>
      </c>
      <c r="D66" s="7">
        <v>0</v>
      </c>
      <c r="E66" s="7">
        <v>2</v>
      </c>
      <c r="F66" s="7">
        <v>486000</v>
      </c>
      <c r="G66" s="14">
        <f t="shared" si="0"/>
        <v>2.05761316872428E-6</v>
      </c>
      <c r="I66" s="18">
        <v>38</v>
      </c>
      <c r="J66" s="18">
        <v>189</v>
      </c>
    </row>
    <row r="67" spans="1:10" x14ac:dyDescent="0.25">
      <c r="A67" s="13">
        <v>1</v>
      </c>
      <c r="B67" s="7">
        <v>1</v>
      </c>
      <c r="C67" s="7">
        <v>3</v>
      </c>
      <c r="D67" s="7">
        <v>2</v>
      </c>
      <c r="E67" s="7">
        <v>0</v>
      </c>
      <c r="F67" s="7">
        <v>486000</v>
      </c>
      <c r="G67" s="14">
        <f t="shared" si="0"/>
        <v>2.05761316872428E-6</v>
      </c>
      <c r="I67" s="18">
        <v>38</v>
      </c>
      <c r="J67" s="18">
        <v>189</v>
      </c>
    </row>
    <row r="68" spans="1:10" x14ac:dyDescent="0.25">
      <c r="A68" s="13">
        <v>1</v>
      </c>
      <c r="B68" s="7">
        <v>2</v>
      </c>
      <c r="C68" s="7">
        <v>1</v>
      </c>
      <c r="D68" s="7">
        <v>3</v>
      </c>
      <c r="E68" s="7">
        <v>0</v>
      </c>
      <c r="F68" s="7">
        <v>486000</v>
      </c>
      <c r="G68" s="14">
        <f t="shared" si="0"/>
        <v>2.05761316872428E-6</v>
      </c>
      <c r="I68" s="18">
        <v>56</v>
      </c>
      <c r="J68" s="18">
        <v>189</v>
      </c>
    </row>
    <row r="69" spans="1:10" x14ac:dyDescent="0.25">
      <c r="A69" s="13">
        <v>1</v>
      </c>
      <c r="B69" s="7">
        <v>2</v>
      </c>
      <c r="C69" s="7">
        <v>3</v>
      </c>
      <c r="D69" s="7">
        <v>0</v>
      </c>
      <c r="E69" s="7">
        <v>1</v>
      </c>
      <c r="F69" s="7">
        <v>486000</v>
      </c>
      <c r="G69" s="14">
        <f t="shared" si="0"/>
        <v>2.05761316872428E-6</v>
      </c>
      <c r="I69" s="18">
        <v>29</v>
      </c>
      <c r="J69" s="18">
        <v>179</v>
      </c>
    </row>
    <row r="70" spans="1:10" x14ac:dyDescent="0.25">
      <c r="A70" s="13">
        <v>1</v>
      </c>
      <c r="B70" s="7">
        <v>3</v>
      </c>
      <c r="C70" s="7">
        <v>2</v>
      </c>
      <c r="D70" s="7">
        <v>0</v>
      </c>
      <c r="E70" s="7">
        <v>1</v>
      </c>
      <c r="F70" s="7">
        <v>486000</v>
      </c>
      <c r="G70" s="14">
        <f t="shared" si="0"/>
        <v>2.05761316872428E-6</v>
      </c>
      <c r="I70" s="18">
        <v>38</v>
      </c>
      <c r="J70" s="18">
        <v>169</v>
      </c>
    </row>
    <row r="71" spans="1:10" x14ac:dyDescent="0.25">
      <c r="A71" s="13">
        <v>1</v>
      </c>
      <c r="B71" s="7">
        <v>3</v>
      </c>
      <c r="C71" s="7">
        <v>1</v>
      </c>
      <c r="D71" s="7">
        <v>2</v>
      </c>
      <c r="E71" s="7">
        <v>0</v>
      </c>
      <c r="F71" s="7">
        <v>486000</v>
      </c>
      <c r="G71" s="14">
        <f t="shared" si="0"/>
        <v>2.05761316872428E-6</v>
      </c>
      <c r="I71" s="18">
        <v>56</v>
      </c>
      <c r="J71" s="18">
        <v>169</v>
      </c>
    </row>
    <row r="72" spans="1:10" x14ac:dyDescent="0.25">
      <c r="A72" s="13">
        <v>1</v>
      </c>
      <c r="B72" s="7">
        <v>2</v>
      </c>
      <c r="C72" s="7">
        <v>3</v>
      </c>
      <c r="D72" s="7">
        <v>1</v>
      </c>
      <c r="E72" s="7">
        <v>0</v>
      </c>
      <c r="F72" s="7">
        <v>486000</v>
      </c>
      <c r="G72" s="14">
        <f t="shared" ref="G72:G135" si="1">1/F72</f>
        <v>2.05761316872428E-6</v>
      </c>
      <c r="I72" s="18">
        <v>38</v>
      </c>
      <c r="J72" s="18">
        <v>169</v>
      </c>
    </row>
    <row r="73" spans="1:10" x14ac:dyDescent="0.25">
      <c r="A73" s="13">
        <v>1</v>
      </c>
      <c r="B73" s="7">
        <v>3</v>
      </c>
      <c r="C73" s="7">
        <v>2</v>
      </c>
      <c r="D73" s="7">
        <v>1</v>
      </c>
      <c r="E73" s="7">
        <v>0</v>
      </c>
      <c r="F73" s="7">
        <v>486000</v>
      </c>
      <c r="G73" s="14">
        <f t="shared" si="1"/>
        <v>2.05761316872428E-6</v>
      </c>
      <c r="I73" s="18">
        <v>47</v>
      </c>
      <c r="J73" s="18">
        <v>159</v>
      </c>
    </row>
    <row r="74" spans="1:10" x14ac:dyDescent="0.25">
      <c r="A74" s="13">
        <v>2</v>
      </c>
      <c r="B74" s="7">
        <v>0</v>
      </c>
      <c r="C74" s="7">
        <v>1</v>
      </c>
      <c r="D74" s="7">
        <v>1</v>
      </c>
      <c r="E74" s="7">
        <v>3</v>
      </c>
      <c r="F74" s="7">
        <v>432000</v>
      </c>
      <c r="G74" s="14">
        <f t="shared" si="1"/>
        <v>2.3148148148148148E-6</v>
      </c>
      <c r="I74" s="18">
        <v>20</v>
      </c>
      <c r="J74" s="18">
        <v>229</v>
      </c>
    </row>
    <row r="75" spans="1:10" x14ac:dyDescent="0.25">
      <c r="A75" s="13">
        <v>2</v>
      </c>
      <c r="B75" s="7">
        <v>1</v>
      </c>
      <c r="C75" s="7">
        <v>0</v>
      </c>
      <c r="D75" s="7">
        <v>1</v>
      </c>
      <c r="E75" s="7">
        <v>3</v>
      </c>
      <c r="F75" s="7">
        <v>432000</v>
      </c>
      <c r="G75" s="14">
        <f t="shared" si="1"/>
        <v>2.3148148148148148E-6</v>
      </c>
      <c r="I75" s="18">
        <v>29</v>
      </c>
      <c r="J75" s="18">
        <v>219</v>
      </c>
    </row>
    <row r="76" spans="1:10" x14ac:dyDescent="0.25">
      <c r="A76" s="13">
        <v>2</v>
      </c>
      <c r="B76" s="7">
        <v>0</v>
      </c>
      <c r="C76" s="7">
        <v>1</v>
      </c>
      <c r="D76" s="7">
        <v>3</v>
      </c>
      <c r="E76" s="7">
        <v>1</v>
      </c>
      <c r="F76" s="7">
        <v>432000</v>
      </c>
      <c r="G76" s="14">
        <f t="shared" si="1"/>
        <v>2.3148148148148148E-6</v>
      </c>
      <c r="I76" s="18">
        <v>38</v>
      </c>
      <c r="J76" s="18">
        <v>209</v>
      </c>
    </row>
    <row r="77" spans="1:10" x14ac:dyDescent="0.25">
      <c r="A77" s="13">
        <v>2</v>
      </c>
      <c r="B77" s="7">
        <v>1</v>
      </c>
      <c r="C77" s="7">
        <v>1</v>
      </c>
      <c r="D77" s="7">
        <v>0</v>
      </c>
      <c r="E77" s="7">
        <v>3</v>
      </c>
      <c r="F77" s="7">
        <v>432000</v>
      </c>
      <c r="G77" s="14">
        <f t="shared" si="1"/>
        <v>2.3148148148148148E-6</v>
      </c>
      <c r="I77" s="18">
        <v>20</v>
      </c>
      <c r="J77" s="18">
        <v>209</v>
      </c>
    </row>
    <row r="78" spans="1:10" x14ac:dyDescent="0.25">
      <c r="A78" s="13">
        <v>2</v>
      </c>
      <c r="B78" s="7">
        <v>1</v>
      </c>
      <c r="C78" s="7">
        <v>0</v>
      </c>
      <c r="D78" s="7">
        <v>3</v>
      </c>
      <c r="E78" s="7">
        <v>1</v>
      </c>
      <c r="F78" s="7">
        <v>432000</v>
      </c>
      <c r="G78" s="14">
        <f t="shared" si="1"/>
        <v>2.3148148148148148E-6</v>
      </c>
      <c r="I78" s="18">
        <v>47</v>
      </c>
      <c r="J78" s="18">
        <v>199</v>
      </c>
    </row>
    <row r="79" spans="1:10" x14ac:dyDescent="0.25">
      <c r="A79" s="13">
        <v>2</v>
      </c>
      <c r="B79" s="7">
        <v>0</v>
      </c>
      <c r="C79" s="7">
        <v>3</v>
      </c>
      <c r="D79" s="7">
        <v>1</v>
      </c>
      <c r="E79" s="7">
        <v>1</v>
      </c>
      <c r="F79" s="7">
        <v>432000</v>
      </c>
      <c r="G79" s="14">
        <f t="shared" si="1"/>
        <v>2.3148148148148148E-6</v>
      </c>
      <c r="I79" s="18">
        <v>20</v>
      </c>
      <c r="J79" s="18">
        <v>189</v>
      </c>
    </row>
    <row r="80" spans="1:10" x14ac:dyDescent="0.25">
      <c r="A80" s="13">
        <v>2</v>
      </c>
      <c r="B80" s="7">
        <v>1</v>
      </c>
      <c r="C80" s="7">
        <v>1</v>
      </c>
      <c r="D80" s="7">
        <v>3</v>
      </c>
      <c r="E80" s="7">
        <v>0</v>
      </c>
      <c r="F80" s="7">
        <v>432000</v>
      </c>
      <c r="G80" s="14">
        <f t="shared" si="1"/>
        <v>2.3148148148148148E-6</v>
      </c>
      <c r="I80" s="18">
        <v>47</v>
      </c>
      <c r="J80" s="18">
        <v>179</v>
      </c>
    </row>
    <row r="81" spans="1:10" x14ac:dyDescent="0.25">
      <c r="A81" s="13">
        <v>2</v>
      </c>
      <c r="B81" s="7">
        <v>1</v>
      </c>
      <c r="C81" s="7">
        <v>3</v>
      </c>
      <c r="D81" s="7">
        <v>0</v>
      </c>
      <c r="E81" s="7">
        <v>1</v>
      </c>
      <c r="F81" s="7">
        <v>432000</v>
      </c>
      <c r="G81" s="14">
        <f t="shared" si="1"/>
        <v>2.3148148148148148E-6</v>
      </c>
      <c r="I81" s="18">
        <v>20</v>
      </c>
      <c r="J81" s="18">
        <v>169</v>
      </c>
    </row>
    <row r="82" spans="1:10" x14ac:dyDescent="0.25">
      <c r="A82" s="13">
        <v>2</v>
      </c>
      <c r="B82" s="7">
        <v>3</v>
      </c>
      <c r="C82" s="7">
        <v>0</v>
      </c>
      <c r="D82" s="7">
        <v>1</v>
      </c>
      <c r="E82" s="7">
        <v>1</v>
      </c>
      <c r="F82" s="7">
        <v>432000</v>
      </c>
      <c r="G82" s="14">
        <f t="shared" si="1"/>
        <v>2.3148148148148148E-6</v>
      </c>
      <c r="I82" s="18">
        <v>47</v>
      </c>
      <c r="J82" s="18">
        <v>159</v>
      </c>
    </row>
    <row r="83" spans="1:10" x14ac:dyDescent="0.25">
      <c r="A83" s="13">
        <v>2</v>
      </c>
      <c r="B83" s="7">
        <v>1</v>
      </c>
      <c r="C83" s="7">
        <v>3</v>
      </c>
      <c r="D83" s="7">
        <v>1</v>
      </c>
      <c r="E83" s="7">
        <v>0</v>
      </c>
      <c r="F83" s="7">
        <v>432000</v>
      </c>
      <c r="G83" s="14">
        <f t="shared" si="1"/>
        <v>2.3148148148148148E-6</v>
      </c>
      <c r="I83" s="18">
        <v>29</v>
      </c>
      <c r="J83" s="18">
        <v>159</v>
      </c>
    </row>
    <row r="84" spans="1:10" x14ac:dyDescent="0.25">
      <c r="A84" s="13">
        <v>2</v>
      </c>
      <c r="B84" s="7">
        <v>3</v>
      </c>
      <c r="C84" s="7">
        <v>1</v>
      </c>
      <c r="D84" s="7">
        <v>0</v>
      </c>
      <c r="E84" s="7">
        <v>1</v>
      </c>
      <c r="F84" s="7">
        <v>432000</v>
      </c>
      <c r="G84" s="14">
        <f t="shared" si="1"/>
        <v>2.3148148148148148E-6</v>
      </c>
      <c r="I84" s="18">
        <v>38</v>
      </c>
      <c r="J84" s="18">
        <v>149</v>
      </c>
    </row>
    <row r="85" spans="1:10" x14ac:dyDescent="0.25">
      <c r="A85" s="13">
        <v>2</v>
      </c>
      <c r="B85" s="7">
        <v>3</v>
      </c>
      <c r="C85" s="7">
        <v>1</v>
      </c>
      <c r="D85" s="7">
        <v>1</v>
      </c>
      <c r="E85" s="7">
        <v>0</v>
      </c>
      <c r="F85" s="7">
        <v>432000</v>
      </c>
      <c r="G85" s="14">
        <f t="shared" si="1"/>
        <v>2.3148148148148148E-6</v>
      </c>
      <c r="I85" s="18">
        <v>47</v>
      </c>
      <c r="J85" s="18">
        <v>139</v>
      </c>
    </row>
    <row r="86" spans="1:10" x14ac:dyDescent="0.25">
      <c r="A86" s="13">
        <v>3</v>
      </c>
      <c r="B86" s="7">
        <v>0</v>
      </c>
      <c r="C86" s="7">
        <v>1</v>
      </c>
      <c r="D86" s="7">
        <v>1</v>
      </c>
      <c r="E86" s="7">
        <v>2</v>
      </c>
      <c r="F86" s="7">
        <v>378000</v>
      </c>
      <c r="G86" s="14">
        <f t="shared" si="1"/>
        <v>2.6455026455026455E-6</v>
      </c>
      <c r="I86" s="18">
        <v>20</v>
      </c>
      <c r="J86" s="18">
        <v>189</v>
      </c>
    </row>
    <row r="87" spans="1:10" x14ac:dyDescent="0.25">
      <c r="A87" s="13">
        <v>3</v>
      </c>
      <c r="B87" s="7">
        <v>0</v>
      </c>
      <c r="C87" s="7">
        <v>1</v>
      </c>
      <c r="D87" s="7">
        <v>2</v>
      </c>
      <c r="E87" s="7">
        <v>1</v>
      </c>
      <c r="F87" s="7">
        <v>378000</v>
      </c>
      <c r="G87" s="14">
        <f t="shared" si="1"/>
        <v>2.6455026455026455E-6</v>
      </c>
      <c r="I87" s="18">
        <v>29</v>
      </c>
      <c r="J87" s="18">
        <v>179</v>
      </c>
    </row>
    <row r="88" spans="1:10" x14ac:dyDescent="0.25">
      <c r="A88" s="13">
        <v>3</v>
      </c>
      <c r="B88" s="7">
        <v>1</v>
      </c>
      <c r="C88" s="7">
        <v>0</v>
      </c>
      <c r="D88" s="7">
        <v>1</v>
      </c>
      <c r="E88" s="7">
        <v>2</v>
      </c>
      <c r="F88" s="7">
        <v>378000</v>
      </c>
      <c r="G88" s="14">
        <f t="shared" si="1"/>
        <v>2.6455026455026455E-6</v>
      </c>
      <c r="I88" s="18">
        <v>29</v>
      </c>
      <c r="J88" s="18">
        <v>179</v>
      </c>
    </row>
    <row r="89" spans="1:10" x14ac:dyDescent="0.25">
      <c r="A89" s="13">
        <v>3</v>
      </c>
      <c r="B89" s="7">
        <v>0</v>
      </c>
      <c r="C89" s="7">
        <v>2</v>
      </c>
      <c r="D89" s="7">
        <v>1</v>
      </c>
      <c r="E89" s="7">
        <v>1</v>
      </c>
      <c r="F89" s="7">
        <v>378000</v>
      </c>
      <c r="G89" s="14">
        <f t="shared" si="1"/>
        <v>2.6455026455026455E-6</v>
      </c>
      <c r="I89" s="18">
        <v>20</v>
      </c>
      <c r="J89" s="18">
        <v>169</v>
      </c>
    </row>
    <row r="90" spans="1:10" x14ac:dyDescent="0.25">
      <c r="A90" s="13">
        <v>3</v>
      </c>
      <c r="B90" s="7">
        <v>1</v>
      </c>
      <c r="C90" s="7">
        <v>0</v>
      </c>
      <c r="D90" s="7">
        <v>2</v>
      </c>
      <c r="E90" s="7">
        <v>1</v>
      </c>
      <c r="F90" s="7">
        <v>378000</v>
      </c>
      <c r="G90" s="14">
        <f t="shared" si="1"/>
        <v>2.6455026455026455E-6</v>
      </c>
      <c r="I90" s="18">
        <v>38</v>
      </c>
      <c r="J90" s="18">
        <v>169</v>
      </c>
    </row>
    <row r="91" spans="1:10" x14ac:dyDescent="0.25">
      <c r="A91" s="13">
        <v>3</v>
      </c>
      <c r="B91" s="7">
        <v>1</v>
      </c>
      <c r="C91" s="7">
        <v>1</v>
      </c>
      <c r="D91" s="7">
        <v>0</v>
      </c>
      <c r="E91" s="7">
        <v>2</v>
      </c>
      <c r="F91" s="7">
        <v>378000</v>
      </c>
      <c r="G91" s="14">
        <f t="shared" si="1"/>
        <v>2.6455026455026455E-6</v>
      </c>
      <c r="I91" s="18">
        <v>20</v>
      </c>
      <c r="J91" s="18">
        <v>169</v>
      </c>
    </row>
    <row r="92" spans="1:10" x14ac:dyDescent="0.25">
      <c r="A92" s="13">
        <v>3</v>
      </c>
      <c r="B92" s="7">
        <v>2</v>
      </c>
      <c r="C92" s="7">
        <v>0</v>
      </c>
      <c r="D92" s="7">
        <v>1</v>
      </c>
      <c r="E92" s="7">
        <v>1</v>
      </c>
      <c r="F92" s="7">
        <v>378000</v>
      </c>
      <c r="G92" s="14">
        <f t="shared" si="1"/>
        <v>2.6455026455026455E-6</v>
      </c>
      <c r="I92" s="18">
        <v>38</v>
      </c>
      <c r="J92" s="18">
        <v>149</v>
      </c>
    </row>
    <row r="93" spans="1:10" x14ac:dyDescent="0.25">
      <c r="A93" s="13">
        <v>3</v>
      </c>
      <c r="B93" s="7">
        <v>1</v>
      </c>
      <c r="C93" s="7">
        <v>2</v>
      </c>
      <c r="D93" s="7">
        <v>0</v>
      </c>
      <c r="E93" s="7">
        <v>1</v>
      </c>
      <c r="F93" s="7">
        <v>378000</v>
      </c>
      <c r="G93" s="14">
        <f t="shared" si="1"/>
        <v>2.6455026455026455E-6</v>
      </c>
      <c r="I93" s="18">
        <v>20</v>
      </c>
      <c r="J93" s="18">
        <v>149</v>
      </c>
    </row>
    <row r="94" spans="1:10" x14ac:dyDescent="0.25">
      <c r="A94" s="13">
        <v>3</v>
      </c>
      <c r="B94" s="7">
        <v>1</v>
      </c>
      <c r="C94" s="7">
        <v>1</v>
      </c>
      <c r="D94" s="7">
        <v>2</v>
      </c>
      <c r="E94" s="7">
        <v>0</v>
      </c>
      <c r="F94" s="7">
        <v>378000</v>
      </c>
      <c r="G94" s="14">
        <f t="shared" si="1"/>
        <v>2.6455026455026455E-6</v>
      </c>
      <c r="I94" s="18">
        <v>38</v>
      </c>
      <c r="J94" s="18">
        <v>149</v>
      </c>
    </row>
    <row r="95" spans="1:10" x14ac:dyDescent="0.25">
      <c r="A95" s="13">
        <v>3</v>
      </c>
      <c r="B95" s="7">
        <v>2</v>
      </c>
      <c r="C95" s="7">
        <v>1</v>
      </c>
      <c r="D95" s="7">
        <v>0</v>
      </c>
      <c r="E95" s="7">
        <v>1</v>
      </c>
      <c r="F95" s="7">
        <v>378000</v>
      </c>
      <c r="G95" s="14">
        <f t="shared" si="1"/>
        <v>2.6455026455026455E-6</v>
      </c>
      <c r="I95" s="18">
        <v>29</v>
      </c>
      <c r="J95" s="18">
        <v>139</v>
      </c>
    </row>
    <row r="96" spans="1:10" x14ac:dyDescent="0.25">
      <c r="A96" s="13">
        <v>3</v>
      </c>
      <c r="B96" s="7">
        <v>1</v>
      </c>
      <c r="C96" s="7">
        <v>2</v>
      </c>
      <c r="D96" s="7">
        <v>1</v>
      </c>
      <c r="E96" s="7">
        <v>0</v>
      </c>
      <c r="F96" s="7">
        <v>378000</v>
      </c>
      <c r="G96" s="14">
        <f t="shared" si="1"/>
        <v>2.6455026455026455E-6</v>
      </c>
      <c r="I96" s="18">
        <v>29</v>
      </c>
      <c r="J96" s="18">
        <v>139</v>
      </c>
    </row>
    <row r="97" spans="1:10" x14ac:dyDescent="0.25">
      <c r="A97" s="13">
        <v>3</v>
      </c>
      <c r="B97" s="7">
        <v>2</v>
      </c>
      <c r="C97" s="7">
        <v>1</v>
      </c>
      <c r="D97" s="7">
        <v>1</v>
      </c>
      <c r="E97" s="7">
        <v>0</v>
      </c>
      <c r="F97" s="7">
        <v>378000</v>
      </c>
      <c r="G97" s="14">
        <f t="shared" si="1"/>
        <v>2.6455026455026455E-6</v>
      </c>
      <c r="I97" s="18">
        <v>38</v>
      </c>
      <c r="J97" s="18">
        <v>129</v>
      </c>
    </row>
    <row r="98" spans="1:10" x14ac:dyDescent="0.25">
      <c r="A98" s="13">
        <v>0</v>
      </c>
      <c r="B98" s="7">
        <v>0</v>
      </c>
      <c r="C98" s="7">
        <v>2</v>
      </c>
      <c r="D98" s="7">
        <v>2</v>
      </c>
      <c r="E98" s="7">
        <v>3</v>
      </c>
      <c r="F98" s="7">
        <v>243000</v>
      </c>
      <c r="G98" s="14">
        <f t="shared" si="1"/>
        <v>4.11522633744856E-6</v>
      </c>
      <c r="I98" s="18">
        <v>30</v>
      </c>
      <c r="J98" s="18">
        <v>278</v>
      </c>
    </row>
    <row r="99" spans="1:10" x14ac:dyDescent="0.25">
      <c r="A99" s="13">
        <v>0</v>
      </c>
      <c r="B99" s="7">
        <v>0</v>
      </c>
      <c r="C99" s="7">
        <v>2</v>
      </c>
      <c r="D99" s="7">
        <v>3</v>
      </c>
      <c r="E99" s="7">
        <v>2</v>
      </c>
      <c r="F99" s="7">
        <v>243000</v>
      </c>
      <c r="G99" s="14">
        <f t="shared" si="1"/>
        <v>4.11522633744856E-6</v>
      </c>
      <c r="I99" s="18">
        <v>39</v>
      </c>
      <c r="J99" s="18">
        <v>268</v>
      </c>
    </row>
    <row r="100" spans="1:10" x14ac:dyDescent="0.25">
      <c r="A100" s="13">
        <v>0</v>
      </c>
      <c r="B100" s="7">
        <v>0</v>
      </c>
      <c r="C100" s="7">
        <v>3</v>
      </c>
      <c r="D100" s="7">
        <v>2</v>
      </c>
      <c r="E100" s="7">
        <v>2</v>
      </c>
      <c r="F100" s="7">
        <v>243000</v>
      </c>
      <c r="G100" s="14">
        <f t="shared" si="1"/>
        <v>4.11522633744856E-6</v>
      </c>
      <c r="I100" s="18">
        <v>30</v>
      </c>
      <c r="J100" s="18">
        <v>258</v>
      </c>
    </row>
    <row r="101" spans="1:10" x14ac:dyDescent="0.25">
      <c r="A101" s="13">
        <v>0</v>
      </c>
      <c r="B101" s="7">
        <v>2</v>
      </c>
      <c r="C101" s="7">
        <v>0</v>
      </c>
      <c r="D101" s="7">
        <v>2</v>
      </c>
      <c r="E101" s="7">
        <v>3</v>
      </c>
      <c r="F101" s="7">
        <v>243000</v>
      </c>
      <c r="G101" s="14">
        <f t="shared" si="1"/>
        <v>4.11522633744856E-6</v>
      </c>
      <c r="I101" s="18">
        <v>48</v>
      </c>
      <c r="J101" s="18">
        <v>258</v>
      </c>
    </row>
    <row r="102" spans="1:10" x14ac:dyDescent="0.25">
      <c r="A102" s="13">
        <v>0</v>
      </c>
      <c r="B102" s="7">
        <v>2</v>
      </c>
      <c r="C102" s="7">
        <v>0</v>
      </c>
      <c r="D102" s="7">
        <v>3</v>
      </c>
      <c r="E102" s="7">
        <v>2</v>
      </c>
      <c r="F102" s="7">
        <v>243000</v>
      </c>
      <c r="G102" s="14">
        <f t="shared" si="1"/>
        <v>4.11522633744856E-6</v>
      </c>
      <c r="I102" s="18">
        <v>57</v>
      </c>
      <c r="J102" s="18">
        <v>248</v>
      </c>
    </row>
    <row r="103" spans="1:10" x14ac:dyDescent="0.25">
      <c r="A103" s="13">
        <v>0</v>
      </c>
      <c r="B103" s="7">
        <v>2</v>
      </c>
      <c r="C103" s="7">
        <v>2</v>
      </c>
      <c r="D103" s="7">
        <v>0</v>
      </c>
      <c r="E103" s="7">
        <v>3</v>
      </c>
      <c r="F103" s="7">
        <v>243000</v>
      </c>
      <c r="G103" s="14">
        <f t="shared" si="1"/>
        <v>4.11522633744856E-6</v>
      </c>
      <c r="I103" s="18">
        <v>30</v>
      </c>
      <c r="J103" s="18">
        <v>238</v>
      </c>
    </row>
    <row r="104" spans="1:10" x14ac:dyDescent="0.25">
      <c r="A104" s="13">
        <v>0</v>
      </c>
      <c r="B104" s="7">
        <v>3</v>
      </c>
      <c r="C104" s="7">
        <v>0</v>
      </c>
      <c r="D104" s="7">
        <v>2</v>
      </c>
      <c r="E104" s="7">
        <v>2</v>
      </c>
      <c r="F104" s="7">
        <v>243000</v>
      </c>
      <c r="G104" s="14">
        <f t="shared" si="1"/>
        <v>4.11522633744856E-6</v>
      </c>
      <c r="I104" s="18">
        <v>57</v>
      </c>
      <c r="J104" s="18">
        <v>228</v>
      </c>
    </row>
    <row r="105" spans="1:10" x14ac:dyDescent="0.25">
      <c r="A105" s="13">
        <v>0</v>
      </c>
      <c r="B105" s="7">
        <v>2</v>
      </c>
      <c r="C105" s="7">
        <v>3</v>
      </c>
      <c r="D105" s="7">
        <v>0</v>
      </c>
      <c r="E105" s="7">
        <v>2</v>
      </c>
      <c r="F105" s="7">
        <v>243000</v>
      </c>
      <c r="G105" s="14">
        <f t="shared" si="1"/>
        <v>4.11522633744856E-6</v>
      </c>
      <c r="I105" s="18">
        <v>30</v>
      </c>
      <c r="J105" s="18">
        <v>218</v>
      </c>
    </row>
    <row r="106" spans="1:10" x14ac:dyDescent="0.25">
      <c r="A106" s="13">
        <v>0</v>
      </c>
      <c r="B106" s="7">
        <v>3</v>
      </c>
      <c r="C106" s="7">
        <v>2</v>
      </c>
      <c r="D106" s="7">
        <v>0</v>
      </c>
      <c r="E106" s="7">
        <v>2</v>
      </c>
      <c r="F106" s="7">
        <v>243000</v>
      </c>
      <c r="G106" s="14">
        <f t="shared" si="1"/>
        <v>4.11522633744856E-6</v>
      </c>
      <c r="I106" s="18">
        <v>39</v>
      </c>
      <c r="J106" s="18">
        <v>208</v>
      </c>
    </row>
    <row r="107" spans="1:10" x14ac:dyDescent="0.25">
      <c r="A107" s="13">
        <v>0</v>
      </c>
      <c r="B107" s="7">
        <v>2</v>
      </c>
      <c r="C107" s="7">
        <v>2</v>
      </c>
      <c r="D107" s="7">
        <v>3</v>
      </c>
      <c r="E107" s="7">
        <v>0</v>
      </c>
      <c r="F107" s="7">
        <v>243000</v>
      </c>
      <c r="G107" s="14">
        <f t="shared" si="1"/>
        <v>4.11522633744856E-6</v>
      </c>
      <c r="I107" s="18">
        <v>57</v>
      </c>
      <c r="J107" s="18">
        <v>208</v>
      </c>
    </row>
    <row r="108" spans="1:10" x14ac:dyDescent="0.25">
      <c r="A108" s="13">
        <v>0</v>
      </c>
      <c r="B108" s="7">
        <v>2</v>
      </c>
      <c r="C108" s="7">
        <v>3</v>
      </c>
      <c r="D108" s="7">
        <v>2</v>
      </c>
      <c r="E108" s="7">
        <v>0</v>
      </c>
      <c r="F108" s="7">
        <v>243000</v>
      </c>
      <c r="G108" s="14">
        <f t="shared" si="1"/>
        <v>4.11522633744856E-6</v>
      </c>
      <c r="I108" s="18">
        <v>48</v>
      </c>
      <c r="J108" s="18">
        <v>198</v>
      </c>
    </row>
    <row r="109" spans="1:10" x14ac:dyDescent="0.25">
      <c r="A109" s="13">
        <v>0</v>
      </c>
      <c r="B109" s="7">
        <v>3</v>
      </c>
      <c r="C109" s="7">
        <v>2</v>
      </c>
      <c r="D109" s="7">
        <v>2</v>
      </c>
      <c r="E109" s="7">
        <v>0</v>
      </c>
      <c r="F109" s="7">
        <v>243000</v>
      </c>
      <c r="G109" s="14">
        <f t="shared" si="1"/>
        <v>4.11522633744856E-6</v>
      </c>
      <c r="I109" s="18">
        <v>57</v>
      </c>
      <c r="J109" s="18">
        <v>188</v>
      </c>
    </row>
    <row r="110" spans="1:10" x14ac:dyDescent="0.25">
      <c r="A110" s="13">
        <v>0</v>
      </c>
      <c r="B110" s="7">
        <v>1</v>
      </c>
      <c r="C110" s="7">
        <v>1</v>
      </c>
      <c r="D110" s="7">
        <v>1</v>
      </c>
      <c r="E110" s="7">
        <v>4</v>
      </c>
      <c r="F110" s="7">
        <v>210000</v>
      </c>
      <c r="G110" s="14">
        <f t="shared" si="1"/>
        <v>4.7619047619047615E-6</v>
      </c>
      <c r="I110" s="18">
        <v>31</v>
      </c>
      <c r="J110" s="18">
        <v>277</v>
      </c>
    </row>
    <row r="111" spans="1:10" x14ac:dyDescent="0.25">
      <c r="A111" s="13">
        <v>0</v>
      </c>
      <c r="B111" s="7">
        <v>1</v>
      </c>
      <c r="C111" s="7">
        <v>1</v>
      </c>
      <c r="D111" s="7">
        <v>4</v>
      </c>
      <c r="E111" s="7">
        <v>1</v>
      </c>
      <c r="F111" s="7">
        <v>210000</v>
      </c>
      <c r="G111" s="14">
        <f t="shared" si="1"/>
        <v>4.7619047619047615E-6</v>
      </c>
      <c r="I111" s="18">
        <v>58</v>
      </c>
      <c r="J111" s="18">
        <v>247</v>
      </c>
    </row>
    <row r="112" spans="1:10" x14ac:dyDescent="0.25">
      <c r="A112" s="13">
        <v>0</v>
      </c>
      <c r="B112" s="7">
        <v>1</v>
      </c>
      <c r="C112" s="7">
        <v>4</v>
      </c>
      <c r="D112" s="7">
        <v>1</v>
      </c>
      <c r="E112" s="7">
        <v>1</v>
      </c>
      <c r="F112" s="7">
        <v>210000</v>
      </c>
      <c r="G112" s="14">
        <f t="shared" si="1"/>
        <v>4.7619047619047615E-6</v>
      </c>
      <c r="I112" s="18">
        <v>31</v>
      </c>
      <c r="J112" s="18">
        <v>217</v>
      </c>
    </row>
    <row r="113" spans="1:10" x14ac:dyDescent="0.25">
      <c r="A113" s="13">
        <v>0</v>
      </c>
      <c r="B113" s="7">
        <v>4</v>
      </c>
      <c r="C113" s="7">
        <v>1</v>
      </c>
      <c r="D113" s="7">
        <v>1</v>
      </c>
      <c r="E113" s="7">
        <v>1</v>
      </c>
      <c r="F113" s="7">
        <v>210000</v>
      </c>
      <c r="G113" s="14">
        <f t="shared" si="1"/>
        <v>4.7619047619047615E-6</v>
      </c>
      <c r="I113" s="18">
        <v>58</v>
      </c>
      <c r="J113" s="18">
        <v>187</v>
      </c>
    </row>
    <row r="114" spans="1:10" x14ac:dyDescent="0.25">
      <c r="A114" s="13">
        <v>2</v>
      </c>
      <c r="B114" s="7">
        <v>0</v>
      </c>
      <c r="C114" s="7">
        <v>0</v>
      </c>
      <c r="D114" s="7">
        <v>2</v>
      </c>
      <c r="E114" s="7">
        <v>3</v>
      </c>
      <c r="F114" s="7">
        <v>194400</v>
      </c>
      <c r="G114" s="14">
        <f t="shared" si="1"/>
        <v>5.1440329218107E-6</v>
      </c>
      <c r="I114" s="18">
        <v>30</v>
      </c>
      <c r="J114" s="18">
        <v>238</v>
      </c>
    </row>
    <row r="115" spans="1:10" x14ac:dyDescent="0.25">
      <c r="A115" s="13">
        <v>2</v>
      </c>
      <c r="B115" s="7">
        <v>0</v>
      </c>
      <c r="C115" s="7">
        <v>0</v>
      </c>
      <c r="D115" s="7">
        <v>3</v>
      </c>
      <c r="E115" s="7">
        <v>2</v>
      </c>
      <c r="F115" s="7">
        <v>194400</v>
      </c>
      <c r="G115" s="14">
        <f t="shared" si="1"/>
        <v>5.1440329218107E-6</v>
      </c>
      <c r="I115" s="18">
        <v>39</v>
      </c>
      <c r="J115" s="18">
        <v>228</v>
      </c>
    </row>
    <row r="116" spans="1:10" x14ac:dyDescent="0.25">
      <c r="A116" s="13">
        <v>2</v>
      </c>
      <c r="B116" s="7">
        <v>0</v>
      </c>
      <c r="C116" s="7">
        <v>2</v>
      </c>
      <c r="D116" s="7">
        <v>0</v>
      </c>
      <c r="E116" s="7">
        <v>3</v>
      </c>
      <c r="F116" s="7">
        <v>194400</v>
      </c>
      <c r="G116" s="14">
        <f t="shared" si="1"/>
        <v>5.1440329218107E-6</v>
      </c>
      <c r="I116" s="18">
        <v>12</v>
      </c>
      <c r="J116" s="18">
        <v>218</v>
      </c>
    </row>
    <row r="117" spans="1:10" x14ac:dyDescent="0.25">
      <c r="A117" s="13">
        <v>2</v>
      </c>
      <c r="B117" s="7">
        <v>0</v>
      </c>
      <c r="C117" s="7">
        <v>3</v>
      </c>
      <c r="D117" s="7">
        <v>0</v>
      </c>
      <c r="E117" s="7">
        <v>2</v>
      </c>
      <c r="F117" s="7">
        <v>194400</v>
      </c>
      <c r="G117" s="14">
        <f t="shared" si="1"/>
        <v>5.1440329218107E-6</v>
      </c>
      <c r="I117" s="18">
        <v>12</v>
      </c>
      <c r="J117" s="18">
        <v>198</v>
      </c>
    </row>
    <row r="118" spans="1:10" x14ac:dyDescent="0.25">
      <c r="A118" s="13">
        <v>2</v>
      </c>
      <c r="B118" s="7">
        <v>2</v>
      </c>
      <c r="C118" s="7">
        <v>0</v>
      </c>
      <c r="D118" s="7">
        <v>0</v>
      </c>
      <c r="E118" s="7">
        <v>3</v>
      </c>
      <c r="F118" s="7">
        <v>194400</v>
      </c>
      <c r="G118" s="14">
        <f t="shared" si="1"/>
        <v>5.1440329218107E-6</v>
      </c>
      <c r="I118" s="18">
        <v>30</v>
      </c>
      <c r="J118" s="18">
        <v>198</v>
      </c>
    </row>
    <row r="119" spans="1:10" x14ac:dyDescent="0.25">
      <c r="A119" s="13">
        <v>2</v>
      </c>
      <c r="B119" s="7">
        <v>0</v>
      </c>
      <c r="C119" s="7">
        <v>2</v>
      </c>
      <c r="D119" s="7">
        <v>3</v>
      </c>
      <c r="E119" s="7">
        <v>0</v>
      </c>
      <c r="F119" s="7">
        <v>194400</v>
      </c>
      <c r="G119" s="14">
        <f t="shared" si="1"/>
        <v>5.1440329218107E-6</v>
      </c>
      <c r="I119" s="18">
        <v>39</v>
      </c>
      <c r="J119" s="18">
        <v>188</v>
      </c>
    </row>
    <row r="120" spans="1:10" x14ac:dyDescent="0.25">
      <c r="A120" s="13">
        <v>2</v>
      </c>
      <c r="B120" s="7">
        <v>0</v>
      </c>
      <c r="C120" s="7">
        <v>3</v>
      </c>
      <c r="D120" s="7">
        <v>2</v>
      </c>
      <c r="E120" s="7">
        <v>0</v>
      </c>
      <c r="F120" s="7">
        <v>194400</v>
      </c>
      <c r="G120" s="14">
        <f t="shared" si="1"/>
        <v>5.1440329218107E-6</v>
      </c>
      <c r="I120" s="18">
        <v>30</v>
      </c>
      <c r="J120" s="18">
        <v>178</v>
      </c>
    </row>
    <row r="121" spans="1:10" x14ac:dyDescent="0.25">
      <c r="A121" s="13">
        <v>2</v>
      </c>
      <c r="B121" s="7">
        <v>3</v>
      </c>
      <c r="C121" s="7">
        <v>0</v>
      </c>
      <c r="D121" s="7">
        <v>0</v>
      </c>
      <c r="E121" s="7">
        <v>2</v>
      </c>
      <c r="F121" s="7">
        <v>194400</v>
      </c>
      <c r="G121" s="14">
        <f t="shared" si="1"/>
        <v>5.1440329218107E-6</v>
      </c>
      <c r="I121" s="18">
        <v>39</v>
      </c>
      <c r="J121" s="18">
        <v>168</v>
      </c>
    </row>
    <row r="122" spans="1:10" x14ac:dyDescent="0.25">
      <c r="A122" s="13">
        <v>2</v>
      </c>
      <c r="B122" s="7">
        <v>2</v>
      </c>
      <c r="C122" s="7">
        <v>0</v>
      </c>
      <c r="D122" s="7">
        <v>3</v>
      </c>
      <c r="E122" s="7">
        <v>0</v>
      </c>
      <c r="F122" s="7">
        <v>194400</v>
      </c>
      <c r="G122" s="14">
        <f t="shared" si="1"/>
        <v>5.1440329218107E-6</v>
      </c>
      <c r="I122" s="18">
        <v>57</v>
      </c>
      <c r="J122" s="18">
        <v>168</v>
      </c>
    </row>
    <row r="123" spans="1:10" x14ac:dyDescent="0.25">
      <c r="A123" s="13">
        <v>2</v>
      </c>
      <c r="B123" s="7">
        <v>3</v>
      </c>
      <c r="C123" s="7">
        <v>0</v>
      </c>
      <c r="D123" s="7">
        <v>2</v>
      </c>
      <c r="E123" s="7">
        <v>0</v>
      </c>
      <c r="F123" s="7">
        <v>194400</v>
      </c>
      <c r="G123" s="14">
        <f t="shared" si="1"/>
        <v>5.1440329218107E-6</v>
      </c>
      <c r="I123" s="18">
        <v>57</v>
      </c>
      <c r="J123" s="18">
        <v>148</v>
      </c>
    </row>
    <row r="124" spans="1:10" x14ac:dyDescent="0.25">
      <c r="A124" s="13">
        <v>2</v>
      </c>
      <c r="B124" s="7">
        <v>2</v>
      </c>
      <c r="C124" s="7">
        <v>3</v>
      </c>
      <c r="D124" s="7">
        <v>0</v>
      </c>
      <c r="E124" s="7">
        <v>0</v>
      </c>
      <c r="F124" s="7">
        <v>194400</v>
      </c>
      <c r="G124" s="14">
        <f t="shared" si="1"/>
        <v>5.1440329218107E-6</v>
      </c>
      <c r="I124" s="18">
        <v>30</v>
      </c>
      <c r="J124" s="18">
        <v>138</v>
      </c>
    </row>
    <row r="125" spans="1:10" x14ac:dyDescent="0.25">
      <c r="A125" s="13">
        <v>2</v>
      </c>
      <c r="B125" s="7">
        <v>3</v>
      </c>
      <c r="C125" s="7">
        <v>2</v>
      </c>
      <c r="D125" s="7">
        <v>0</v>
      </c>
      <c r="E125" s="7">
        <v>0</v>
      </c>
      <c r="F125" s="7">
        <v>194400</v>
      </c>
      <c r="G125" s="14">
        <f t="shared" si="1"/>
        <v>5.1440329218107E-6</v>
      </c>
      <c r="I125" s="18">
        <v>39</v>
      </c>
      <c r="J125" s="18">
        <v>128</v>
      </c>
    </row>
    <row r="126" spans="1:10" x14ac:dyDescent="0.25">
      <c r="A126" s="13">
        <v>1</v>
      </c>
      <c r="B126" s="7">
        <v>0</v>
      </c>
      <c r="C126" s="7">
        <v>1</v>
      </c>
      <c r="D126" s="7">
        <v>1</v>
      </c>
      <c r="E126" s="7">
        <v>4</v>
      </c>
      <c r="F126" s="7">
        <v>189000</v>
      </c>
      <c r="G126" s="14">
        <f t="shared" si="1"/>
        <v>5.2910052910052911E-6</v>
      </c>
      <c r="I126" s="18">
        <v>22</v>
      </c>
      <c r="J126" s="18">
        <v>267</v>
      </c>
    </row>
    <row r="127" spans="1:10" x14ac:dyDescent="0.25">
      <c r="A127" s="13">
        <v>1</v>
      </c>
      <c r="B127" s="7">
        <v>1</v>
      </c>
      <c r="C127" s="7">
        <v>0</v>
      </c>
      <c r="D127" s="7">
        <v>1</v>
      </c>
      <c r="E127" s="7">
        <v>4</v>
      </c>
      <c r="F127" s="7">
        <v>189000</v>
      </c>
      <c r="G127" s="14">
        <f t="shared" si="1"/>
        <v>5.2910052910052911E-6</v>
      </c>
      <c r="I127" s="18">
        <v>31</v>
      </c>
      <c r="J127" s="18">
        <v>257</v>
      </c>
    </row>
    <row r="128" spans="1:10" x14ac:dyDescent="0.25">
      <c r="A128" s="13">
        <v>1</v>
      </c>
      <c r="B128" s="7">
        <v>1</v>
      </c>
      <c r="C128" s="7">
        <v>1</v>
      </c>
      <c r="D128" s="7">
        <v>0</v>
      </c>
      <c r="E128" s="7">
        <v>4</v>
      </c>
      <c r="F128" s="7">
        <v>189000</v>
      </c>
      <c r="G128" s="14">
        <f t="shared" si="1"/>
        <v>5.2910052910052911E-6</v>
      </c>
      <c r="I128" s="18">
        <v>22</v>
      </c>
      <c r="J128" s="18">
        <v>247</v>
      </c>
    </row>
    <row r="129" spans="1:10" x14ac:dyDescent="0.25">
      <c r="A129" s="13">
        <v>1</v>
      </c>
      <c r="B129" s="7">
        <v>0</v>
      </c>
      <c r="C129" s="7">
        <v>1</v>
      </c>
      <c r="D129" s="7">
        <v>4</v>
      </c>
      <c r="E129" s="7">
        <v>1</v>
      </c>
      <c r="F129" s="7">
        <v>189000</v>
      </c>
      <c r="G129" s="14">
        <f t="shared" si="1"/>
        <v>5.2910052910052911E-6</v>
      </c>
      <c r="I129" s="18">
        <v>49</v>
      </c>
      <c r="J129" s="18">
        <v>237</v>
      </c>
    </row>
    <row r="130" spans="1:10" x14ac:dyDescent="0.25">
      <c r="A130" s="13">
        <v>1</v>
      </c>
      <c r="B130" s="7">
        <v>1</v>
      </c>
      <c r="C130" s="7">
        <v>0</v>
      </c>
      <c r="D130" s="7">
        <v>4</v>
      </c>
      <c r="E130" s="7">
        <v>1</v>
      </c>
      <c r="F130" s="7">
        <v>189000</v>
      </c>
      <c r="G130" s="14">
        <f t="shared" si="1"/>
        <v>5.2910052910052911E-6</v>
      </c>
      <c r="I130" s="18">
        <v>58</v>
      </c>
      <c r="J130" s="18">
        <v>227</v>
      </c>
    </row>
    <row r="131" spans="1:10" x14ac:dyDescent="0.25">
      <c r="A131" s="13">
        <v>1</v>
      </c>
      <c r="B131" s="7">
        <v>0</v>
      </c>
      <c r="C131" s="7">
        <v>4</v>
      </c>
      <c r="D131" s="7">
        <v>1</v>
      </c>
      <c r="E131" s="7">
        <v>1</v>
      </c>
      <c r="F131" s="7">
        <v>189000</v>
      </c>
      <c r="G131" s="14">
        <f t="shared" si="1"/>
        <v>5.2910052910052911E-6</v>
      </c>
      <c r="I131" s="18">
        <v>22</v>
      </c>
      <c r="J131" s="18">
        <v>207</v>
      </c>
    </row>
    <row r="132" spans="1:10" x14ac:dyDescent="0.25">
      <c r="A132" s="13">
        <v>1</v>
      </c>
      <c r="B132" s="7">
        <v>1</v>
      </c>
      <c r="C132" s="7">
        <v>1</v>
      </c>
      <c r="D132" s="7">
        <v>4</v>
      </c>
      <c r="E132" s="7">
        <v>0</v>
      </c>
      <c r="F132" s="7">
        <v>189000</v>
      </c>
      <c r="G132" s="14">
        <f t="shared" si="1"/>
        <v>5.2910052910052911E-6</v>
      </c>
      <c r="I132" s="18">
        <v>58</v>
      </c>
      <c r="J132" s="18">
        <v>207</v>
      </c>
    </row>
    <row r="133" spans="1:10" x14ac:dyDescent="0.25">
      <c r="A133" s="13">
        <v>1</v>
      </c>
      <c r="B133" s="7">
        <v>1</v>
      </c>
      <c r="C133" s="7">
        <v>4</v>
      </c>
      <c r="D133" s="7">
        <v>0</v>
      </c>
      <c r="E133" s="7">
        <v>1</v>
      </c>
      <c r="F133" s="7">
        <v>189000</v>
      </c>
      <c r="G133" s="14">
        <f t="shared" si="1"/>
        <v>5.2910052910052911E-6</v>
      </c>
      <c r="I133" s="18">
        <v>22</v>
      </c>
      <c r="J133" s="18">
        <v>187</v>
      </c>
    </row>
    <row r="134" spans="1:10" x14ac:dyDescent="0.25">
      <c r="A134" s="13">
        <v>1</v>
      </c>
      <c r="B134" s="7">
        <v>1</v>
      </c>
      <c r="C134" s="7">
        <v>4</v>
      </c>
      <c r="D134" s="7">
        <v>1</v>
      </c>
      <c r="E134" s="7">
        <v>0</v>
      </c>
      <c r="F134" s="7">
        <v>189000</v>
      </c>
      <c r="G134" s="14">
        <f t="shared" si="1"/>
        <v>5.2910052910052911E-6</v>
      </c>
      <c r="I134" s="18">
        <v>31</v>
      </c>
      <c r="J134" s="18">
        <v>177</v>
      </c>
    </row>
    <row r="135" spans="1:10" x14ac:dyDescent="0.25">
      <c r="A135" s="13">
        <v>1</v>
      </c>
      <c r="B135" s="7">
        <v>4</v>
      </c>
      <c r="C135" s="7">
        <v>0</v>
      </c>
      <c r="D135" s="7">
        <v>1</v>
      </c>
      <c r="E135" s="7">
        <v>1</v>
      </c>
      <c r="F135" s="7">
        <v>189000</v>
      </c>
      <c r="G135" s="14">
        <f t="shared" si="1"/>
        <v>5.2910052910052911E-6</v>
      </c>
      <c r="I135" s="18">
        <v>58</v>
      </c>
      <c r="J135" s="18">
        <v>167</v>
      </c>
    </row>
    <row r="136" spans="1:10" x14ac:dyDescent="0.25">
      <c r="A136" s="13">
        <v>1</v>
      </c>
      <c r="B136" s="7">
        <v>4</v>
      </c>
      <c r="C136" s="7">
        <v>1</v>
      </c>
      <c r="D136" s="7">
        <v>0</v>
      </c>
      <c r="E136" s="7">
        <v>1</v>
      </c>
      <c r="F136" s="7">
        <v>189000</v>
      </c>
      <c r="G136" s="14">
        <f t="shared" ref="G136:G199" si="2">1/F136</f>
        <v>5.2910052910052911E-6</v>
      </c>
      <c r="I136" s="18">
        <v>49</v>
      </c>
      <c r="J136" s="18">
        <v>157</v>
      </c>
    </row>
    <row r="137" spans="1:10" x14ac:dyDescent="0.25">
      <c r="A137" s="13">
        <v>1</v>
      </c>
      <c r="B137" s="7">
        <v>4</v>
      </c>
      <c r="C137" s="7">
        <v>1</v>
      </c>
      <c r="D137" s="7">
        <v>1</v>
      </c>
      <c r="E137" s="7">
        <v>0</v>
      </c>
      <c r="F137" s="7">
        <v>189000</v>
      </c>
      <c r="G137" s="14">
        <f t="shared" si="2"/>
        <v>5.2910052910052911E-6</v>
      </c>
      <c r="I137" s="18">
        <v>58</v>
      </c>
      <c r="J137" s="18">
        <v>147</v>
      </c>
    </row>
    <row r="138" spans="1:10" x14ac:dyDescent="0.25">
      <c r="A138" s="13">
        <v>3</v>
      </c>
      <c r="B138" s="7">
        <v>0</v>
      </c>
      <c r="C138" s="7">
        <v>0</v>
      </c>
      <c r="D138" s="7">
        <v>2</v>
      </c>
      <c r="E138" s="7">
        <v>2</v>
      </c>
      <c r="F138" s="7">
        <v>170100</v>
      </c>
      <c r="G138" s="14">
        <f t="shared" si="2"/>
        <v>5.878894767783657E-6</v>
      </c>
      <c r="I138" s="18">
        <v>30</v>
      </c>
      <c r="J138" s="18">
        <v>198</v>
      </c>
    </row>
    <row r="139" spans="1:10" x14ac:dyDescent="0.25">
      <c r="A139" s="13">
        <v>3</v>
      </c>
      <c r="B139" s="7">
        <v>0</v>
      </c>
      <c r="C139" s="7">
        <v>2</v>
      </c>
      <c r="D139" s="7">
        <v>0</v>
      </c>
      <c r="E139" s="7">
        <v>2</v>
      </c>
      <c r="F139" s="7">
        <v>170100</v>
      </c>
      <c r="G139" s="14">
        <f t="shared" si="2"/>
        <v>5.878894767783657E-6</v>
      </c>
      <c r="I139" s="18">
        <v>12</v>
      </c>
      <c r="J139" s="18">
        <v>178</v>
      </c>
    </row>
    <row r="140" spans="1:10" x14ac:dyDescent="0.25">
      <c r="A140" s="13">
        <v>3</v>
      </c>
      <c r="B140" s="7">
        <v>2</v>
      </c>
      <c r="C140" s="7">
        <v>0</v>
      </c>
      <c r="D140" s="7">
        <v>0</v>
      </c>
      <c r="E140" s="7">
        <v>2</v>
      </c>
      <c r="F140" s="7">
        <v>170100</v>
      </c>
      <c r="G140" s="14">
        <f t="shared" si="2"/>
        <v>5.878894767783657E-6</v>
      </c>
      <c r="I140" s="18">
        <v>30</v>
      </c>
      <c r="J140" s="18">
        <v>158</v>
      </c>
    </row>
    <row r="141" spans="1:10" x14ac:dyDescent="0.25">
      <c r="A141" s="13">
        <v>3</v>
      </c>
      <c r="B141" s="7">
        <v>0</v>
      </c>
      <c r="C141" s="7">
        <v>2</v>
      </c>
      <c r="D141" s="7">
        <v>2</v>
      </c>
      <c r="E141" s="7">
        <v>0</v>
      </c>
      <c r="F141" s="7">
        <v>170100</v>
      </c>
      <c r="G141" s="14">
        <f t="shared" si="2"/>
        <v>5.878894767783657E-6</v>
      </c>
      <c r="I141" s="18">
        <v>30</v>
      </c>
      <c r="J141" s="18">
        <v>158</v>
      </c>
    </row>
    <row r="142" spans="1:10" x14ac:dyDescent="0.25">
      <c r="A142" s="13">
        <v>3</v>
      </c>
      <c r="B142" s="7">
        <v>2</v>
      </c>
      <c r="C142" s="7">
        <v>0</v>
      </c>
      <c r="D142" s="7">
        <v>2</v>
      </c>
      <c r="E142" s="7">
        <v>0</v>
      </c>
      <c r="F142" s="7">
        <v>170100</v>
      </c>
      <c r="G142" s="14">
        <f t="shared" si="2"/>
        <v>5.878894767783657E-6</v>
      </c>
      <c r="I142" s="18">
        <v>48</v>
      </c>
      <c r="J142" s="18">
        <v>138</v>
      </c>
    </row>
    <row r="143" spans="1:10" x14ac:dyDescent="0.25">
      <c r="A143" s="13">
        <v>3</v>
      </c>
      <c r="B143" s="7">
        <v>2</v>
      </c>
      <c r="C143" s="7">
        <v>2</v>
      </c>
      <c r="D143" s="7">
        <v>0</v>
      </c>
      <c r="E143" s="7">
        <v>0</v>
      </c>
      <c r="F143" s="7">
        <v>170100</v>
      </c>
      <c r="G143" s="14">
        <f t="shared" si="2"/>
        <v>5.878894767783657E-6</v>
      </c>
      <c r="I143" s="18">
        <v>30</v>
      </c>
      <c r="J143" s="18">
        <v>118</v>
      </c>
    </row>
    <row r="144" spans="1:10" x14ac:dyDescent="0.25">
      <c r="A144" s="13">
        <v>0</v>
      </c>
      <c r="B144" s="7">
        <v>0</v>
      </c>
      <c r="C144" s="7">
        <v>1</v>
      </c>
      <c r="D144" s="7">
        <v>3</v>
      </c>
      <c r="E144" s="7">
        <v>3</v>
      </c>
      <c r="F144" s="7">
        <v>144000</v>
      </c>
      <c r="G144" s="14">
        <f t="shared" si="2"/>
        <v>6.9444444444444448E-6</v>
      </c>
      <c r="I144" s="18">
        <v>40</v>
      </c>
      <c r="J144" s="18">
        <v>287</v>
      </c>
    </row>
    <row r="145" spans="1:10" x14ac:dyDescent="0.25">
      <c r="A145" s="13">
        <v>0</v>
      </c>
      <c r="B145" s="7">
        <v>1</v>
      </c>
      <c r="C145" s="7">
        <v>0</v>
      </c>
      <c r="D145" s="7">
        <v>3</v>
      </c>
      <c r="E145" s="7">
        <v>3</v>
      </c>
      <c r="F145" s="7">
        <v>144000</v>
      </c>
      <c r="G145" s="14">
        <f t="shared" si="2"/>
        <v>6.9444444444444448E-6</v>
      </c>
      <c r="I145" s="18">
        <v>49</v>
      </c>
      <c r="J145" s="18">
        <v>277</v>
      </c>
    </row>
    <row r="146" spans="1:10" x14ac:dyDescent="0.25">
      <c r="A146" s="13">
        <v>0</v>
      </c>
      <c r="B146" s="7">
        <v>0</v>
      </c>
      <c r="C146" s="7">
        <v>3</v>
      </c>
      <c r="D146" s="7">
        <v>1</v>
      </c>
      <c r="E146" s="7">
        <v>3</v>
      </c>
      <c r="F146" s="7">
        <v>144000</v>
      </c>
      <c r="G146" s="14">
        <f t="shared" si="2"/>
        <v>6.9444444444444448E-6</v>
      </c>
      <c r="I146" s="18">
        <v>22</v>
      </c>
      <c r="J146" s="18">
        <v>267</v>
      </c>
    </row>
    <row r="147" spans="1:10" x14ac:dyDescent="0.25">
      <c r="A147" s="13">
        <v>0</v>
      </c>
      <c r="B147" s="7">
        <v>0</v>
      </c>
      <c r="C147" s="7">
        <v>3</v>
      </c>
      <c r="D147" s="7">
        <v>3</v>
      </c>
      <c r="E147" s="7">
        <v>1</v>
      </c>
      <c r="F147" s="7">
        <v>144000</v>
      </c>
      <c r="G147" s="14">
        <f t="shared" si="2"/>
        <v>6.9444444444444448E-6</v>
      </c>
      <c r="I147" s="18">
        <v>40</v>
      </c>
      <c r="J147" s="18">
        <v>247</v>
      </c>
    </row>
    <row r="148" spans="1:10" x14ac:dyDescent="0.25">
      <c r="A148" s="13">
        <v>0</v>
      </c>
      <c r="B148" s="7">
        <v>1</v>
      </c>
      <c r="C148" s="7">
        <v>3</v>
      </c>
      <c r="D148" s="7">
        <v>0</v>
      </c>
      <c r="E148" s="7">
        <v>3</v>
      </c>
      <c r="F148" s="7">
        <v>144000</v>
      </c>
      <c r="G148" s="14">
        <f t="shared" si="2"/>
        <v>6.9444444444444448E-6</v>
      </c>
      <c r="I148" s="18">
        <v>22</v>
      </c>
      <c r="J148" s="18">
        <v>247</v>
      </c>
    </row>
    <row r="149" spans="1:10" x14ac:dyDescent="0.25">
      <c r="A149" s="13">
        <v>0</v>
      </c>
      <c r="B149" s="7">
        <v>3</v>
      </c>
      <c r="C149" s="7">
        <v>0</v>
      </c>
      <c r="D149" s="7">
        <v>1</v>
      </c>
      <c r="E149" s="7">
        <v>3</v>
      </c>
      <c r="F149" s="7">
        <v>144000</v>
      </c>
      <c r="G149" s="14">
        <f t="shared" si="2"/>
        <v>6.9444444444444448E-6</v>
      </c>
      <c r="I149" s="18">
        <v>49</v>
      </c>
      <c r="J149" s="18">
        <v>237</v>
      </c>
    </row>
    <row r="150" spans="1:10" x14ac:dyDescent="0.25">
      <c r="A150" s="13">
        <v>0</v>
      </c>
      <c r="B150" s="7">
        <v>3</v>
      </c>
      <c r="C150" s="7">
        <v>1</v>
      </c>
      <c r="D150" s="7">
        <v>0</v>
      </c>
      <c r="E150" s="7">
        <v>3</v>
      </c>
      <c r="F150" s="7">
        <v>144000</v>
      </c>
      <c r="G150" s="14">
        <f t="shared" si="2"/>
        <v>6.9444444444444448E-6</v>
      </c>
      <c r="I150" s="18">
        <v>40</v>
      </c>
      <c r="J150" s="18">
        <v>227</v>
      </c>
    </row>
    <row r="151" spans="1:10" x14ac:dyDescent="0.25">
      <c r="A151" s="13">
        <v>0</v>
      </c>
      <c r="B151" s="7">
        <v>3</v>
      </c>
      <c r="C151" s="7">
        <v>0</v>
      </c>
      <c r="D151" s="7">
        <v>3</v>
      </c>
      <c r="E151" s="7">
        <v>1</v>
      </c>
      <c r="F151" s="7">
        <v>144000</v>
      </c>
      <c r="G151" s="14">
        <f t="shared" si="2"/>
        <v>6.9444444444444448E-6</v>
      </c>
      <c r="I151" s="18">
        <v>67</v>
      </c>
      <c r="J151" s="18">
        <v>217</v>
      </c>
    </row>
    <row r="152" spans="1:10" x14ac:dyDescent="0.25">
      <c r="A152" s="13">
        <v>0</v>
      </c>
      <c r="B152" s="7">
        <v>1</v>
      </c>
      <c r="C152" s="7">
        <v>3</v>
      </c>
      <c r="D152" s="7">
        <v>3</v>
      </c>
      <c r="E152" s="7">
        <v>0</v>
      </c>
      <c r="F152" s="7">
        <v>144000</v>
      </c>
      <c r="G152" s="14">
        <f t="shared" si="2"/>
        <v>6.9444444444444448E-6</v>
      </c>
      <c r="I152" s="18">
        <v>49</v>
      </c>
      <c r="J152" s="18">
        <v>217</v>
      </c>
    </row>
    <row r="153" spans="1:10" x14ac:dyDescent="0.25">
      <c r="A153" s="13">
        <v>0</v>
      </c>
      <c r="B153" s="7">
        <v>3</v>
      </c>
      <c r="C153" s="7">
        <v>1</v>
      </c>
      <c r="D153" s="7">
        <v>3</v>
      </c>
      <c r="E153" s="7">
        <v>0</v>
      </c>
      <c r="F153" s="7">
        <v>144000</v>
      </c>
      <c r="G153" s="14">
        <f t="shared" si="2"/>
        <v>6.9444444444444448E-6</v>
      </c>
      <c r="I153" s="18">
        <v>67</v>
      </c>
      <c r="J153" s="18">
        <v>197</v>
      </c>
    </row>
    <row r="154" spans="1:10" x14ac:dyDescent="0.25">
      <c r="A154" s="13">
        <v>0</v>
      </c>
      <c r="B154" s="7">
        <v>3</v>
      </c>
      <c r="C154" s="7">
        <v>3</v>
      </c>
      <c r="D154" s="7">
        <v>0</v>
      </c>
      <c r="E154" s="7">
        <v>1</v>
      </c>
      <c r="F154" s="7">
        <v>144000</v>
      </c>
      <c r="G154" s="14">
        <f t="shared" si="2"/>
        <v>6.9444444444444448E-6</v>
      </c>
      <c r="I154" s="18">
        <v>40</v>
      </c>
      <c r="J154" s="18">
        <v>187</v>
      </c>
    </row>
    <row r="155" spans="1:10" x14ac:dyDescent="0.25">
      <c r="A155" s="13">
        <v>0</v>
      </c>
      <c r="B155" s="7">
        <v>3</v>
      </c>
      <c r="C155" s="7">
        <v>3</v>
      </c>
      <c r="D155" s="7">
        <v>1</v>
      </c>
      <c r="E155" s="7">
        <v>0</v>
      </c>
      <c r="F155" s="7">
        <v>144000</v>
      </c>
      <c r="G155" s="14">
        <f t="shared" si="2"/>
        <v>6.9444444444444448E-6</v>
      </c>
      <c r="I155" s="18">
        <v>49</v>
      </c>
      <c r="J155" s="18">
        <v>177</v>
      </c>
    </row>
    <row r="156" spans="1:10" x14ac:dyDescent="0.25">
      <c r="A156" s="13">
        <v>1</v>
      </c>
      <c r="B156" s="7">
        <v>0</v>
      </c>
      <c r="C156" s="7">
        <v>0</v>
      </c>
      <c r="D156" s="7">
        <v>3</v>
      </c>
      <c r="E156" s="7">
        <v>3</v>
      </c>
      <c r="F156" s="7">
        <v>129600</v>
      </c>
      <c r="G156" s="14">
        <f t="shared" si="2"/>
        <v>7.7160493827160496E-6</v>
      </c>
      <c r="I156" s="18">
        <v>40</v>
      </c>
      <c r="J156" s="18">
        <v>267</v>
      </c>
    </row>
    <row r="157" spans="1:10" x14ac:dyDescent="0.25">
      <c r="A157" s="13">
        <v>1</v>
      </c>
      <c r="B157" s="7">
        <v>0</v>
      </c>
      <c r="C157" s="7">
        <v>3</v>
      </c>
      <c r="D157" s="7">
        <v>0</v>
      </c>
      <c r="E157" s="7">
        <v>3</v>
      </c>
      <c r="F157" s="7">
        <v>129600</v>
      </c>
      <c r="G157" s="14">
        <f t="shared" si="2"/>
        <v>7.7160493827160496E-6</v>
      </c>
      <c r="I157" s="18">
        <v>13</v>
      </c>
      <c r="J157" s="18">
        <v>237</v>
      </c>
    </row>
    <row r="158" spans="1:10" x14ac:dyDescent="0.25">
      <c r="A158" s="13">
        <v>1</v>
      </c>
      <c r="B158" s="7">
        <v>3</v>
      </c>
      <c r="C158" s="7">
        <v>0</v>
      </c>
      <c r="D158" s="7">
        <v>0</v>
      </c>
      <c r="E158" s="7">
        <v>3</v>
      </c>
      <c r="F158" s="7">
        <v>129600</v>
      </c>
      <c r="G158" s="14">
        <f t="shared" si="2"/>
        <v>7.7160493827160496E-6</v>
      </c>
      <c r="I158" s="18">
        <v>40</v>
      </c>
      <c r="J158" s="18">
        <v>207</v>
      </c>
    </row>
    <row r="159" spans="1:10" x14ac:dyDescent="0.25">
      <c r="A159" s="13">
        <v>1</v>
      </c>
      <c r="B159" s="7">
        <v>0</v>
      </c>
      <c r="C159" s="7">
        <v>3</v>
      </c>
      <c r="D159" s="7">
        <v>3</v>
      </c>
      <c r="E159" s="7">
        <v>0</v>
      </c>
      <c r="F159" s="7">
        <v>129600</v>
      </c>
      <c r="G159" s="14">
        <f t="shared" si="2"/>
        <v>7.7160493827160496E-6</v>
      </c>
      <c r="I159" s="18">
        <v>40</v>
      </c>
      <c r="J159" s="18">
        <v>207</v>
      </c>
    </row>
    <row r="160" spans="1:10" x14ac:dyDescent="0.25">
      <c r="A160" s="13">
        <v>1</v>
      </c>
      <c r="B160" s="7">
        <v>3</v>
      </c>
      <c r="C160" s="7">
        <v>0</v>
      </c>
      <c r="D160" s="7">
        <v>3</v>
      </c>
      <c r="E160" s="7">
        <v>0</v>
      </c>
      <c r="F160" s="7">
        <v>129600</v>
      </c>
      <c r="G160" s="14">
        <f t="shared" si="2"/>
        <v>7.7160493827160496E-6</v>
      </c>
      <c r="I160" s="18">
        <v>67</v>
      </c>
      <c r="J160" s="18">
        <v>177</v>
      </c>
    </row>
    <row r="161" spans="1:10" x14ac:dyDescent="0.25">
      <c r="A161" s="13">
        <v>1</v>
      </c>
      <c r="B161" s="7">
        <v>3</v>
      </c>
      <c r="C161" s="7">
        <v>3</v>
      </c>
      <c r="D161" s="7">
        <v>0</v>
      </c>
      <c r="E161" s="7">
        <v>0</v>
      </c>
      <c r="F161" s="7">
        <v>129600</v>
      </c>
      <c r="G161" s="14">
        <f t="shared" si="2"/>
        <v>7.7160493827160496E-6</v>
      </c>
      <c r="I161" s="18">
        <v>40</v>
      </c>
      <c r="J161" s="18">
        <v>147</v>
      </c>
    </row>
    <row r="162" spans="1:10" x14ac:dyDescent="0.25">
      <c r="A162" s="13">
        <v>4</v>
      </c>
      <c r="B162" s="7">
        <v>0</v>
      </c>
      <c r="C162" s="7">
        <v>1</v>
      </c>
      <c r="D162" s="7">
        <v>1</v>
      </c>
      <c r="E162" s="7">
        <v>1</v>
      </c>
      <c r="F162" s="7">
        <v>126000</v>
      </c>
      <c r="G162" s="14">
        <f t="shared" si="2"/>
        <v>7.9365079365079362E-6</v>
      </c>
      <c r="I162" s="18">
        <v>22</v>
      </c>
      <c r="J162" s="18">
        <v>147</v>
      </c>
    </row>
    <row r="163" spans="1:10" x14ac:dyDescent="0.25">
      <c r="A163" s="13">
        <v>4</v>
      </c>
      <c r="B163" s="7">
        <v>1</v>
      </c>
      <c r="C163" s="7">
        <v>0</v>
      </c>
      <c r="D163" s="7">
        <v>1</v>
      </c>
      <c r="E163" s="7">
        <v>1</v>
      </c>
      <c r="F163" s="7">
        <v>126000</v>
      </c>
      <c r="G163" s="14">
        <f t="shared" si="2"/>
        <v>7.9365079365079362E-6</v>
      </c>
      <c r="I163" s="18">
        <v>31</v>
      </c>
      <c r="J163" s="18">
        <v>137</v>
      </c>
    </row>
    <row r="164" spans="1:10" x14ac:dyDescent="0.25">
      <c r="A164" s="13">
        <v>4</v>
      </c>
      <c r="B164" s="7">
        <v>1</v>
      </c>
      <c r="C164" s="7">
        <v>1</v>
      </c>
      <c r="D164" s="7">
        <v>0</v>
      </c>
      <c r="E164" s="7">
        <v>1</v>
      </c>
      <c r="F164" s="7">
        <v>126000</v>
      </c>
      <c r="G164" s="14">
        <f t="shared" si="2"/>
        <v>7.9365079365079362E-6</v>
      </c>
      <c r="I164" s="18">
        <v>22</v>
      </c>
      <c r="J164" s="18">
        <v>127</v>
      </c>
    </row>
    <row r="165" spans="1:10" x14ac:dyDescent="0.25">
      <c r="A165" s="13">
        <v>4</v>
      </c>
      <c r="B165" s="7">
        <v>1</v>
      </c>
      <c r="C165" s="7">
        <v>1</v>
      </c>
      <c r="D165" s="7">
        <v>1</v>
      </c>
      <c r="E165" s="7">
        <v>0</v>
      </c>
      <c r="F165" s="7">
        <v>126000</v>
      </c>
      <c r="G165" s="14">
        <f t="shared" si="2"/>
        <v>7.9365079365079362E-6</v>
      </c>
      <c r="I165" s="18">
        <v>31</v>
      </c>
      <c r="J165" s="18">
        <v>117</v>
      </c>
    </row>
    <row r="166" spans="1:10" x14ac:dyDescent="0.25">
      <c r="A166" s="13">
        <v>3</v>
      </c>
      <c r="B166" s="7">
        <v>0</v>
      </c>
      <c r="C166" s="7">
        <v>0</v>
      </c>
      <c r="D166" s="7">
        <v>1</v>
      </c>
      <c r="E166" s="7">
        <v>3</v>
      </c>
      <c r="F166" s="7">
        <v>100800</v>
      </c>
      <c r="G166" s="14">
        <f t="shared" si="2"/>
        <v>9.9206349206349206E-6</v>
      </c>
      <c r="I166" s="18">
        <v>22</v>
      </c>
      <c r="J166" s="18">
        <v>207</v>
      </c>
    </row>
    <row r="167" spans="1:10" x14ac:dyDescent="0.25">
      <c r="A167" s="13">
        <v>3</v>
      </c>
      <c r="B167" s="7">
        <v>0</v>
      </c>
      <c r="C167" s="7">
        <v>1</v>
      </c>
      <c r="D167" s="7">
        <v>0</v>
      </c>
      <c r="E167" s="7">
        <v>3</v>
      </c>
      <c r="F167" s="7">
        <v>100800</v>
      </c>
      <c r="G167" s="14">
        <f t="shared" si="2"/>
        <v>9.9206349206349206E-6</v>
      </c>
      <c r="I167" s="18">
        <v>13</v>
      </c>
      <c r="J167" s="18">
        <v>197</v>
      </c>
    </row>
    <row r="168" spans="1:10" x14ac:dyDescent="0.25">
      <c r="A168" s="13">
        <v>3</v>
      </c>
      <c r="B168" s="7">
        <v>0</v>
      </c>
      <c r="C168" s="7">
        <v>0</v>
      </c>
      <c r="D168" s="7">
        <v>3</v>
      </c>
      <c r="E168" s="7">
        <v>1</v>
      </c>
      <c r="F168" s="7">
        <v>100800</v>
      </c>
      <c r="G168" s="14">
        <f t="shared" si="2"/>
        <v>9.9206349206349206E-6</v>
      </c>
      <c r="I168" s="18">
        <v>40</v>
      </c>
      <c r="J168" s="18">
        <v>187</v>
      </c>
    </row>
    <row r="169" spans="1:10" x14ac:dyDescent="0.25">
      <c r="A169" s="13">
        <v>3</v>
      </c>
      <c r="B169" s="7">
        <v>1</v>
      </c>
      <c r="C169" s="7">
        <v>0</v>
      </c>
      <c r="D169" s="7">
        <v>0</v>
      </c>
      <c r="E169" s="7">
        <v>3</v>
      </c>
      <c r="F169" s="7">
        <v>100800</v>
      </c>
      <c r="G169" s="14">
        <f t="shared" si="2"/>
        <v>9.9206349206349206E-6</v>
      </c>
      <c r="I169" s="18">
        <v>22</v>
      </c>
      <c r="J169" s="18">
        <v>187</v>
      </c>
    </row>
    <row r="170" spans="1:10" x14ac:dyDescent="0.25">
      <c r="A170" s="13">
        <v>3</v>
      </c>
      <c r="B170" s="7">
        <v>0</v>
      </c>
      <c r="C170" s="7">
        <v>1</v>
      </c>
      <c r="D170" s="7">
        <v>3</v>
      </c>
      <c r="E170" s="7">
        <v>0</v>
      </c>
      <c r="F170" s="7">
        <v>100800</v>
      </c>
      <c r="G170" s="14">
        <f t="shared" si="2"/>
        <v>9.9206349206349206E-6</v>
      </c>
      <c r="I170" s="18">
        <v>40</v>
      </c>
      <c r="J170" s="18">
        <v>167</v>
      </c>
    </row>
    <row r="171" spans="1:10" x14ac:dyDescent="0.25">
      <c r="A171" s="13">
        <v>3</v>
      </c>
      <c r="B171" s="7">
        <v>0</v>
      </c>
      <c r="C171" s="7">
        <v>3</v>
      </c>
      <c r="D171" s="7">
        <v>0</v>
      </c>
      <c r="E171" s="7">
        <v>1</v>
      </c>
      <c r="F171" s="7">
        <v>100800</v>
      </c>
      <c r="G171" s="14">
        <f t="shared" si="2"/>
        <v>9.9206349206349206E-6</v>
      </c>
      <c r="I171" s="18">
        <v>13</v>
      </c>
      <c r="J171" s="18">
        <v>157</v>
      </c>
    </row>
    <row r="172" spans="1:10" x14ac:dyDescent="0.25">
      <c r="A172" s="13">
        <v>3</v>
      </c>
      <c r="B172" s="7">
        <v>1</v>
      </c>
      <c r="C172" s="7">
        <v>0</v>
      </c>
      <c r="D172" s="7">
        <v>3</v>
      </c>
      <c r="E172" s="7">
        <v>0</v>
      </c>
      <c r="F172" s="7">
        <v>100800</v>
      </c>
      <c r="G172" s="14">
        <f t="shared" si="2"/>
        <v>9.9206349206349206E-6</v>
      </c>
      <c r="I172" s="18">
        <v>49</v>
      </c>
      <c r="J172" s="18">
        <v>157</v>
      </c>
    </row>
    <row r="173" spans="1:10" x14ac:dyDescent="0.25">
      <c r="A173" s="13">
        <v>3</v>
      </c>
      <c r="B173" s="7">
        <v>0</v>
      </c>
      <c r="C173" s="7">
        <v>3</v>
      </c>
      <c r="D173" s="7">
        <v>1</v>
      </c>
      <c r="E173" s="7">
        <v>0</v>
      </c>
      <c r="F173" s="7">
        <v>100800</v>
      </c>
      <c r="G173" s="14">
        <f t="shared" si="2"/>
        <v>9.9206349206349206E-6</v>
      </c>
      <c r="I173" s="18">
        <v>22</v>
      </c>
      <c r="J173" s="18">
        <v>147</v>
      </c>
    </row>
    <row r="174" spans="1:10" x14ac:dyDescent="0.25">
      <c r="A174" s="13">
        <v>3</v>
      </c>
      <c r="B174" s="7">
        <v>3</v>
      </c>
      <c r="C174" s="7">
        <v>0</v>
      </c>
      <c r="D174" s="7">
        <v>0</v>
      </c>
      <c r="E174" s="7">
        <v>1</v>
      </c>
      <c r="F174" s="7">
        <v>100800</v>
      </c>
      <c r="G174" s="14">
        <f t="shared" si="2"/>
        <v>9.9206349206349206E-6</v>
      </c>
      <c r="I174" s="18">
        <v>40</v>
      </c>
      <c r="J174" s="18">
        <v>127</v>
      </c>
    </row>
    <row r="175" spans="1:10" x14ac:dyDescent="0.25">
      <c r="A175" s="13">
        <v>3</v>
      </c>
      <c r="B175" s="7">
        <v>1</v>
      </c>
      <c r="C175" s="7">
        <v>3</v>
      </c>
      <c r="D175" s="7">
        <v>0</v>
      </c>
      <c r="E175" s="7">
        <v>0</v>
      </c>
      <c r="F175" s="7">
        <v>100800</v>
      </c>
      <c r="G175" s="14">
        <f t="shared" si="2"/>
        <v>9.9206349206349206E-6</v>
      </c>
      <c r="I175" s="18">
        <v>22</v>
      </c>
      <c r="J175" s="18">
        <v>127</v>
      </c>
    </row>
    <row r="176" spans="1:10" x14ac:dyDescent="0.25">
      <c r="A176" s="13">
        <v>3</v>
      </c>
      <c r="B176" s="7">
        <v>3</v>
      </c>
      <c r="C176" s="7">
        <v>0</v>
      </c>
      <c r="D176" s="7">
        <v>1</v>
      </c>
      <c r="E176" s="7">
        <v>0</v>
      </c>
      <c r="F176" s="7">
        <v>100800</v>
      </c>
      <c r="G176" s="14">
        <f t="shared" si="2"/>
        <v>9.9206349206349206E-6</v>
      </c>
      <c r="I176" s="18">
        <v>49</v>
      </c>
      <c r="J176" s="18">
        <v>117</v>
      </c>
    </row>
    <row r="177" spans="1:10" x14ac:dyDescent="0.25">
      <c r="A177" s="13">
        <v>3</v>
      </c>
      <c r="B177" s="7">
        <v>3</v>
      </c>
      <c r="C177" s="7">
        <v>1</v>
      </c>
      <c r="D177" s="7">
        <v>0</v>
      </c>
      <c r="E177" s="7">
        <v>0</v>
      </c>
      <c r="F177" s="7">
        <v>100800</v>
      </c>
      <c r="G177" s="14">
        <f t="shared" si="2"/>
        <v>9.9206349206349206E-6</v>
      </c>
      <c r="I177" s="18">
        <v>40</v>
      </c>
      <c r="J177" s="18">
        <v>107</v>
      </c>
    </row>
    <row r="178" spans="1:10" x14ac:dyDescent="0.25">
      <c r="A178" s="13">
        <v>4</v>
      </c>
      <c r="B178" s="7">
        <v>0</v>
      </c>
      <c r="C178" s="7">
        <v>0</v>
      </c>
      <c r="D178" s="7">
        <v>1</v>
      </c>
      <c r="E178" s="7">
        <v>2</v>
      </c>
      <c r="F178" s="7">
        <v>56700</v>
      </c>
      <c r="G178" s="14">
        <f t="shared" si="2"/>
        <v>1.7636684303350968E-5</v>
      </c>
      <c r="I178" s="18">
        <v>23</v>
      </c>
      <c r="J178" s="18">
        <v>166</v>
      </c>
    </row>
    <row r="179" spans="1:10" x14ac:dyDescent="0.25">
      <c r="A179" s="13">
        <v>4</v>
      </c>
      <c r="B179" s="7">
        <v>0</v>
      </c>
      <c r="C179" s="7">
        <v>0</v>
      </c>
      <c r="D179" s="7">
        <v>2</v>
      </c>
      <c r="E179" s="7">
        <v>1</v>
      </c>
      <c r="F179" s="7">
        <v>56700</v>
      </c>
      <c r="G179" s="14">
        <f t="shared" si="2"/>
        <v>1.7636684303350968E-5</v>
      </c>
      <c r="I179" s="18">
        <v>32</v>
      </c>
      <c r="J179" s="18">
        <v>156</v>
      </c>
    </row>
    <row r="180" spans="1:10" x14ac:dyDescent="0.25">
      <c r="A180" s="13">
        <v>4</v>
      </c>
      <c r="B180" s="7">
        <v>0</v>
      </c>
      <c r="C180" s="7">
        <v>1</v>
      </c>
      <c r="D180" s="7">
        <v>0</v>
      </c>
      <c r="E180" s="7">
        <v>2</v>
      </c>
      <c r="F180" s="7">
        <v>56700</v>
      </c>
      <c r="G180" s="14">
        <f t="shared" si="2"/>
        <v>1.7636684303350968E-5</v>
      </c>
      <c r="I180" s="18">
        <v>14</v>
      </c>
      <c r="J180" s="18">
        <v>156</v>
      </c>
    </row>
    <row r="181" spans="1:10" x14ac:dyDescent="0.25">
      <c r="A181" s="13">
        <v>4</v>
      </c>
      <c r="B181" s="7">
        <v>1</v>
      </c>
      <c r="C181" s="7">
        <v>0</v>
      </c>
      <c r="D181" s="7">
        <v>0</v>
      </c>
      <c r="E181" s="7">
        <v>2</v>
      </c>
      <c r="F181" s="7">
        <v>56700</v>
      </c>
      <c r="G181" s="14">
        <f t="shared" si="2"/>
        <v>1.7636684303350968E-5</v>
      </c>
      <c r="I181" s="18">
        <v>23</v>
      </c>
      <c r="J181" s="18">
        <v>146</v>
      </c>
    </row>
    <row r="182" spans="1:10" x14ac:dyDescent="0.25">
      <c r="A182" s="13">
        <v>4</v>
      </c>
      <c r="B182" s="7">
        <v>0</v>
      </c>
      <c r="C182" s="7">
        <v>2</v>
      </c>
      <c r="D182" s="7">
        <v>0</v>
      </c>
      <c r="E182" s="7">
        <v>1</v>
      </c>
      <c r="F182" s="7">
        <v>56700</v>
      </c>
      <c r="G182" s="14">
        <f t="shared" si="2"/>
        <v>1.7636684303350968E-5</v>
      </c>
      <c r="I182" s="18">
        <v>14</v>
      </c>
      <c r="J182" s="18">
        <v>136</v>
      </c>
    </row>
    <row r="183" spans="1:10" x14ac:dyDescent="0.25">
      <c r="A183" s="13">
        <v>4</v>
      </c>
      <c r="B183" s="7">
        <v>0</v>
      </c>
      <c r="C183" s="7">
        <v>1</v>
      </c>
      <c r="D183" s="7">
        <v>2</v>
      </c>
      <c r="E183" s="7">
        <v>0</v>
      </c>
      <c r="F183" s="7">
        <v>56700</v>
      </c>
      <c r="G183" s="14">
        <f t="shared" si="2"/>
        <v>1.7636684303350968E-5</v>
      </c>
      <c r="I183" s="18">
        <v>32</v>
      </c>
      <c r="J183" s="18">
        <v>136</v>
      </c>
    </row>
    <row r="184" spans="1:10" x14ac:dyDescent="0.25">
      <c r="A184" s="13">
        <v>4</v>
      </c>
      <c r="B184" s="7">
        <v>0</v>
      </c>
      <c r="C184" s="7">
        <v>2</v>
      </c>
      <c r="D184" s="7">
        <v>1</v>
      </c>
      <c r="E184" s="7">
        <v>0</v>
      </c>
      <c r="F184" s="7">
        <v>56700</v>
      </c>
      <c r="G184" s="14">
        <f t="shared" si="2"/>
        <v>1.7636684303350968E-5</v>
      </c>
      <c r="I184" s="18">
        <v>23</v>
      </c>
      <c r="J184" s="18">
        <v>126</v>
      </c>
    </row>
    <row r="185" spans="1:10" x14ac:dyDescent="0.25">
      <c r="A185" s="13">
        <v>4</v>
      </c>
      <c r="B185" s="7">
        <v>1</v>
      </c>
      <c r="C185" s="7">
        <v>0</v>
      </c>
      <c r="D185" s="7">
        <v>2</v>
      </c>
      <c r="E185" s="7">
        <v>0</v>
      </c>
      <c r="F185" s="7">
        <v>56700</v>
      </c>
      <c r="G185" s="14">
        <f t="shared" si="2"/>
        <v>1.7636684303350968E-5</v>
      </c>
      <c r="I185" s="18">
        <v>41</v>
      </c>
      <c r="J185" s="18">
        <v>126</v>
      </c>
    </row>
    <row r="186" spans="1:10" x14ac:dyDescent="0.25">
      <c r="A186" s="13">
        <v>4</v>
      </c>
      <c r="B186" s="7">
        <v>2</v>
      </c>
      <c r="C186" s="7">
        <v>0</v>
      </c>
      <c r="D186" s="7">
        <v>0</v>
      </c>
      <c r="E186" s="7">
        <v>1</v>
      </c>
      <c r="F186" s="7">
        <v>56700</v>
      </c>
      <c r="G186" s="14">
        <f t="shared" si="2"/>
        <v>1.7636684303350968E-5</v>
      </c>
      <c r="I186" s="18">
        <v>32</v>
      </c>
      <c r="J186" s="18">
        <v>116</v>
      </c>
    </row>
    <row r="187" spans="1:10" x14ac:dyDescent="0.25">
      <c r="A187" s="13">
        <v>4</v>
      </c>
      <c r="B187" s="7">
        <v>2</v>
      </c>
      <c r="C187" s="7">
        <v>0</v>
      </c>
      <c r="D187" s="7">
        <v>1</v>
      </c>
      <c r="E187" s="7">
        <v>0</v>
      </c>
      <c r="F187" s="7">
        <v>56700</v>
      </c>
      <c r="G187" s="14">
        <f t="shared" si="2"/>
        <v>1.7636684303350968E-5</v>
      </c>
      <c r="I187" s="18">
        <v>41</v>
      </c>
      <c r="J187" s="18">
        <v>106</v>
      </c>
    </row>
    <row r="188" spans="1:10" x14ac:dyDescent="0.25">
      <c r="A188" s="13">
        <v>4</v>
      </c>
      <c r="B188" s="7">
        <v>1</v>
      </c>
      <c r="C188" s="7">
        <v>2</v>
      </c>
      <c r="D188" s="7">
        <v>0</v>
      </c>
      <c r="E188" s="7">
        <v>0</v>
      </c>
      <c r="F188" s="7">
        <v>56700</v>
      </c>
      <c r="G188" s="14">
        <f t="shared" si="2"/>
        <v>1.7636684303350968E-5</v>
      </c>
      <c r="I188" s="18">
        <v>23</v>
      </c>
      <c r="J188" s="18">
        <v>106</v>
      </c>
    </row>
    <row r="189" spans="1:10" x14ac:dyDescent="0.25">
      <c r="A189" s="13">
        <v>4</v>
      </c>
      <c r="B189" s="7">
        <v>2</v>
      </c>
      <c r="C189" s="7">
        <v>1</v>
      </c>
      <c r="D189" s="7">
        <v>0</v>
      </c>
      <c r="E189" s="7">
        <v>0</v>
      </c>
      <c r="F189" s="7">
        <v>56700</v>
      </c>
      <c r="G189" s="14">
        <f t="shared" si="2"/>
        <v>1.7636684303350968E-5</v>
      </c>
      <c r="I189" s="18">
        <v>32</v>
      </c>
      <c r="J189" s="18">
        <v>96</v>
      </c>
    </row>
    <row r="190" spans="1:10" x14ac:dyDescent="0.25">
      <c r="A190" s="13">
        <v>0</v>
      </c>
      <c r="B190" s="7">
        <v>0</v>
      </c>
      <c r="C190" s="7">
        <v>0</v>
      </c>
      <c r="D190" s="7">
        <v>3</v>
      </c>
      <c r="E190" s="7">
        <v>4</v>
      </c>
      <c r="F190" s="7">
        <v>25200</v>
      </c>
      <c r="G190" s="14">
        <f t="shared" si="2"/>
        <v>3.9682539682539683E-5</v>
      </c>
      <c r="I190" s="18">
        <v>43</v>
      </c>
      <c r="J190" s="18">
        <v>304</v>
      </c>
    </row>
    <row r="191" spans="1:10" x14ac:dyDescent="0.25">
      <c r="A191" s="13">
        <v>0</v>
      </c>
      <c r="B191" s="7">
        <v>0</v>
      </c>
      <c r="C191" s="7">
        <v>1</v>
      </c>
      <c r="D191" s="7">
        <v>1</v>
      </c>
      <c r="E191" s="7">
        <v>5</v>
      </c>
      <c r="F191" s="7">
        <v>25200</v>
      </c>
      <c r="G191" s="14">
        <f t="shared" si="2"/>
        <v>3.9682539682539683E-5</v>
      </c>
      <c r="I191" s="18">
        <v>26</v>
      </c>
      <c r="J191" s="18">
        <v>303</v>
      </c>
    </row>
    <row r="192" spans="1:10" x14ac:dyDescent="0.25">
      <c r="A192" s="13">
        <v>0</v>
      </c>
      <c r="B192" s="7">
        <v>0</v>
      </c>
      <c r="C192" s="7">
        <v>0</v>
      </c>
      <c r="D192" s="7">
        <v>4</v>
      </c>
      <c r="E192" s="7">
        <v>3</v>
      </c>
      <c r="F192" s="7">
        <v>25200</v>
      </c>
      <c r="G192" s="14">
        <f t="shared" si="2"/>
        <v>3.9682539682539683E-5</v>
      </c>
      <c r="I192" s="18">
        <v>52</v>
      </c>
      <c r="J192" s="18">
        <v>294</v>
      </c>
    </row>
    <row r="193" spans="1:10" x14ac:dyDescent="0.25">
      <c r="A193" s="13">
        <v>0</v>
      </c>
      <c r="B193" s="7">
        <v>1</v>
      </c>
      <c r="C193" s="7">
        <v>0</v>
      </c>
      <c r="D193" s="7">
        <v>1</v>
      </c>
      <c r="E193" s="7">
        <v>5</v>
      </c>
      <c r="F193" s="7">
        <v>25200</v>
      </c>
      <c r="G193" s="14">
        <f t="shared" si="2"/>
        <v>3.9682539682539683E-5</v>
      </c>
      <c r="I193" s="18">
        <v>35</v>
      </c>
      <c r="J193" s="18">
        <v>293</v>
      </c>
    </row>
    <row r="194" spans="1:10" x14ac:dyDescent="0.25">
      <c r="A194" s="13">
        <v>0</v>
      </c>
      <c r="B194" s="7">
        <v>1</v>
      </c>
      <c r="C194" s="7">
        <v>1</v>
      </c>
      <c r="D194" s="7">
        <v>0</v>
      </c>
      <c r="E194" s="7">
        <v>5</v>
      </c>
      <c r="F194" s="7">
        <v>25200</v>
      </c>
      <c r="G194" s="14">
        <f t="shared" si="2"/>
        <v>3.9682539682539683E-5</v>
      </c>
      <c r="I194" s="18">
        <v>26</v>
      </c>
      <c r="J194" s="18">
        <v>283</v>
      </c>
    </row>
    <row r="195" spans="1:10" x14ac:dyDescent="0.25">
      <c r="A195" s="13">
        <v>0</v>
      </c>
      <c r="B195" s="7">
        <v>0</v>
      </c>
      <c r="C195" s="7">
        <v>3</v>
      </c>
      <c r="D195" s="7">
        <v>0</v>
      </c>
      <c r="E195" s="7">
        <v>4</v>
      </c>
      <c r="F195" s="7">
        <v>25200</v>
      </c>
      <c r="G195" s="14">
        <f t="shared" si="2"/>
        <v>3.9682539682539683E-5</v>
      </c>
      <c r="I195" s="18">
        <v>16</v>
      </c>
      <c r="J195" s="18">
        <v>274</v>
      </c>
    </row>
    <row r="196" spans="1:10" x14ac:dyDescent="0.25">
      <c r="A196" s="13">
        <v>0</v>
      </c>
      <c r="B196" s="7">
        <v>0</v>
      </c>
      <c r="C196" s="7">
        <v>1</v>
      </c>
      <c r="D196" s="7">
        <v>5</v>
      </c>
      <c r="E196" s="7">
        <v>1</v>
      </c>
      <c r="F196" s="7">
        <v>25200</v>
      </c>
      <c r="G196" s="14">
        <f t="shared" si="2"/>
        <v>3.9682539682539683E-5</v>
      </c>
      <c r="I196" s="18">
        <v>62</v>
      </c>
      <c r="J196" s="18">
        <v>263</v>
      </c>
    </row>
    <row r="197" spans="1:10" x14ac:dyDescent="0.25">
      <c r="A197" s="13">
        <v>0</v>
      </c>
      <c r="B197" s="7">
        <v>0</v>
      </c>
      <c r="C197" s="7">
        <v>4</v>
      </c>
      <c r="D197" s="7">
        <v>0</v>
      </c>
      <c r="E197" s="7">
        <v>3</v>
      </c>
      <c r="F197" s="7">
        <v>25200</v>
      </c>
      <c r="G197" s="14">
        <f t="shared" si="2"/>
        <v>3.9682539682539683E-5</v>
      </c>
      <c r="I197" s="18">
        <v>16</v>
      </c>
      <c r="J197" s="18">
        <v>254</v>
      </c>
    </row>
    <row r="198" spans="1:10" x14ac:dyDescent="0.25">
      <c r="A198" s="13">
        <v>0</v>
      </c>
      <c r="B198" s="7">
        <v>1</v>
      </c>
      <c r="C198" s="7">
        <v>0</v>
      </c>
      <c r="D198" s="7">
        <v>5</v>
      </c>
      <c r="E198" s="7">
        <v>1</v>
      </c>
      <c r="F198" s="7">
        <v>25200</v>
      </c>
      <c r="G198" s="14">
        <f t="shared" si="2"/>
        <v>3.9682539682539683E-5</v>
      </c>
      <c r="I198" s="18">
        <v>71</v>
      </c>
      <c r="J198" s="18">
        <v>253</v>
      </c>
    </row>
    <row r="199" spans="1:10" x14ac:dyDescent="0.25">
      <c r="A199" s="13">
        <v>0</v>
      </c>
      <c r="B199" s="7">
        <v>3</v>
      </c>
      <c r="C199" s="7">
        <v>0</v>
      </c>
      <c r="D199" s="7">
        <v>0</v>
      </c>
      <c r="E199" s="7">
        <v>4</v>
      </c>
      <c r="F199" s="7">
        <v>25200</v>
      </c>
      <c r="G199" s="14">
        <f t="shared" si="2"/>
        <v>3.9682539682539683E-5</v>
      </c>
      <c r="I199" s="18">
        <v>43</v>
      </c>
      <c r="J199" s="18">
        <v>244</v>
      </c>
    </row>
    <row r="200" spans="1:10" x14ac:dyDescent="0.25">
      <c r="A200" s="13">
        <v>0</v>
      </c>
      <c r="B200" s="7">
        <v>0</v>
      </c>
      <c r="C200" s="7">
        <v>3</v>
      </c>
      <c r="D200" s="7">
        <v>4</v>
      </c>
      <c r="E200" s="7">
        <v>0</v>
      </c>
      <c r="F200" s="7">
        <v>25200</v>
      </c>
      <c r="G200" s="14">
        <f t="shared" ref="G200:G263" si="3">1/F200</f>
        <v>3.9682539682539683E-5</v>
      </c>
      <c r="I200" s="18">
        <v>52</v>
      </c>
      <c r="J200" s="18">
        <v>234</v>
      </c>
    </row>
    <row r="201" spans="1:10" x14ac:dyDescent="0.25">
      <c r="A201" s="13">
        <v>0</v>
      </c>
      <c r="B201" s="7">
        <v>1</v>
      </c>
      <c r="C201" s="7">
        <v>1</v>
      </c>
      <c r="D201" s="7">
        <v>5</v>
      </c>
      <c r="E201" s="7">
        <v>0</v>
      </c>
      <c r="F201" s="7">
        <v>25200</v>
      </c>
      <c r="G201" s="14">
        <f t="shared" si="3"/>
        <v>3.9682539682539683E-5</v>
      </c>
      <c r="I201" s="18">
        <v>71</v>
      </c>
      <c r="J201" s="18">
        <v>233</v>
      </c>
    </row>
    <row r="202" spans="1:10" x14ac:dyDescent="0.25">
      <c r="A202" s="13">
        <v>0</v>
      </c>
      <c r="B202" s="7">
        <v>0</v>
      </c>
      <c r="C202" s="7">
        <v>4</v>
      </c>
      <c r="D202" s="7">
        <v>3</v>
      </c>
      <c r="E202" s="7">
        <v>0</v>
      </c>
      <c r="F202" s="7">
        <v>25200</v>
      </c>
      <c r="G202" s="14">
        <f t="shared" si="3"/>
        <v>3.9682539682539683E-5</v>
      </c>
      <c r="I202" s="18">
        <v>43</v>
      </c>
      <c r="J202" s="18">
        <v>224</v>
      </c>
    </row>
    <row r="203" spans="1:10" x14ac:dyDescent="0.25">
      <c r="A203" s="13">
        <v>0</v>
      </c>
      <c r="B203" s="7">
        <v>0</v>
      </c>
      <c r="C203" s="7">
        <v>5</v>
      </c>
      <c r="D203" s="7">
        <v>1</v>
      </c>
      <c r="E203" s="7">
        <v>1</v>
      </c>
      <c r="F203" s="7">
        <v>25200</v>
      </c>
      <c r="G203" s="14">
        <f t="shared" si="3"/>
        <v>3.9682539682539683E-5</v>
      </c>
      <c r="I203" s="18">
        <v>26</v>
      </c>
      <c r="J203" s="18">
        <v>223</v>
      </c>
    </row>
    <row r="204" spans="1:10" x14ac:dyDescent="0.25">
      <c r="A204" s="13">
        <v>0</v>
      </c>
      <c r="B204" s="7">
        <v>4</v>
      </c>
      <c r="C204" s="7">
        <v>0</v>
      </c>
      <c r="D204" s="7">
        <v>0</v>
      </c>
      <c r="E204" s="7">
        <v>3</v>
      </c>
      <c r="F204" s="7">
        <v>25200</v>
      </c>
      <c r="G204" s="14">
        <f t="shared" si="3"/>
        <v>3.9682539682539683E-5</v>
      </c>
      <c r="I204" s="18">
        <v>52</v>
      </c>
      <c r="J204" s="18">
        <v>214</v>
      </c>
    </row>
    <row r="205" spans="1:10" x14ac:dyDescent="0.25">
      <c r="A205" s="13">
        <v>0</v>
      </c>
      <c r="B205" s="7">
        <v>3</v>
      </c>
      <c r="C205" s="7">
        <v>0</v>
      </c>
      <c r="D205" s="7">
        <v>4</v>
      </c>
      <c r="E205" s="7">
        <v>0</v>
      </c>
      <c r="F205" s="7">
        <v>25200</v>
      </c>
      <c r="G205" s="14">
        <f t="shared" si="3"/>
        <v>3.9682539682539683E-5</v>
      </c>
      <c r="I205" s="18">
        <v>79</v>
      </c>
      <c r="J205" s="18">
        <v>204</v>
      </c>
    </row>
    <row r="206" spans="1:10" x14ac:dyDescent="0.25">
      <c r="A206" s="13">
        <v>0</v>
      </c>
      <c r="B206" s="7">
        <v>1</v>
      </c>
      <c r="C206" s="7">
        <v>5</v>
      </c>
      <c r="D206" s="7">
        <v>0</v>
      </c>
      <c r="E206" s="7">
        <v>1</v>
      </c>
      <c r="F206" s="7">
        <v>25200</v>
      </c>
      <c r="G206" s="14">
        <f t="shared" si="3"/>
        <v>3.9682539682539683E-5</v>
      </c>
      <c r="I206" s="18">
        <v>26</v>
      </c>
      <c r="J206" s="18">
        <v>203</v>
      </c>
    </row>
    <row r="207" spans="1:10" x14ac:dyDescent="0.25">
      <c r="A207" s="13">
        <v>0</v>
      </c>
      <c r="B207" s="7">
        <v>1</v>
      </c>
      <c r="C207" s="7">
        <v>5</v>
      </c>
      <c r="D207" s="7">
        <v>1</v>
      </c>
      <c r="E207" s="7">
        <v>0</v>
      </c>
      <c r="F207" s="7">
        <v>25200</v>
      </c>
      <c r="G207" s="14">
        <f t="shared" si="3"/>
        <v>3.9682539682539683E-5</v>
      </c>
      <c r="I207" s="18">
        <v>35</v>
      </c>
      <c r="J207" s="18">
        <v>193</v>
      </c>
    </row>
    <row r="208" spans="1:10" x14ac:dyDescent="0.25">
      <c r="A208" s="13">
        <v>0</v>
      </c>
      <c r="B208" s="7">
        <v>4</v>
      </c>
      <c r="C208" s="7">
        <v>0</v>
      </c>
      <c r="D208" s="7">
        <v>3</v>
      </c>
      <c r="E208" s="7">
        <v>0</v>
      </c>
      <c r="F208" s="7">
        <v>25200</v>
      </c>
      <c r="G208" s="14">
        <f t="shared" si="3"/>
        <v>3.9682539682539683E-5</v>
      </c>
      <c r="I208" s="18">
        <v>79</v>
      </c>
      <c r="J208" s="18">
        <v>184</v>
      </c>
    </row>
    <row r="209" spans="1:10" x14ac:dyDescent="0.25">
      <c r="A209" s="13">
        <v>0</v>
      </c>
      <c r="B209" s="7">
        <v>5</v>
      </c>
      <c r="C209" s="7">
        <v>0</v>
      </c>
      <c r="D209" s="7">
        <v>1</v>
      </c>
      <c r="E209" s="7">
        <v>1</v>
      </c>
      <c r="F209" s="7">
        <v>25200</v>
      </c>
      <c r="G209" s="14">
        <f t="shared" si="3"/>
        <v>3.9682539682539683E-5</v>
      </c>
      <c r="I209" s="18">
        <v>71</v>
      </c>
      <c r="J209" s="18">
        <v>173</v>
      </c>
    </row>
    <row r="210" spans="1:10" x14ac:dyDescent="0.25">
      <c r="A210" s="13">
        <v>0</v>
      </c>
      <c r="B210" s="7">
        <v>3</v>
      </c>
      <c r="C210" s="7">
        <v>4</v>
      </c>
      <c r="D210" s="7">
        <v>0</v>
      </c>
      <c r="E210" s="7">
        <v>0</v>
      </c>
      <c r="F210" s="7">
        <v>25200</v>
      </c>
      <c r="G210" s="14">
        <f t="shared" si="3"/>
        <v>3.9682539682539683E-5</v>
      </c>
      <c r="I210" s="18">
        <v>43</v>
      </c>
      <c r="J210" s="18">
        <v>164</v>
      </c>
    </row>
    <row r="211" spans="1:10" x14ac:dyDescent="0.25">
      <c r="A211" s="13">
        <v>0</v>
      </c>
      <c r="B211" s="7">
        <v>5</v>
      </c>
      <c r="C211" s="7">
        <v>1</v>
      </c>
      <c r="D211" s="7">
        <v>0</v>
      </c>
      <c r="E211" s="7">
        <v>1</v>
      </c>
      <c r="F211" s="7">
        <v>25200</v>
      </c>
      <c r="G211" s="14">
        <f t="shared" si="3"/>
        <v>3.9682539682539683E-5</v>
      </c>
      <c r="I211" s="18">
        <v>62</v>
      </c>
      <c r="J211" s="18">
        <v>163</v>
      </c>
    </row>
    <row r="212" spans="1:10" x14ac:dyDescent="0.25">
      <c r="A212" s="13">
        <v>0</v>
      </c>
      <c r="B212" s="7">
        <v>4</v>
      </c>
      <c r="C212" s="7">
        <v>3</v>
      </c>
      <c r="D212" s="7">
        <v>0</v>
      </c>
      <c r="E212" s="7">
        <v>0</v>
      </c>
      <c r="F212" s="7">
        <v>25200</v>
      </c>
      <c r="G212" s="14">
        <f t="shared" si="3"/>
        <v>3.9682539682539683E-5</v>
      </c>
      <c r="I212" s="18">
        <v>52</v>
      </c>
      <c r="J212" s="18">
        <v>154</v>
      </c>
    </row>
    <row r="213" spans="1:10" x14ac:dyDescent="0.25">
      <c r="A213" s="13">
        <v>0</v>
      </c>
      <c r="B213" s="7">
        <v>5</v>
      </c>
      <c r="C213" s="7">
        <v>1</v>
      </c>
      <c r="D213" s="7">
        <v>1</v>
      </c>
      <c r="E213" s="7">
        <v>0</v>
      </c>
      <c r="F213" s="7">
        <v>25200</v>
      </c>
      <c r="G213" s="14">
        <f t="shared" si="3"/>
        <v>3.9682539682539683E-5</v>
      </c>
      <c r="I213" s="18">
        <v>71</v>
      </c>
      <c r="J213" s="18">
        <v>153</v>
      </c>
    </row>
    <row r="214" spans="1:10" x14ac:dyDescent="0.25">
      <c r="A214" s="13">
        <v>1</v>
      </c>
      <c r="B214" s="7">
        <v>0</v>
      </c>
      <c r="C214" s="7">
        <v>0</v>
      </c>
      <c r="D214" s="7">
        <v>1</v>
      </c>
      <c r="E214" s="7">
        <v>5</v>
      </c>
      <c r="F214" s="7">
        <v>22680</v>
      </c>
      <c r="G214" s="14">
        <f t="shared" si="3"/>
        <v>4.4091710758377428E-5</v>
      </c>
      <c r="I214" s="18">
        <v>26</v>
      </c>
      <c r="J214" s="18">
        <v>283</v>
      </c>
    </row>
    <row r="215" spans="1:10" x14ac:dyDescent="0.25">
      <c r="A215" s="13">
        <v>1</v>
      </c>
      <c r="B215" s="7">
        <v>0</v>
      </c>
      <c r="C215" s="7">
        <v>1</v>
      </c>
      <c r="D215" s="7">
        <v>0</v>
      </c>
      <c r="E215" s="7">
        <v>5</v>
      </c>
      <c r="F215" s="7">
        <v>22680</v>
      </c>
      <c r="G215" s="14">
        <f t="shared" si="3"/>
        <v>4.4091710758377428E-5</v>
      </c>
      <c r="I215" s="18">
        <v>17</v>
      </c>
      <c r="J215" s="18">
        <v>273</v>
      </c>
    </row>
    <row r="216" spans="1:10" x14ac:dyDescent="0.25">
      <c r="A216" s="13">
        <v>1</v>
      </c>
      <c r="B216" s="7">
        <v>1</v>
      </c>
      <c r="C216" s="7">
        <v>0</v>
      </c>
      <c r="D216" s="7">
        <v>0</v>
      </c>
      <c r="E216" s="7">
        <v>5</v>
      </c>
      <c r="F216" s="7">
        <v>22680</v>
      </c>
      <c r="G216" s="14">
        <f t="shared" si="3"/>
        <v>4.4091710758377428E-5</v>
      </c>
      <c r="I216" s="18">
        <v>26</v>
      </c>
      <c r="J216" s="18">
        <v>263</v>
      </c>
    </row>
    <row r="217" spans="1:10" x14ac:dyDescent="0.25">
      <c r="A217" s="13">
        <v>1</v>
      </c>
      <c r="B217" s="7">
        <v>0</v>
      </c>
      <c r="C217" s="7">
        <v>0</v>
      </c>
      <c r="D217" s="7">
        <v>5</v>
      </c>
      <c r="E217" s="7">
        <v>1</v>
      </c>
      <c r="F217" s="7">
        <v>22680</v>
      </c>
      <c r="G217" s="14">
        <f t="shared" si="3"/>
        <v>4.4091710758377428E-5</v>
      </c>
      <c r="I217" s="18">
        <v>62</v>
      </c>
      <c r="J217" s="18">
        <v>243</v>
      </c>
    </row>
    <row r="218" spans="1:10" x14ac:dyDescent="0.25">
      <c r="A218" s="13">
        <v>1</v>
      </c>
      <c r="B218" s="7">
        <v>0</v>
      </c>
      <c r="C218" s="7">
        <v>1</v>
      </c>
      <c r="D218" s="7">
        <v>5</v>
      </c>
      <c r="E218" s="7">
        <v>0</v>
      </c>
      <c r="F218" s="7">
        <v>22680</v>
      </c>
      <c r="G218" s="14">
        <f t="shared" si="3"/>
        <v>4.4091710758377428E-5</v>
      </c>
      <c r="I218" s="18">
        <v>62</v>
      </c>
      <c r="J218" s="18">
        <v>223</v>
      </c>
    </row>
    <row r="219" spans="1:10" x14ac:dyDescent="0.25">
      <c r="A219" s="13">
        <v>1</v>
      </c>
      <c r="B219" s="7">
        <v>1</v>
      </c>
      <c r="C219" s="7">
        <v>0</v>
      </c>
      <c r="D219" s="7">
        <v>5</v>
      </c>
      <c r="E219" s="7">
        <v>0</v>
      </c>
      <c r="F219" s="7">
        <v>22680</v>
      </c>
      <c r="G219" s="14">
        <f t="shared" si="3"/>
        <v>4.4091710758377428E-5</v>
      </c>
      <c r="I219" s="18">
        <v>71</v>
      </c>
      <c r="J219" s="18">
        <v>213</v>
      </c>
    </row>
    <row r="220" spans="1:10" x14ac:dyDescent="0.25">
      <c r="A220" s="13">
        <v>1</v>
      </c>
      <c r="B220" s="7">
        <v>0</v>
      </c>
      <c r="C220" s="7">
        <v>5</v>
      </c>
      <c r="D220" s="7">
        <v>0</v>
      </c>
      <c r="E220" s="7">
        <v>1</v>
      </c>
      <c r="F220" s="7">
        <v>22680</v>
      </c>
      <c r="G220" s="14">
        <f t="shared" si="3"/>
        <v>4.4091710758377428E-5</v>
      </c>
      <c r="I220" s="18">
        <v>17</v>
      </c>
      <c r="J220" s="18">
        <v>193</v>
      </c>
    </row>
    <row r="221" spans="1:10" x14ac:dyDescent="0.25">
      <c r="A221" s="13">
        <v>1</v>
      </c>
      <c r="B221" s="7">
        <v>0</v>
      </c>
      <c r="C221" s="7">
        <v>5</v>
      </c>
      <c r="D221" s="7">
        <v>1</v>
      </c>
      <c r="E221" s="7">
        <v>0</v>
      </c>
      <c r="F221" s="7">
        <v>22680</v>
      </c>
      <c r="G221" s="14">
        <f t="shared" si="3"/>
        <v>4.4091710758377428E-5</v>
      </c>
      <c r="I221" s="18">
        <v>26</v>
      </c>
      <c r="J221" s="18">
        <v>183</v>
      </c>
    </row>
    <row r="222" spans="1:10" x14ac:dyDescent="0.25">
      <c r="A222" s="13">
        <v>1</v>
      </c>
      <c r="B222" s="7">
        <v>1</v>
      </c>
      <c r="C222" s="7">
        <v>5</v>
      </c>
      <c r="D222" s="7">
        <v>0</v>
      </c>
      <c r="E222" s="7">
        <v>0</v>
      </c>
      <c r="F222" s="7">
        <v>22680</v>
      </c>
      <c r="G222" s="14">
        <f t="shared" si="3"/>
        <v>4.4091710758377428E-5</v>
      </c>
      <c r="I222" s="18">
        <v>26</v>
      </c>
      <c r="J222" s="18">
        <v>163</v>
      </c>
    </row>
    <row r="223" spans="1:10" x14ac:dyDescent="0.25">
      <c r="A223" s="13">
        <v>1</v>
      </c>
      <c r="B223" s="7">
        <v>5</v>
      </c>
      <c r="C223" s="7">
        <v>0</v>
      </c>
      <c r="D223" s="7">
        <v>0</v>
      </c>
      <c r="E223" s="7">
        <v>1</v>
      </c>
      <c r="F223" s="7">
        <v>22680</v>
      </c>
      <c r="G223" s="14">
        <f t="shared" si="3"/>
        <v>4.4091710758377428E-5</v>
      </c>
      <c r="I223" s="18">
        <v>62</v>
      </c>
      <c r="J223" s="18">
        <v>143</v>
      </c>
    </row>
    <row r="224" spans="1:10" x14ac:dyDescent="0.25">
      <c r="A224" s="13">
        <v>1</v>
      </c>
      <c r="B224" s="7">
        <v>5</v>
      </c>
      <c r="C224" s="7">
        <v>0</v>
      </c>
      <c r="D224" s="7">
        <v>1</v>
      </c>
      <c r="E224" s="7">
        <v>0</v>
      </c>
      <c r="F224" s="7">
        <v>22680</v>
      </c>
      <c r="G224" s="14">
        <f t="shared" si="3"/>
        <v>4.4091710758377428E-5</v>
      </c>
      <c r="I224" s="18">
        <v>71</v>
      </c>
      <c r="J224" s="18">
        <v>133</v>
      </c>
    </row>
    <row r="225" spans="1:10" x14ac:dyDescent="0.25">
      <c r="A225" s="13">
        <v>1</v>
      </c>
      <c r="B225" s="7">
        <v>5</v>
      </c>
      <c r="C225" s="7">
        <v>1</v>
      </c>
      <c r="D225" s="7">
        <v>0</v>
      </c>
      <c r="E225" s="7">
        <v>0</v>
      </c>
      <c r="F225" s="7">
        <v>22680</v>
      </c>
      <c r="G225" s="14">
        <f t="shared" si="3"/>
        <v>4.4091710758377428E-5</v>
      </c>
      <c r="I225" s="18">
        <v>62</v>
      </c>
      <c r="J225" s="18">
        <v>123</v>
      </c>
    </row>
    <row r="226" spans="1:10" x14ac:dyDescent="0.25">
      <c r="A226" s="13">
        <v>3</v>
      </c>
      <c r="B226" s="7">
        <v>0</v>
      </c>
      <c r="C226" s="7">
        <v>0</v>
      </c>
      <c r="D226" s="7">
        <v>0</v>
      </c>
      <c r="E226" s="7">
        <v>4</v>
      </c>
      <c r="F226" s="7">
        <v>17640</v>
      </c>
      <c r="G226" s="14">
        <f t="shared" si="3"/>
        <v>5.6689342403628121E-5</v>
      </c>
      <c r="I226" s="18">
        <v>16</v>
      </c>
      <c r="J226" s="18">
        <v>214</v>
      </c>
    </row>
    <row r="227" spans="1:10" x14ac:dyDescent="0.25">
      <c r="A227" s="13">
        <v>3</v>
      </c>
      <c r="B227" s="7">
        <v>0</v>
      </c>
      <c r="C227" s="7">
        <v>0</v>
      </c>
      <c r="D227" s="7">
        <v>4</v>
      </c>
      <c r="E227" s="7">
        <v>0</v>
      </c>
      <c r="F227" s="7">
        <v>17640</v>
      </c>
      <c r="G227" s="14">
        <f t="shared" si="3"/>
        <v>5.6689342403628121E-5</v>
      </c>
      <c r="I227" s="18">
        <v>52</v>
      </c>
      <c r="J227" s="18">
        <v>174</v>
      </c>
    </row>
    <row r="228" spans="1:10" x14ac:dyDescent="0.25">
      <c r="A228" s="13">
        <v>3</v>
      </c>
      <c r="B228" s="7">
        <v>0</v>
      </c>
      <c r="C228" s="7">
        <v>4</v>
      </c>
      <c r="D228" s="7">
        <v>0</v>
      </c>
      <c r="E228" s="7">
        <v>0</v>
      </c>
      <c r="F228" s="7">
        <v>17640</v>
      </c>
      <c r="G228" s="14">
        <f t="shared" si="3"/>
        <v>5.6689342403628121E-5</v>
      </c>
      <c r="I228" s="18">
        <v>16</v>
      </c>
      <c r="J228" s="18">
        <v>134</v>
      </c>
    </row>
    <row r="229" spans="1:10" x14ac:dyDescent="0.25">
      <c r="A229" s="13">
        <v>3</v>
      </c>
      <c r="B229" s="7">
        <v>4</v>
      </c>
      <c r="C229" s="7">
        <v>0</v>
      </c>
      <c r="D229" s="7">
        <v>0</v>
      </c>
      <c r="E229" s="7">
        <v>0</v>
      </c>
      <c r="F229" s="7">
        <v>17640</v>
      </c>
      <c r="G229" s="14">
        <f t="shared" si="3"/>
        <v>5.6689342403628121E-5</v>
      </c>
      <c r="I229" s="18">
        <v>52</v>
      </c>
      <c r="J229" s="18">
        <v>94</v>
      </c>
    </row>
    <row r="230" spans="1:10" x14ac:dyDescent="0.25">
      <c r="A230" s="13">
        <v>4</v>
      </c>
      <c r="B230" s="7">
        <v>0</v>
      </c>
      <c r="C230" s="7">
        <v>0</v>
      </c>
      <c r="D230" s="7">
        <v>0</v>
      </c>
      <c r="E230" s="7">
        <v>3</v>
      </c>
      <c r="F230" s="7">
        <v>15120</v>
      </c>
      <c r="G230" s="14">
        <f t="shared" si="3"/>
        <v>6.6137566137566142E-5</v>
      </c>
      <c r="I230" s="18">
        <v>16</v>
      </c>
      <c r="J230" s="18">
        <v>174</v>
      </c>
    </row>
    <row r="231" spans="1:10" x14ac:dyDescent="0.25">
      <c r="A231" s="13">
        <v>4</v>
      </c>
      <c r="B231" s="7">
        <v>0</v>
      </c>
      <c r="C231" s="7">
        <v>0</v>
      </c>
      <c r="D231" s="7">
        <v>3</v>
      </c>
      <c r="E231" s="7">
        <v>0</v>
      </c>
      <c r="F231" s="7">
        <v>15120</v>
      </c>
      <c r="G231" s="14">
        <f t="shared" si="3"/>
        <v>6.6137566137566142E-5</v>
      </c>
      <c r="I231" s="18">
        <v>43</v>
      </c>
      <c r="J231" s="18">
        <v>144</v>
      </c>
    </row>
    <row r="232" spans="1:10" x14ac:dyDescent="0.25">
      <c r="A232" s="13">
        <v>4</v>
      </c>
      <c r="B232" s="7">
        <v>0</v>
      </c>
      <c r="C232" s="7">
        <v>3</v>
      </c>
      <c r="D232" s="7">
        <v>0</v>
      </c>
      <c r="E232" s="7">
        <v>0</v>
      </c>
      <c r="F232" s="7">
        <v>15120</v>
      </c>
      <c r="G232" s="14">
        <f t="shared" si="3"/>
        <v>6.6137566137566142E-5</v>
      </c>
      <c r="I232" s="18">
        <v>16</v>
      </c>
      <c r="J232" s="18">
        <v>114</v>
      </c>
    </row>
    <row r="233" spans="1:10" x14ac:dyDescent="0.25">
      <c r="A233" s="13">
        <v>4</v>
      </c>
      <c r="B233" s="7">
        <v>3</v>
      </c>
      <c r="C233" s="7">
        <v>0</v>
      </c>
      <c r="D233" s="7">
        <v>0</v>
      </c>
      <c r="E233" s="7">
        <v>0</v>
      </c>
      <c r="F233" s="7">
        <v>15120</v>
      </c>
      <c r="G233" s="14">
        <f t="shared" si="3"/>
        <v>6.6137566137566142E-5</v>
      </c>
      <c r="I233" s="18">
        <v>43</v>
      </c>
      <c r="J233" s="18">
        <v>84</v>
      </c>
    </row>
    <row r="234" spans="1:10" x14ac:dyDescent="0.25">
      <c r="A234" s="13">
        <v>5</v>
      </c>
      <c r="B234" s="7">
        <v>0</v>
      </c>
      <c r="C234" s="7">
        <v>0</v>
      </c>
      <c r="D234" s="7">
        <v>1</v>
      </c>
      <c r="E234" s="7">
        <v>1</v>
      </c>
      <c r="F234" s="7">
        <v>12600</v>
      </c>
      <c r="G234" s="14">
        <f t="shared" si="3"/>
        <v>7.9365079365079365E-5</v>
      </c>
      <c r="I234" s="18">
        <v>26</v>
      </c>
      <c r="J234" s="18">
        <v>123</v>
      </c>
    </row>
    <row r="235" spans="1:10" x14ac:dyDescent="0.25">
      <c r="A235" s="13">
        <v>5</v>
      </c>
      <c r="B235" s="7">
        <v>0</v>
      </c>
      <c r="C235" s="7">
        <v>1</v>
      </c>
      <c r="D235" s="7">
        <v>0</v>
      </c>
      <c r="E235" s="7">
        <v>1</v>
      </c>
      <c r="F235" s="7">
        <v>12600</v>
      </c>
      <c r="G235" s="14">
        <f t="shared" si="3"/>
        <v>7.9365079365079365E-5</v>
      </c>
      <c r="I235" s="18">
        <v>17</v>
      </c>
      <c r="J235" s="18">
        <v>113</v>
      </c>
    </row>
    <row r="236" spans="1:10" x14ac:dyDescent="0.25">
      <c r="A236" s="13">
        <v>5</v>
      </c>
      <c r="B236" s="7">
        <v>1</v>
      </c>
      <c r="C236" s="7">
        <v>0</v>
      </c>
      <c r="D236" s="7">
        <v>0</v>
      </c>
      <c r="E236" s="7">
        <v>1</v>
      </c>
      <c r="F236" s="7">
        <v>12600</v>
      </c>
      <c r="G236" s="14">
        <f t="shared" si="3"/>
        <v>7.9365079365079365E-5</v>
      </c>
      <c r="I236" s="18">
        <v>26</v>
      </c>
      <c r="J236" s="18">
        <v>103</v>
      </c>
    </row>
    <row r="237" spans="1:10" x14ac:dyDescent="0.25">
      <c r="A237" s="13">
        <v>5</v>
      </c>
      <c r="B237" s="7">
        <v>0</v>
      </c>
      <c r="C237" s="7">
        <v>1</v>
      </c>
      <c r="D237" s="7">
        <v>1</v>
      </c>
      <c r="E237" s="7">
        <v>0</v>
      </c>
      <c r="F237" s="7">
        <v>12600</v>
      </c>
      <c r="G237" s="14">
        <f t="shared" si="3"/>
        <v>7.9365079365079365E-5</v>
      </c>
      <c r="I237" s="18">
        <v>26</v>
      </c>
      <c r="J237" s="18">
        <v>103</v>
      </c>
    </row>
    <row r="238" spans="1:10" x14ac:dyDescent="0.25">
      <c r="A238" s="13">
        <v>5</v>
      </c>
      <c r="B238" s="7">
        <v>1</v>
      </c>
      <c r="C238" s="7">
        <v>0</v>
      </c>
      <c r="D238" s="7">
        <v>1</v>
      </c>
      <c r="E238" s="7">
        <v>0</v>
      </c>
      <c r="F238" s="7">
        <v>12600</v>
      </c>
      <c r="G238" s="14">
        <f t="shared" si="3"/>
        <v>7.9365079365079365E-5</v>
      </c>
      <c r="I238" s="18">
        <v>35</v>
      </c>
      <c r="J238" s="18">
        <v>93</v>
      </c>
    </row>
    <row r="239" spans="1:10" x14ac:dyDescent="0.25">
      <c r="A239" s="13">
        <v>5</v>
      </c>
      <c r="B239" s="7">
        <v>1</v>
      </c>
      <c r="C239" s="7">
        <v>1</v>
      </c>
      <c r="D239" s="7">
        <v>0</v>
      </c>
      <c r="E239" s="7">
        <v>0</v>
      </c>
      <c r="F239" s="7">
        <v>12600</v>
      </c>
      <c r="G239" s="14">
        <f t="shared" si="3"/>
        <v>7.9365079365079365E-5</v>
      </c>
      <c r="I239" s="18">
        <v>26</v>
      </c>
      <c r="J239" s="18">
        <v>83</v>
      </c>
    </row>
    <row r="240" spans="1:10" x14ac:dyDescent="0.25">
      <c r="A240" s="13">
        <v>0</v>
      </c>
      <c r="B240" s="7">
        <v>0</v>
      </c>
      <c r="C240" s="7">
        <v>0</v>
      </c>
      <c r="D240" s="7">
        <v>2</v>
      </c>
      <c r="E240" s="7">
        <v>5</v>
      </c>
      <c r="F240" s="7">
        <v>11340</v>
      </c>
      <c r="G240" s="14">
        <f t="shared" si="3"/>
        <v>8.8183421516754856E-5</v>
      </c>
      <c r="I240" s="18">
        <v>36</v>
      </c>
      <c r="J240" s="18">
        <v>312</v>
      </c>
    </row>
    <row r="241" spans="1:10" x14ac:dyDescent="0.25">
      <c r="A241" s="13">
        <v>0</v>
      </c>
      <c r="B241" s="7">
        <v>0</v>
      </c>
      <c r="C241" s="7">
        <v>2</v>
      </c>
      <c r="D241" s="7">
        <v>0</v>
      </c>
      <c r="E241" s="7">
        <v>5</v>
      </c>
      <c r="F241" s="7">
        <v>11340</v>
      </c>
      <c r="G241" s="14">
        <f t="shared" si="3"/>
        <v>8.8183421516754856E-5</v>
      </c>
      <c r="I241" s="18">
        <v>18</v>
      </c>
      <c r="J241" s="18">
        <v>292</v>
      </c>
    </row>
    <row r="242" spans="1:10" x14ac:dyDescent="0.25">
      <c r="A242" s="13">
        <v>0</v>
      </c>
      <c r="B242" s="7">
        <v>0</v>
      </c>
      <c r="C242" s="7">
        <v>0</v>
      </c>
      <c r="D242" s="7">
        <v>5</v>
      </c>
      <c r="E242" s="7">
        <v>2</v>
      </c>
      <c r="F242" s="7">
        <v>11340</v>
      </c>
      <c r="G242" s="14">
        <f t="shared" si="3"/>
        <v>8.8183421516754856E-5</v>
      </c>
      <c r="I242" s="18">
        <v>63</v>
      </c>
      <c r="J242" s="18">
        <v>282</v>
      </c>
    </row>
    <row r="243" spans="1:10" x14ac:dyDescent="0.25">
      <c r="A243" s="13">
        <v>0</v>
      </c>
      <c r="B243" s="7">
        <v>2</v>
      </c>
      <c r="C243" s="7">
        <v>0</v>
      </c>
      <c r="D243" s="7">
        <v>0</v>
      </c>
      <c r="E243" s="7">
        <v>5</v>
      </c>
      <c r="F243" s="7">
        <v>11340</v>
      </c>
      <c r="G243" s="14">
        <f t="shared" si="3"/>
        <v>8.8183421516754856E-5</v>
      </c>
      <c r="I243" s="18">
        <v>36</v>
      </c>
      <c r="J243" s="18">
        <v>272</v>
      </c>
    </row>
    <row r="244" spans="1:10" x14ac:dyDescent="0.25">
      <c r="A244" s="13">
        <v>0</v>
      </c>
      <c r="B244" s="7">
        <v>0</v>
      </c>
      <c r="C244" s="7">
        <v>2</v>
      </c>
      <c r="D244" s="7">
        <v>5</v>
      </c>
      <c r="E244" s="7">
        <v>0</v>
      </c>
      <c r="F244" s="7">
        <v>11340</v>
      </c>
      <c r="G244" s="14">
        <f t="shared" si="3"/>
        <v>8.8183421516754856E-5</v>
      </c>
      <c r="I244" s="18">
        <v>63</v>
      </c>
      <c r="J244" s="18">
        <v>242</v>
      </c>
    </row>
    <row r="245" spans="1:10" x14ac:dyDescent="0.25">
      <c r="A245" s="13">
        <v>0</v>
      </c>
      <c r="B245" s="7">
        <v>0</v>
      </c>
      <c r="C245" s="7">
        <v>5</v>
      </c>
      <c r="D245" s="7">
        <v>0</v>
      </c>
      <c r="E245" s="7">
        <v>2</v>
      </c>
      <c r="F245" s="7">
        <v>11340</v>
      </c>
      <c r="G245" s="14">
        <f t="shared" si="3"/>
        <v>8.8183421516754856E-5</v>
      </c>
      <c r="I245" s="18">
        <v>18</v>
      </c>
      <c r="J245" s="18">
        <v>232</v>
      </c>
    </row>
    <row r="246" spans="1:10" x14ac:dyDescent="0.25">
      <c r="A246" s="13">
        <v>0</v>
      </c>
      <c r="B246" s="7">
        <v>2</v>
      </c>
      <c r="C246" s="7">
        <v>0</v>
      </c>
      <c r="D246" s="7">
        <v>5</v>
      </c>
      <c r="E246" s="7">
        <v>0</v>
      </c>
      <c r="F246" s="7">
        <v>11340</v>
      </c>
      <c r="G246" s="14">
        <f t="shared" si="3"/>
        <v>8.8183421516754856E-5</v>
      </c>
      <c r="I246" s="18">
        <v>81</v>
      </c>
      <c r="J246" s="18">
        <v>222</v>
      </c>
    </row>
    <row r="247" spans="1:10" x14ac:dyDescent="0.25">
      <c r="A247" s="13">
        <v>0</v>
      </c>
      <c r="B247" s="7">
        <v>0</v>
      </c>
      <c r="C247" s="7">
        <v>5</v>
      </c>
      <c r="D247" s="7">
        <v>2</v>
      </c>
      <c r="E247" s="7">
        <v>0</v>
      </c>
      <c r="F247" s="7">
        <v>11340</v>
      </c>
      <c r="G247" s="14">
        <f t="shared" si="3"/>
        <v>8.8183421516754856E-5</v>
      </c>
      <c r="I247" s="18">
        <v>36</v>
      </c>
      <c r="J247" s="18">
        <v>212</v>
      </c>
    </row>
    <row r="248" spans="1:10" x14ac:dyDescent="0.25">
      <c r="A248" s="13">
        <v>0</v>
      </c>
      <c r="B248" s="7">
        <v>5</v>
      </c>
      <c r="C248" s="7">
        <v>0</v>
      </c>
      <c r="D248" s="7">
        <v>0</v>
      </c>
      <c r="E248" s="7">
        <v>2</v>
      </c>
      <c r="F248" s="7">
        <v>11340</v>
      </c>
      <c r="G248" s="14">
        <f t="shared" si="3"/>
        <v>8.8183421516754856E-5</v>
      </c>
      <c r="I248" s="18">
        <v>63</v>
      </c>
      <c r="J248" s="18">
        <v>182</v>
      </c>
    </row>
    <row r="249" spans="1:10" x14ac:dyDescent="0.25">
      <c r="A249" s="13">
        <v>0</v>
      </c>
      <c r="B249" s="7">
        <v>2</v>
      </c>
      <c r="C249" s="7">
        <v>5</v>
      </c>
      <c r="D249" s="7">
        <v>0</v>
      </c>
      <c r="E249" s="7">
        <v>0</v>
      </c>
      <c r="F249" s="7">
        <v>11340</v>
      </c>
      <c r="G249" s="14">
        <f t="shared" si="3"/>
        <v>8.8183421516754856E-5</v>
      </c>
      <c r="I249" s="18">
        <v>36</v>
      </c>
      <c r="J249" s="18">
        <v>172</v>
      </c>
    </row>
    <row r="250" spans="1:10" x14ac:dyDescent="0.25">
      <c r="A250" s="13">
        <v>0</v>
      </c>
      <c r="B250" s="7">
        <v>5</v>
      </c>
      <c r="C250" s="7">
        <v>0</v>
      </c>
      <c r="D250" s="7">
        <v>2</v>
      </c>
      <c r="E250" s="7">
        <v>0</v>
      </c>
      <c r="F250" s="7">
        <v>11340</v>
      </c>
      <c r="G250" s="14">
        <f t="shared" si="3"/>
        <v>8.8183421516754856E-5</v>
      </c>
      <c r="I250" s="18">
        <v>81</v>
      </c>
      <c r="J250" s="18">
        <v>162</v>
      </c>
    </row>
    <row r="251" spans="1:10" x14ac:dyDescent="0.25">
      <c r="A251" s="13">
        <v>0</v>
      </c>
      <c r="B251" s="7">
        <v>5</v>
      </c>
      <c r="C251" s="7">
        <v>2</v>
      </c>
      <c r="D251" s="7">
        <v>0</v>
      </c>
      <c r="E251" s="7">
        <v>0</v>
      </c>
      <c r="F251" s="7">
        <v>11340</v>
      </c>
      <c r="G251" s="14">
        <f t="shared" si="3"/>
        <v>8.8183421516754856E-5</v>
      </c>
      <c r="I251" s="18">
        <v>63</v>
      </c>
      <c r="J251" s="18">
        <v>142</v>
      </c>
    </row>
    <row r="252" spans="1:10" x14ac:dyDescent="0.25">
      <c r="A252" s="13">
        <v>2</v>
      </c>
      <c r="B252" s="7">
        <v>0</v>
      </c>
      <c r="C252" s="7">
        <v>0</v>
      </c>
      <c r="D252" s="7">
        <v>0</v>
      </c>
      <c r="E252" s="7">
        <v>5</v>
      </c>
      <c r="F252" s="7">
        <v>9072</v>
      </c>
      <c r="G252" s="14">
        <f t="shared" si="3"/>
        <v>1.1022927689594356E-4</v>
      </c>
      <c r="I252" s="18">
        <v>18</v>
      </c>
      <c r="J252" s="18">
        <v>252</v>
      </c>
    </row>
    <row r="253" spans="1:10" x14ac:dyDescent="0.25">
      <c r="A253" s="13">
        <v>2</v>
      </c>
      <c r="B253" s="7">
        <v>0</v>
      </c>
      <c r="C253" s="7">
        <v>0</v>
      </c>
      <c r="D253" s="7">
        <v>5</v>
      </c>
      <c r="E253" s="7">
        <v>0</v>
      </c>
      <c r="F253" s="7">
        <v>9072</v>
      </c>
      <c r="G253" s="14">
        <f t="shared" si="3"/>
        <v>1.1022927689594356E-4</v>
      </c>
      <c r="I253" s="18">
        <v>63</v>
      </c>
      <c r="J253" s="18">
        <v>202</v>
      </c>
    </row>
    <row r="254" spans="1:10" x14ac:dyDescent="0.25">
      <c r="A254" s="13">
        <v>2</v>
      </c>
      <c r="B254" s="7">
        <v>0</v>
      </c>
      <c r="C254" s="7">
        <v>5</v>
      </c>
      <c r="D254" s="7">
        <v>0</v>
      </c>
      <c r="E254" s="7">
        <v>0</v>
      </c>
      <c r="F254" s="7">
        <v>9072</v>
      </c>
      <c r="G254" s="14">
        <f t="shared" si="3"/>
        <v>1.1022927689594356E-4</v>
      </c>
      <c r="I254" s="18">
        <v>18</v>
      </c>
      <c r="J254" s="18">
        <v>152</v>
      </c>
    </row>
    <row r="255" spans="1:10" x14ac:dyDescent="0.25">
      <c r="A255" s="13">
        <v>2</v>
      </c>
      <c r="B255" s="7">
        <v>5</v>
      </c>
      <c r="C255" s="7">
        <v>0</v>
      </c>
      <c r="D255" s="7">
        <v>0</v>
      </c>
      <c r="E255" s="7">
        <v>0</v>
      </c>
      <c r="F255" s="7">
        <v>9072</v>
      </c>
      <c r="G255" s="14">
        <f t="shared" si="3"/>
        <v>1.1022927689594356E-4</v>
      </c>
      <c r="I255" s="18">
        <v>63</v>
      </c>
      <c r="J255" s="18">
        <v>102</v>
      </c>
    </row>
    <row r="256" spans="1:10" x14ac:dyDescent="0.25">
      <c r="A256" s="13">
        <v>5</v>
      </c>
      <c r="B256" s="7">
        <v>0</v>
      </c>
      <c r="C256" s="7">
        <v>0</v>
      </c>
      <c r="D256" s="7">
        <v>0</v>
      </c>
      <c r="E256" s="7">
        <v>2</v>
      </c>
      <c r="F256" s="7">
        <v>5670</v>
      </c>
      <c r="G256" s="14">
        <f t="shared" si="3"/>
        <v>1.7636684303350971E-4</v>
      </c>
      <c r="I256" s="18">
        <v>18</v>
      </c>
      <c r="J256" s="18">
        <v>132</v>
      </c>
    </row>
    <row r="257" spans="1:10" x14ac:dyDescent="0.25">
      <c r="A257" s="13">
        <v>5</v>
      </c>
      <c r="B257" s="7">
        <v>0</v>
      </c>
      <c r="C257" s="7">
        <v>0</v>
      </c>
      <c r="D257" s="7">
        <v>2</v>
      </c>
      <c r="E257" s="7">
        <v>0</v>
      </c>
      <c r="F257" s="7">
        <v>5670</v>
      </c>
      <c r="G257" s="14">
        <f t="shared" si="3"/>
        <v>1.7636684303350971E-4</v>
      </c>
      <c r="I257" s="18">
        <v>36</v>
      </c>
      <c r="J257" s="18">
        <v>112</v>
      </c>
    </row>
    <row r="258" spans="1:10" x14ac:dyDescent="0.25">
      <c r="A258" s="13">
        <v>5</v>
      </c>
      <c r="B258" s="7">
        <v>0</v>
      </c>
      <c r="C258" s="7">
        <v>2</v>
      </c>
      <c r="D258" s="7">
        <v>0</v>
      </c>
      <c r="E258" s="7">
        <v>0</v>
      </c>
      <c r="F258" s="7">
        <v>5670</v>
      </c>
      <c r="G258" s="14">
        <f t="shared" si="3"/>
        <v>1.7636684303350971E-4</v>
      </c>
      <c r="I258" s="18">
        <v>18</v>
      </c>
      <c r="J258" s="18">
        <v>92</v>
      </c>
    </row>
    <row r="259" spans="1:10" x14ac:dyDescent="0.25">
      <c r="A259" s="13">
        <v>5</v>
      </c>
      <c r="B259" s="7">
        <v>2</v>
      </c>
      <c r="C259" s="7">
        <v>0</v>
      </c>
      <c r="D259" s="7">
        <v>0</v>
      </c>
      <c r="E259" s="7">
        <v>0</v>
      </c>
      <c r="F259" s="7">
        <v>5670</v>
      </c>
      <c r="G259" s="14">
        <f t="shared" si="3"/>
        <v>1.7636684303350971E-4</v>
      </c>
      <c r="I259" s="18">
        <v>36</v>
      </c>
      <c r="J259" s="18">
        <v>72</v>
      </c>
    </row>
    <row r="260" spans="1:10" x14ac:dyDescent="0.25">
      <c r="A260" s="13">
        <v>0</v>
      </c>
      <c r="B260" s="7">
        <v>0</v>
      </c>
      <c r="C260" s="7">
        <v>0</v>
      </c>
      <c r="D260" s="7">
        <v>1</v>
      </c>
      <c r="E260" s="7">
        <v>6</v>
      </c>
      <c r="F260" s="7">
        <v>2100</v>
      </c>
      <c r="G260" s="14">
        <f t="shared" si="3"/>
        <v>4.7619047619047619E-4</v>
      </c>
      <c r="I260" s="18">
        <v>31</v>
      </c>
      <c r="J260" s="18">
        <v>318</v>
      </c>
    </row>
    <row r="261" spans="1:10" x14ac:dyDescent="0.25">
      <c r="A261" s="13">
        <v>0</v>
      </c>
      <c r="B261" s="7">
        <v>0</v>
      </c>
      <c r="C261" s="7">
        <v>1</v>
      </c>
      <c r="D261" s="7">
        <v>0</v>
      </c>
      <c r="E261" s="7">
        <v>6</v>
      </c>
      <c r="F261" s="7">
        <v>2100</v>
      </c>
      <c r="G261" s="14">
        <f t="shared" si="3"/>
        <v>4.7619047619047619E-4</v>
      </c>
      <c r="I261" s="18">
        <v>22</v>
      </c>
      <c r="J261" s="18">
        <v>308</v>
      </c>
    </row>
    <row r="262" spans="1:10" x14ac:dyDescent="0.25">
      <c r="A262" s="13">
        <v>0</v>
      </c>
      <c r="B262" s="7">
        <v>1</v>
      </c>
      <c r="C262" s="7">
        <v>0</v>
      </c>
      <c r="D262" s="7">
        <v>0</v>
      </c>
      <c r="E262" s="7">
        <v>6</v>
      </c>
      <c r="F262" s="7">
        <v>2100</v>
      </c>
      <c r="G262" s="14">
        <f t="shared" si="3"/>
        <v>4.7619047619047619E-4</v>
      </c>
      <c r="I262" s="18">
        <v>31</v>
      </c>
      <c r="J262" s="18">
        <v>298</v>
      </c>
    </row>
    <row r="263" spans="1:10" x14ac:dyDescent="0.25">
      <c r="A263" s="13">
        <v>0</v>
      </c>
      <c r="B263" s="7">
        <v>0</v>
      </c>
      <c r="C263" s="7">
        <v>0</v>
      </c>
      <c r="D263" s="7">
        <v>6</v>
      </c>
      <c r="E263" s="7">
        <v>1</v>
      </c>
      <c r="F263" s="7">
        <v>2100</v>
      </c>
      <c r="G263" s="14">
        <f t="shared" si="3"/>
        <v>4.7619047619047619E-4</v>
      </c>
      <c r="I263" s="18">
        <v>76</v>
      </c>
      <c r="J263" s="18">
        <v>268</v>
      </c>
    </row>
    <row r="264" spans="1:10" x14ac:dyDescent="0.25">
      <c r="A264" s="13">
        <v>0</v>
      </c>
      <c r="B264" s="7">
        <v>0</v>
      </c>
      <c r="C264" s="7">
        <v>1</v>
      </c>
      <c r="D264" s="7">
        <v>6</v>
      </c>
      <c r="E264" s="7">
        <v>0</v>
      </c>
      <c r="F264" s="7">
        <v>2100</v>
      </c>
      <c r="G264" s="14">
        <f t="shared" ref="G264:G284" si="4">1/F264</f>
        <v>4.7619047619047619E-4</v>
      </c>
      <c r="I264" s="18">
        <v>76</v>
      </c>
      <c r="J264" s="18">
        <v>248</v>
      </c>
    </row>
    <row r="265" spans="1:10" x14ac:dyDescent="0.25">
      <c r="A265" s="13">
        <v>0</v>
      </c>
      <c r="B265" s="7">
        <v>1</v>
      </c>
      <c r="C265" s="7">
        <v>0</v>
      </c>
      <c r="D265" s="7">
        <v>6</v>
      </c>
      <c r="E265" s="7">
        <v>0</v>
      </c>
      <c r="F265" s="7">
        <v>2100</v>
      </c>
      <c r="G265" s="14">
        <f t="shared" si="4"/>
        <v>4.7619047619047619E-4</v>
      </c>
      <c r="I265" s="18">
        <v>85</v>
      </c>
      <c r="J265" s="18">
        <v>238</v>
      </c>
    </row>
    <row r="266" spans="1:10" x14ac:dyDescent="0.25">
      <c r="A266" s="13">
        <v>0</v>
      </c>
      <c r="B266" s="7">
        <v>0</v>
      </c>
      <c r="C266" s="7">
        <v>6</v>
      </c>
      <c r="D266" s="7">
        <v>0</v>
      </c>
      <c r="E266" s="7">
        <v>1</v>
      </c>
      <c r="F266" s="7">
        <v>2100</v>
      </c>
      <c r="G266" s="14">
        <f t="shared" si="4"/>
        <v>4.7619047619047619E-4</v>
      </c>
      <c r="I266" s="18">
        <v>22</v>
      </c>
      <c r="J266" s="18">
        <v>208</v>
      </c>
    </row>
    <row r="267" spans="1:10" x14ac:dyDescent="0.25">
      <c r="A267" s="13">
        <v>0</v>
      </c>
      <c r="B267" s="7">
        <v>0</v>
      </c>
      <c r="C267" s="7">
        <v>6</v>
      </c>
      <c r="D267" s="7">
        <v>1</v>
      </c>
      <c r="E267" s="7">
        <v>0</v>
      </c>
      <c r="F267" s="7">
        <v>2100</v>
      </c>
      <c r="G267" s="14">
        <f t="shared" si="4"/>
        <v>4.7619047619047619E-4</v>
      </c>
      <c r="I267" s="18">
        <v>31</v>
      </c>
      <c r="J267" s="18">
        <v>198</v>
      </c>
    </row>
    <row r="268" spans="1:10" x14ac:dyDescent="0.25">
      <c r="A268" s="13">
        <v>0</v>
      </c>
      <c r="B268" s="7">
        <v>1</v>
      </c>
      <c r="C268" s="7">
        <v>6</v>
      </c>
      <c r="D268" s="7">
        <v>0</v>
      </c>
      <c r="E268" s="7">
        <v>0</v>
      </c>
      <c r="F268" s="7">
        <v>2100</v>
      </c>
      <c r="G268" s="14">
        <f t="shared" si="4"/>
        <v>4.7619047619047619E-4</v>
      </c>
      <c r="I268" s="18">
        <v>31</v>
      </c>
      <c r="J268" s="18">
        <v>178</v>
      </c>
    </row>
    <row r="269" spans="1:10" x14ac:dyDescent="0.25">
      <c r="A269" s="13">
        <v>0</v>
      </c>
      <c r="B269" s="7">
        <v>6</v>
      </c>
      <c r="C269" s="7">
        <v>0</v>
      </c>
      <c r="D269" s="7">
        <v>0</v>
      </c>
      <c r="E269" s="7">
        <v>1</v>
      </c>
      <c r="F269" s="7">
        <v>2100</v>
      </c>
      <c r="G269" s="14">
        <f t="shared" si="4"/>
        <v>4.7619047619047619E-4</v>
      </c>
      <c r="I269" s="18">
        <v>76</v>
      </c>
      <c r="J269" s="18">
        <v>148</v>
      </c>
    </row>
    <row r="270" spans="1:10" x14ac:dyDescent="0.25">
      <c r="A270" s="13">
        <v>0</v>
      </c>
      <c r="B270" s="7">
        <v>6</v>
      </c>
      <c r="C270" s="7">
        <v>0</v>
      </c>
      <c r="D270" s="7">
        <v>1</v>
      </c>
      <c r="E270" s="7">
        <v>0</v>
      </c>
      <c r="F270" s="7">
        <v>2100</v>
      </c>
      <c r="G270" s="14">
        <f t="shared" si="4"/>
        <v>4.7619047619047619E-4</v>
      </c>
      <c r="I270" s="18">
        <v>85</v>
      </c>
      <c r="J270" s="18">
        <v>138</v>
      </c>
    </row>
    <row r="271" spans="1:10" x14ac:dyDescent="0.25">
      <c r="A271" s="13">
        <v>0</v>
      </c>
      <c r="B271" s="7">
        <v>6</v>
      </c>
      <c r="C271" s="7">
        <v>1</v>
      </c>
      <c r="D271" s="7">
        <v>0</v>
      </c>
      <c r="E271" s="7">
        <v>0</v>
      </c>
      <c r="F271" s="7">
        <v>2100</v>
      </c>
      <c r="G271" s="14">
        <f t="shared" si="4"/>
        <v>4.7619047619047619E-4</v>
      </c>
      <c r="I271" s="18">
        <v>76</v>
      </c>
      <c r="J271" s="18">
        <v>128</v>
      </c>
    </row>
    <row r="272" spans="1:10" x14ac:dyDescent="0.25">
      <c r="A272" s="13">
        <v>1</v>
      </c>
      <c r="B272" s="7">
        <v>0</v>
      </c>
      <c r="C272" s="7">
        <v>0</v>
      </c>
      <c r="D272" s="7">
        <v>0</v>
      </c>
      <c r="E272" s="7">
        <v>6</v>
      </c>
      <c r="F272" s="7">
        <v>1890</v>
      </c>
      <c r="G272" s="14">
        <f t="shared" si="4"/>
        <v>5.2910052910052914E-4</v>
      </c>
      <c r="I272" s="18">
        <v>22</v>
      </c>
      <c r="J272" s="18">
        <v>288</v>
      </c>
    </row>
    <row r="273" spans="1:14" x14ac:dyDescent="0.25">
      <c r="A273" s="13">
        <v>1</v>
      </c>
      <c r="B273" s="7">
        <v>0</v>
      </c>
      <c r="C273" s="7">
        <v>0</v>
      </c>
      <c r="D273" s="7">
        <v>6</v>
      </c>
      <c r="E273" s="7">
        <v>0</v>
      </c>
      <c r="F273" s="7">
        <v>1890</v>
      </c>
      <c r="G273" s="14">
        <f t="shared" si="4"/>
        <v>5.2910052910052914E-4</v>
      </c>
      <c r="I273" s="18">
        <v>76</v>
      </c>
      <c r="J273" s="18">
        <v>228</v>
      </c>
    </row>
    <row r="274" spans="1:14" x14ac:dyDescent="0.25">
      <c r="A274" s="13">
        <v>1</v>
      </c>
      <c r="B274" s="7">
        <v>0</v>
      </c>
      <c r="C274" s="7">
        <v>6</v>
      </c>
      <c r="D274" s="7">
        <v>0</v>
      </c>
      <c r="E274" s="7">
        <v>0</v>
      </c>
      <c r="F274" s="7">
        <v>1890</v>
      </c>
      <c r="G274" s="14">
        <f t="shared" si="4"/>
        <v>5.2910052910052914E-4</v>
      </c>
      <c r="I274" s="18">
        <v>22</v>
      </c>
      <c r="J274" s="18">
        <v>168</v>
      </c>
    </row>
    <row r="275" spans="1:14" x14ac:dyDescent="0.25">
      <c r="A275" s="13">
        <v>1</v>
      </c>
      <c r="B275" s="7">
        <v>6</v>
      </c>
      <c r="C275" s="7">
        <v>0</v>
      </c>
      <c r="D275" s="7">
        <v>0</v>
      </c>
      <c r="E275" s="7">
        <v>0</v>
      </c>
      <c r="F275" s="7">
        <v>1890</v>
      </c>
      <c r="G275" s="14">
        <f t="shared" si="4"/>
        <v>5.2910052910052914E-4</v>
      </c>
      <c r="I275" s="18">
        <v>76</v>
      </c>
      <c r="J275" s="18">
        <v>108</v>
      </c>
    </row>
    <row r="276" spans="1:14" x14ac:dyDescent="0.25">
      <c r="A276" s="13">
        <v>6</v>
      </c>
      <c r="B276" s="7">
        <v>0</v>
      </c>
      <c r="C276" s="7">
        <v>0</v>
      </c>
      <c r="D276" s="7">
        <v>0</v>
      </c>
      <c r="E276" s="7">
        <v>1</v>
      </c>
      <c r="F276" s="7">
        <v>840</v>
      </c>
      <c r="G276" s="14">
        <f t="shared" si="4"/>
        <v>1.1904761904761906E-3</v>
      </c>
      <c r="I276" s="18">
        <v>22</v>
      </c>
      <c r="J276" s="18">
        <v>88</v>
      </c>
    </row>
    <row r="277" spans="1:14" x14ac:dyDescent="0.25">
      <c r="A277" s="13">
        <v>6</v>
      </c>
      <c r="B277" s="7">
        <v>0</v>
      </c>
      <c r="C277" s="7">
        <v>0</v>
      </c>
      <c r="D277" s="7">
        <v>1</v>
      </c>
      <c r="E277" s="7">
        <v>0</v>
      </c>
      <c r="F277" s="7">
        <v>840</v>
      </c>
      <c r="G277" s="14">
        <f t="shared" si="4"/>
        <v>1.1904761904761906E-3</v>
      </c>
      <c r="I277" s="18">
        <v>31</v>
      </c>
      <c r="J277" s="18">
        <v>78</v>
      </c>
    </row>
    <row r="278" spans="1:14" x14ac:dyDescent="0.25">
      <c r="A278" s="13">
        <v>6</v>
      </c>
      <c r="B278" s="7">
        <v>0</v>
      </c>
      <c r="C278" s="7">
        <v>1</v>
      </c>
      <c r="D278" s="7">
        <v>0</v>
      </c>
      <c r="E278" s="7">
        <v>0</v>
      </c>
      <c r="F278" s="7">
        <v>840</v>
      </c>
      <c r="G278" s="14">
        <f t="shared" si="4"/>
        <v>1.1904761904761906E-3</v>
      </c>
      <c r="I278" s="18">
        <v>22</v>
      </c>
      <c r="J278" s="18">
        <v>68</v>
      </c>
    </row>
    <row r="279" spans="1:14" x14ac:dyDescent="0.25">
      <c r="A279" s="13">
        <v>6</v>
      </c>
      <c r="B279" s="7">
        <v>1</v>
      </c>
      <c r="C279" s="7">
        <v>0</v>
      </c>
      <c r="D279" s="7">
        <v>0</v>
      </c>
      <c r="E279" s="7">
        <v>0</v>
      </c>
      <c r="F279" s="7">
        <v>840</v>
      </c>
      <c r="G279" s="14">
        <f t="shared" si="4"/>
        <v>1.1904761904761906E-3</v>
      </c>
      <c r="I279" s="18">
        <v>31</v>
      </c>
      <c r="J279" s="18">
        <v>58</v>
      </c>
    </row>
    <row r="280" spans="1:14" x14ac:dyDescent="0.25">
      <c r="A280" s="13">
        <v>0</v>
      </c>
      <c r="B280" s="7">
        <v>0</v>
      </c>
      <c r="C280" s="7">
        <v>0</v>
      </c>
      <c r="D280" s="7">
        <v>0</v>
      </c>
      <c r="E280" s="7">
        <v>7</v>
      </c>
      <c r="F280" s="7">
        <v>120</v>
      </c>
      <c r="G280" s="14">
        <f t="shared" si="4"/>
        <v>8.3333333333333332E-3</v>
      </c>
      <c r="I280" s="18">
        <v>28</v>
      </c>
      <c r="J280" s="18">
        <v>322</v>
      </c>
    </row>
    <row r="281" spans="1:14" x14ac:dyDescent="0.25">
      <c r="A281" s="13">
        <v>0</v>
      </c>
      <c r="B281" s="7">
        <v>0</v>
      </c>
      <c r="C281" s="7">
        <v>0</v>
      </c>
      <c r="D281" s="7">
        <v>7</v>
      </c>
      <c r="E281" s="7">
        <v>0</v>
      </c>
      <c r="F281" s="7">
        <v>120</v>
      </c>
      <c r="G281" s="14">
        <f t="shared" si="4"/>
        <v>8.3333333333333332E-3</v>
      </c>
      <c r="I281" s="18">
        <v>91</v>
      </c>
      <c r="J281" s="18">
        <v>252</v>
      </c>
    </row>
    <row r="282" spans="1:14" x14ac:dyDescent="0.25">
      <c r="A282" s="13">
        <v>0</v>
      </c>
      <c r="B282" s="7">
        <v>0</v>
      </c>
      <c r="C282" s="7">
        <v>7</v>
      </c>
      <c r="D282" s="7">
        <v>0</v>
      </c>
      <c r="E282" s="7">
        <v>0</v>
      </c>
      <c r="F282" s="7">
        <v>120</v>
      </c>
      <c r="G282" s="14">
        <f t="shared" si="4"/>
        <v>8.3333333333333332E-3</v>
      </c>
      <c r="I282" s="18">
        <v>28</v>
      </c>
      <c r="J282" s="18">
        <v>182</v>
      </c>
    </row>
    <row r="283" spans="1:14" x14ac:dyDescent="0.25">
      <c r="A283" s="13">
        <v>0</v>
      </c>
      <c r="B283" s="7">
        <v>7</v>
      </c>
      <c r="C283" s="7">
        <v>0</v>
      </c>
      <c r="D283" s="7">
        <v>0</v>
      </c>
      <c r="E283" s="7">
        <v>0</v>
      </c>
      <c r="F283" s="7">
        <v>120</v>
      </c>
      <c r="G283" s="14">
        <f t="shared" si="4"/>
        <v>8.3333333333333332E-3</v>
      </c>
      <c r="I283" s="18">
        <v>91</v>
      </c>
      <c r="J283" s="18">
        <v>112</v>
      </c>
    </row>
    <row r="284" spans="1:14" ht="15.75" thickBot="1" x14ac:dyDescent="0.3">
      <c r="A284" s="15">
        <v>7</v>
      </c>
      <c r="B284" s="16">
        <v>0</v>
      </c>
      <c r="C284" s="16">
        <v>0</v>
      </c>
      <c r="D284" s="16">
        <v>0</v>
      </c>
      <c r="E284" s="16">
        <v>0</v>
      </c>
      <c r="F284" s="16">
        <v>36</v>
      </c>
      <c r="G284" s="17">
        <f t="shared" si="4"/>
        <v>2.7777777777777776E-2</v>
      </c>
      <c r="I284" s="18">
        <v>28</v>
      </c>
      <c r="J284" s="18">
        <v>42</v>
      </c>
    </row>
    <row r="285" spans="1:14" x14ac:dyDescent="0.25"/>
    <row r="286" spans="1:14" x14ac:dyDescent="0.25">
      <c r="A286" s="81" t="s">
        <v>37</v>
      </c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</row>
    <row r="287" spans="1:14" x14ac:dyDescent="0.25">
      <c r="A287" s="81" t="s">
        <v>38</v>
      </c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</row>
    <row r="288" spans="1:14" x14ac:dyDescent="0.25">
      <c r="A288" s="81" t="s">
        <v>41</v>
      </c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</row>
    <row r="289" spans="1:14" ht="15.75" thickBot="1" x14ac:dyDescent="0.3">
      <c r="A289" s="8" t="s">
        <v>31</v>
      </c>
      <c r="B289" s="8" t="s">
        <v>32</v>
      </c>
      <c r="C289" s="8" t="s">
        <v>33</v>
      </c>
      <c r="D289" s="8" t="s">
        <v>34</v>
      </c>
      <c r="E289" s="8" t="s">
        <v>35</v>
      </c>
      <c r="F289" s="6"/>
      <c r="G289" s="6"/>
      <c r="H289" s="6"/>
      <c r="I289" s="6"/>
      <c r="J289" s="6"/>
    </row>
    <row r="290" spans="1:14" x14ac:dyDescent="0.25">
      <c r="A290" s="10" t="s">
        <v>5</v>
      </c>
      <c r="B290" s="11" t="s">
        <v>6</v>
      </c>
      <c r="C290" s="11" t="s">
        <v>7</v>
      </c>
      <c r="D290" s="11" t="s">
        <v>8</v>
      </c>
      <c r="E290" s="11" t="s">
        <v>9</v>
      </c>
      <c r="F290" s="11" t="s">
        <v>44</v>
      </c>
      <c r="G290" s="12" t="s">
        <v>36</v>
      </c>
      <c r="I290" s="82" t="s">
        <v>52</v>
      </c>
      <c r="J290" s="83"/>
      <c r="K290" s="18" t="s">
        <v>0</v>
      </c>
      <c r="L290" s="18" t="s">
        <v>1</v>
      </c>
      <c r="M290" s="19" t="s">
        <v>44</v>
      </c>
      <c r="N290" s="19" t="s">
        <v>43</v>
      </c>
    </row>
    <row r="291" spans="1:14" ht="15.75" thickBot="1" x14ac:dyDescent="0.3">
      <c r="A291" s="15">
        <v>7</v>
      </c>
      <c r="B291" s="16">
        <v>0</v>
      </c>
      <c r="C291" s="16">
        <v>0</v>
      </c>
      <c r="D291" s="16">
        <v>0</v>
      </c>
      <c r="E291" s="16">
        <v>0</v>
      </c>
      <c r="F291" s="16">
        <v>36</v>
      </c>
      <c r="G291" s="17">
        <f>1/F291</f>
        <v>2.7777777777777776E-2</v>
      </c>
      <c r="I291" s="82" t="s">
        <v>53</v>
      </c>
      <c r="J291" s="83"/>
      <c r="K291" s="18">
        <v>5</v>
      </c>
      <c r="L291" s="18">
        <v>2</v>
      </c>
      <c r="M291" s="19">
        <v>6</v>
      </c>
      <c r="N291" s="21">
        <f>1/M291</f>
        <v>0.16666666666666666</v>
      </c>
    </row>
    <row r="292" spans="1:14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</row>
    <row r="293" spans="1:14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</row>
    <row r="294" spans="1:14" x14ac:dyDescent="0.25">
      <c r="A294" s="81" t="s">
        <v>42</v>
      </c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</row>
    <row r="295" spans="1:14" ht="15.75" thickBot="1" x14ac:dyDescent="0.3">
      <c r="A295" s="8" t="s">
        <v>31</v>
      </c>
      <c r="B295" s="8" t="s">
        <v>32</v>
      </c>
      <c r="C295" s="8" t="s">
        <v>33</v>
      </c>
      <c r="D295" s="8" t="s">
        <v>34</v>
      </c>
      <c r="E295" s="8" t="s">
        <v>35</v>
      </c>
      <c r="F295" s="6"/>
      <c r="G295" s="6"/>
      <c r="H295" s="6"/>
      <c r="I295" s="6"/>
      <c r="J295" s="6"/>
    </row>
    <row r="296" spans="1:14" x14ac:dyDescent="0.25">
      <c r="A296" s="10" t="s">
        <v>5</v>
      </c>
      <c r="B296" s="11" t="s">
        <v>6</v>
      </c>
      <c r="C296" s="11" t="s">
        <v>7</v>
      </c>
      <c r="D296" s="11" t="s">
        <v>8</v>
      </c>
      <c r="E296" s="11" t="s">
        <v>9</v>
      </c>
      <c r="F296" s="11" t="s">
        <v>44</v>
      </c>
      <c r="G296" s="12" t="s">
        <v>36</v>
      </c>
      <c r="I296" s="18" t="s">
        <v>40</v>
      </c>
      <c r="J296" s="18" t="s">
        <v>39</v>
      </c>
      <c r="K296" s="18" t="s">
        <v>0</v>
      </c>
      <c r="L296" s="18" t="s">
        <v>1</v>
      </c>
      <c r="M296" s="19" t="s">
        <v>44</v>
      </c>
      <c r="N296" s="19" t="s">
        <v>43</v>
      </c>
    </row>
    <row r="297" spans="1:14" ht="15.75" thickBot="1" x14ac:dyDescent="0.3">
      <c r="A297" s="15">
        <v>7</v>
      </c>
      <c r="B297" s="16">
        <v>0</v>
      </c>
      <c r="C297" s="16">
        <v>0</v>
      </c>
      <c r="D297" s="16">
        <v>0</v>
      </c>
      <c r="E297" s="16">
        <v>0</v>
      </c>
      <c r="F297" s="16">
        <v>36</v>
      </c>
      <c r="G297" s="17">
        <f>1/F297</f>
        <v>2.7777777777777776E-2</v>
      </c>
      <c r="I297" s="18">
        <v>28</v>
      </c>
      <c r="J297" s="18">
        <v>42</v>
      </c>
      <c r="K297" s="18">
        <v>5</v>
      </c>
      <c r="L297" s="18">
        <v>2</v>
      </c>
      <c r="M297" s="19">
        <v>6</v>
      </c>
      <c r="N297" s="21">
        <f>1/M297</f>
        <v>0.16666666666666666</v>
      </c>
    </row>
    <row r="298" spans="1:14" x14ac:dyDescent="0.25"/>
    <row r="299" spans="1:14" x14ac:dyDescent="0.25">
      <c r="A299" s="81" t="s">
        <v>46</v>
      </c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</row>
    <row r="300" spans="1:14" x14ac:dyDescent="0.25">
      <c r="A300" s="81" t="s">
        <v>45</v>
      </c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</row>
    <row r="301" spans="1:14" ht="15.75" thickBot="1" x14ac:dyDescent="0.3">
      <c r="A301" s="8" t="s">
        <v>31</v>
      </c>
      <c r="B301" s="8" t="s">
        <v>32</v>
      </c>
      <c r="C301" s="8" t="s">
        <v>33</v>
      </c>
      <c r="D301" s="8" t="s">
        <v>34</v>
      </c>
      <c r="E301" s="8" t="s">
        <v>35</v>
      </c>
      <c r="F301" s="6"/>
      <c r="G301" s="6"/>
      <c r="H301" s="6"/>
      <c r="I301" s="6"/>
      <c r="J301" s="6"/>
    </row>
    <row r="302" spans="1:14" x14ac:dyDescent="0.25">
      <c r="A302" s="10" t="s">
        <v>5</v>
      </c>
      <c r="B302" s="11" t="s">
        <v>6</v>
      </c>
      <c r="C302" s="11" t="s">
        <v>7</v>
      </c>
      <c r="D302" s="11" t="s">
        <v>8</v>
      </c>
      <c r="E302" s="11" t="s">
        <v>9</v>
      </c>
      <c r="F302" s="11" t="s">
        <v>44</v>
      </c>
      <c r="G302" s="12" t="s">
        <v>36</v>
      </c>
      <c r="I302" s="18" t="s">
        <v>40</v>
      </c>
      <c r="J302" s="18" t="s">
        <v>39</v>
      </c>
      <c r="K302" s="18" t="s">
        <v>25</v>
      </c>
      <c r="L302" s="18" t="s">
        <v>24</v>
      </c>
      <c r="M302" s="19" t="s">
        <v>44</v>
      </c>
      <c r="N302" s="19" t="s">
        <v>43</v>
      </c>
    </row>
    <row r="303" spans="1:14" x14ac:dyDescent="0.25">
      <c r="A303" s="18">
        <v>0</v>
      </c>
      <c r="B303" s="18">
        <v>0</v>
      </c>
      <c r="C303" s="18">
        <v>7</v>
      </c>
      <c r="D303" s="18">
        <v>0</v>
      </c>
      <c r="E303" s="18">
        <v>0</v>
      </c>
      <c r="F303" s="18">
        <v>120</v>
      </c>
      <c r="G303" s="23">
        <v>8.3333333333333332E-3</v>
      </c>
      <c r="I303" s="18">
        <v>28</v>
      </c>
      <c r="J303" s="18">
        <v>182</v>
      </c>
      <c r="K303" s="18">
        <v>2</v>
      </c>
      <c r="L303" s="18">
        <v>5</v>
      </c>
      <c r="M303" s="18">
        <v>6</v>
      </c>
      <c r="N303" s="22">
        <f>1/M303</f>
        <v>0.16666666666666666</v>
      </c>
    </row>
    <row r="304" spans="1:14" x14ac:dyDescent="0.25"/>
    <row r="305" spans="1:14" x14ac:dyDescent="0.25">
      <c r="A305" t="s">
        <v>47</v>
      </c>
    </row>
    <row r="306" spans="1:14" ht="15.75" thickBot="1" x14ac:dyDescent="0.3">
      <c r="A306" s="8" t="s">
        <v>31</v>
      </c>
      <c r="B306" s="8" t="s">
        <v>32</v>
      </c>
      <c r="C306" s="8" t="s">
        <v>33</v>
      </c>
      <c r="D306" s="8" t="s">
        <v>34</v>
      </c>
      <c r="E306" s="8" t="s">
        <v>35</v>
      </c>
      <c r="F306" s="6"/>
      <c r="G306" s="6"/>
      <c r="H306" s="6"/>
      <c r="I306" s="6"/>
      <c r="J306" s="6"/>
    </row>
    <row r="307" spans="1:14" x14ac:dyDescent="0.25">
      <c r="A307" s="10" t="s">
        <v>5</v>
      </c>
      <c r="B307" s="11" t="s">
        <v>6</v>
      </c>
      <c r="C307" s="11" t="s">
        <v>7</v>
      </c>
      <c r="D307" s="11" t="s">
        <v>8</v>
      </c>
      <c r="E307" s="11" t="s">
        <v>9</v>
      </c>
      <c r="F307" s="11" t="s">
        <v>44</v>
      </c>
      <c r="G307" s="12" t="s">
        <v>36</v>
      </c>
      <c r="I307" s="18" t="s">
        <v>0</v>
      </c>
      <c r="J307" s="18" t="s">
        <v>1</v>
      </c>
      <c r="K307" s="18" t="s">
        <v>25</v>
      </c>
      <c r="L307" s="18" t="s">
        <v>24</v>
      </c>
      <c r="M307" s="19" t="s">
        <v>44</v>
      </c>
      <c r="N307" s="19" t="s">
        <v>43</v>
      </c>
    </row>
    <row r="308" spans="1:14" x14ac:dyDescent="0.25">
      <c r="A308" s="18">
        <v>0</v>
      </c>
      <c r="B308" s="18">
        <v>0</v>
      </c>
      <c r="C308" s="18">
        <v>7</v>
      </c>
      <c r="D308" s="18">
        <v>0</v>
      </c>
      <c r="E308" s="18">
        <v>0</v>
      </c>
      <c r="F308" s="18">
        <v>120</v>
      </c>
      <c r="G308" s="23">
        <v>8.3333333333333332E-3</v>
      </c>
      <c r="I308" s="18">
        <v>5</v>
      </c>
      <c r="J308" s="18">
        <v>2</v>
      </c>
      <c r="K308" s="18">
        <v>2</v>
      </c>
      <c r="L308" s="18">
        <v>5</v>
      </c>
      <c r="M308" s="18">
        <v>1</v>
      </c>
      <c r="N308" s="20">
        <f>1/M308</f>
        <v>1</v>
      </c>
    </row>
    <row r="309" spans="1:14" x14ac:dyDescent="0.25"/>
    <row r="310" spans="1:14" x14ac:dyDescent="0.25">
      <c r="A310" s="80" t="s">
        <v>48</v>
      </c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</row>
    <row r="311" spans="1:14" x14ac:dyDescent="0.25">
      <c r="A311" s="81" t="s">
        <v>49</v>
      </c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</row>
    <row r="312" spans="1:14" ht="15.75" thickBot="1" x14ac:dyDescent="0.3">
      <c r="A312" s="8" t="s">
        <v>31</v>
      </c>
      <c r="B312" s="8" t="s">
        <v>32</v>
      </c>
      <c r="C312" s="8" t="s">
        <v>33</v>
      </c>
      <c r="D312" s="8" t="s">
        <v>34</v>
      </c>
      <c r="E312" s="8" t="s">
        <v>35</v>
      </c>
      <c r="F312" s="6"/>
      <c r="G312" s="6"/>
      <c r="H312" s="6"/>
      <c r="I312" s="6"/>
      <c r="J312" s="6"/>
    </row>
    <row r="313" spans="1:14" x14ac:dyDescent="0.25">
      <c r="A313" s="10" t="s">
        <v>5</v>
      </c>
      <c r="B313" s="11" t="s">
        <v>6</v>
      </c>
      <c r="C313" s="11" t="s">
        <v>7</v>
      </c>
      <c r="D313" s="11" t="s">
        <v>8</v>
      </c>
      <c r="E313" s="11" t="s">
        <v>9</v>
      </c>
      <c r="F313" s="11" t="s">
        <v>44</v>
      </c>
      <c r="G313" s="24" t="s">
        <v>36</v>
      </c>
      <c r="H313" s="9" t="s">
        <v>19</v>
      </c>
      <c r="I313" s="9" t="s">
        <v>20</v>
      </c>
      <c r="J313" s="9" t="s">
        <v>21</v>
      </c>
      <c r="K313" s="9" t="s">
        <v>22</v>
      </c>
      <c r="L313" s="9" t="s">
        <v>23</v>
      </c>
      <c r="M313" s="19" t="s">
        <v>44</v>
      </c>
      <c r="N313" s="19" t="s">
        <v>43</v>
      </c>
    </row>
    <row r="314" spans="1:14" ht="15.75" thickBot="1" x14ac:dyDescent="0.3">
      <c r="A314" s="15">
        <v>7</v>
      </c>
      <c r="B314" s="16">
        <v>0</v>
      </c>
      <c r="C314" s="16">
        <v>0</v>
      </c>
      <c r="D314" s="16">
        <v>0</v>
      </c>
      <c r="E314" s="16">
        <v>0</v>
      </c>
      <c r="F314" s="16">
        <v>36</v>
      </c>
      <c r="G314" s="25">
        <f>1/F314</f>
        <v>2.7777777777777776E-2</v>
      </c>
      <c r="H314" s="18">
        <v>1</v>
      </c>
      <c r="I314" s="18">
        <v>2</v>
      </c>
      <c r="J314" s="18">
        <v>3</v>
      </c>
      <c r="K314" s="18">
        <v>4</v>
      </c>
      <c r="L314" s="18">
        <v>5</v>
      </c>
      <c r="M314" s="19">
        <v>6</v>
      </c>
      <c r="N314" s="21">
        <f>1/M314</f>
        <v>0.16666666666666666</v>
      </c>
    </row>
    <row r="315" spans="1:14" x14ac:dyDescent="0.25"/>
    <row r="316" spans="1:14" x14ac:dyDescent="0.25">
      <c r="A316" s="81" t="s">
        <v>54</v>
      </c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</row>
    <row r="317" spans="1:14" ht="15.75" thickBot="1" x14ac:dyDescent="0.3">
      <c r="A317" s="8" t="s">
        <v>31</v>
      </c>
      <c r="B317" s="8" t="s">
        <v>32</v>
      </c>
      <c r="C317" s="8" t="s">
        <v>33</v>
      </c>
      <c r="D317" s="8" t="s">
        <v>34</v>
      </c>
      <c r="E317" s="8" t="s">
        <v>35</v>
      </c>
      <c r="F317" s="6"/>
      <c r="G317" s="6"/>
      <c r="H317" s="6"/>
      <c r="I317" s="6"/>
      <c r="J317" s="6"/>
    </row>
    <row r="318" spans="1:14" x14ac:dyDescent="0.25">
      <c r="A318" s="10" t="s">
        <v>5</v>
      </c>
      <c r="B318" s="11" t="s">
        <v>6</v>
      </c>
      <c r="C318" s="11" t="s">
        <v>7</v>
      </c>
      <c r="D318" s="11" t="s">
        <v>8</v>
      </c>
      <c r="E318" s="11" t="s">
        <v>9</v>
      </c>
      <c r="F318" s="11" t="s">
        <v>44</v>
      </c>
      <c r="G318" s="24" t="s">
        <v>36</v>
      </c>
      <c r="H318" s="9" t="s">
        <v>19</v>
      </c>
      <c r="I318" s="9" t="s">
        <v>20</v>
      </c>
      <c r="J318" s="9" t="s">
        <v>21</v>
      </c>
      <c r="K318" s="9" t="s">
        <v>22</v>
      </c>
      <c r="L318" s="9" t="s">
        <v>23</v>
      </c>
    </row>
    <row r="319" spans="1:14" ht="15.75" thickBot="1" x14ac:dyDescent="0.3">
      <c r="A319" s="15">
        <v>7</v>
      </c>
      <c r="B319" s="16">
        <v>0</v>
      </c>
      <c r="C319" s="16">
        <v>0</v>
      </c>
      <c r="D319" s="16">
        <v>0</v>
      </c>
      <c r="E319" s="16">
        <v>0</v>
      </c>
      <c r="F319" s="16">
        <v>36</v>
      </c>
      <c r="G319" s="25">
        <f>1/F319</f>
        <v>2.7777777777777776E-2</v>
      </c>
      <c r="H319" s="18">
        <v>1</v>
      </c>
      <c r="I319" s="18">
        <v>2</v>
      </c>
      <c r="J319" s="18">
        <v>3</v>
      </c>
      <c r="K319" s="18">
        <v>4</v>
      </c>
      <c r="L319" s="18">
        <v>5</v>
      </c>
    </row>
    <row r="320" spans="1:14" x14ac:dyDescent="0.25">
      <c r="K320" s="18" t="s">
        <v>0</v>
      </c>
      <c r="L320" s="18" t="s">
        <v>1</v>
      </c>
      <c r="M320" s="19" t="s">
        <v>44</v>
      </c>
      <c r="N320" s="19" t="s">
        <v>43</v>
      </c>
    </row>
    <row r="321" spans="1:15" x14ac:dyDescent="0.25">
      <c r="K321" s="18">
        <v>5</v>
      </c>
      <c r="L321" s="18">
        <v>2</v>
      </c>
      <c r="M321" s="19">
        <v>1</v>
      </c>
      <c r="N321" s="21">
        <f>1/M321</f>
        <v>1</v>
      </c>
    </row>
    <row r="322" spans="1:15" x14ac:dyDescent="0.25"/>
    <row r="323" spans="1:15" x14ac:dyDescent="0.25">
      <c r="A323" s="84" t="s">
        <v>108</v>
      </c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</row>
    <row r="324" spans="1:15" x14ac:dyDescent="0.25">
      <c r="A324" s="84" t="s">
        <v>109</v>
      </c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</row>
    <row r="325" spans="1:15" ht="15.75" thickBot="1" x14ac:dyDescent="0.3"/>
    <row r="326" spans="1:15" ht="15.75" thickBot="1" x14ac:dyDescent="0.3">
      <c r="C326" s="28" t="s">
        <v>112</v>
      </c>
      <c r="D326" s="29" t="s">
        <v>110</v>
      </c>
      <c r="E326" s="29" t="s">
        <v>111</v>
      </c>
      <c r="F326" s="29" t="s">
        <v>113</v>
      </c>
      <c r="G326" s="26" t="s">
        <v>114</v>
      </c>
    </row>
    <row r="327" spans="1:15" ht="15.75" thickBot="1" x14ac:dyDescent="0.3">
      <c r="A327" s="85" t="s">
        <v>115</v>
      </c>
      <c r="B327" s="86"/>
      <c r="C327" s="30">
        <f>(PERMUT(49,6)-PERMUT(48,6))/PERMUT(49,6)</f>
        <v>0.12244897959183673</v>
      </c>
      <c r="D327" s="31">
        <f>(PERMUT(49,6)-PERMUT(39,6))/PERMUT(49,6)</f>
        <v>0.76668578877182025</v>
      </c>
      <c r="E327" s="31">
        <f>(PERMUT(49,6)-PERMUT(29,6))/PERMUT(49,6)</f>
        <v>0.96603073152564367</v>
      </c>
      <c r="F327" s="31">
        <f>(PERMUT(49,6)-PERMUT(19,6))/PERMUT(49,6)</f>
        <v>0.99805975707918348</v>
      </c>
      <c r="G327" s="32">
        <f>(PERMUT(49,6)-PERMUT(9,6))/PERMUT(49,6)</f>
        <v>0.9999939930559727</v>
      </c>
    </row>
    <row r="328" spans="1:15" x14ac:dyDescent="0.25"/>
    <row r="329" spans="1:15" x14ac:dyDescent="0.25">
      <c r="A329" s="81" t="s">
        <v>51</v>
      </c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</row>
    <row r="330" spans="1:15" x14ac:dyDescent="0.25">
      <c r="A330" s="79" t="s">
        <v>105</v>
      </c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</row>
    <row r="331" spans="1:15" x14ac:dyDescent="0.25">
      <c r="A331" s="79" t="s">
        <v>106</v>
      </c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</row>
    <row r="332" spans="1:15" x14ac:dyDescent="0.25">
      <c r="A332" s="79" t="s">
        <v>107</v>
      </c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</row>
    <row r="333" spans="1:15" x14ac:dyDescent="0.25"/>
  </sheetData>
  <sheetProtection algorithmName="SHA-512" hashValue="D5NnZCA1CoJ/l6KKiw6yX9bO9wq9hoVSnPaCnXxwQu8eMmJeUs/r1m1SVbFi1IRsGurkad+Ht4eH7GgHpn3LrA==" saltValue="M+3utby8mWG+V2w6TE0N9w==" spinCount="100000" sheet="1" objects="1" scenarios="1"/>
  <customSheetViews>
    <customSheetView guid="{358E4FB0-3A35-461B-AF3A-74D5EE139742}" scale="90" hiddenRows="1" hiddenColumns="1">
      <selection activeCell="A4" sqref="A4:N4"/>
      <pageMargins left="0.7" right="0.7" top="0.75" bottom="0.75" header="0.3" footer="0.3"/>
    </customSheetView>
  </customSheetViews>
  <mergeCells count="22">
    <mergeCell ref="A294:N294"/>
    <mergeCell ref="A2:N2"/>
    <mergeCell ref="A3:N3"/>
    <mergeCell ref="A4:N4"/>
    <mergeCell ref="A286:N286"/>
    <mergeCell ref="A287:N287"/>
    <mergeCell ref="A1:XFD1"/>
    <mergeCell ref="A330:O330"/>
    <mergeCell ref="A331:O331"/>
    <mergeCell ref="A332:O332"/>
    <mergeCell ref="A310:N310"/>
    <mergeCell ref="A311:N311"/>
    <mergeCell ref="A316:N316"/>
    <mergeCell ref="A329:N329"/>
    <mergeCell ref="I290:J290"/>
    <mergeCell ref="I291:J291"/>
    <mergeCell ref="A299:N299"/>
    <mergeCell ref="A300:N300"/>
    <mergeCell ref="A323:N323"/>
    <mergeCell ref="A324:N324"/>
    <mergeCell ref="A327:B327"/>
    <mergeCell ref="A288:N28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"/>
  <sheetViews>
    <sheetView topLeftCell="A22" zoomScale="82" zoomScaleNormal="82" workbookViewId="0">
      <selection activeCell="A24" sqref="A24:N24"/>
    </sheetView>
  </sheetViews>
  <sheetFormatPr defaultColWidth="0" defaultRowHeight="15" x14ac:dyDescent="0.25"/>
  <cols>
    <col min="1" max="14" width="25.140625" customWidth="1"/>
    <col min="15" max="16384" width="11.42578125" hidden="1"/>
  </cols>
  <sheetData>
    <row r="1" spans="1:14" ht="93" thickBot="1" x14ac:dyDescent="0.3">
      <c r="A1" s="88" t="s">
        <v>55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x14ac:dyDescent="0.25">
      <c r="A2" s="81" t="s">
        <v>56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</row>
    <row r="3" spans="1:14" s="87" customFormat="1" ht="409.5" customHeight="1" x14ac:dyDescent="0.25"/>
    <row r="4" spans="1:14" x14ac:dyDescent="0.25">
      <c r="A4" s="81" t="s">
        <v>57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</row>
    <row r="5" spans="1:14" s="87" customFormat="1" ht="347.25" customHeight="1" x14ac:dyDescent="0.25"/>
    <row r="6" spans="1:14" x14ac:dyDescent="0.25">
      <c r="A6" s="81" t="s">
        <v>58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</row>
    <row r="7" spans="1:14" s="87" customFormat="1" ht="346.5" customHeight="1" x14ac:dyDescent="0.25"/>
    <row r="8" spans="1:14" x14ac:dyDescent="0.25">
      <c r="A8" s="81" t="s">
        <v>60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</row>
    <row r="9" spans="1:14" s="87" customFormat="1" ht="335.25" customHeight="1" x14ac:dyDescent="0.25"/>
    <row r="10" spans="1:14" x14ac:dyDescent="0.25">
      <c r="A10" s="81" t="s">
        <v>59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</row>
    <row r="11" spans="1:14" s="80" customFormat="1" ht="335.25" customHeight="1" x14ac:dyDescent="0.25"/>
    <row r="12" spans="1:14" s="27" customFormat="1" x14ac:dyDescent="0.25">
      <c r="A12" s="81" t="s">
        <v>116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</row>
    <row r="13" spans="1:14" x14ac:dyDescent="0.25">
      <c r="A13" s="81" t="s">
        <v>61</v>
      </c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</row>
    <row r="14" spans="1:14" s="87" customFormat="1" ht="342.75" customHeight="1" x14ac:dyDescent="0.25"/>
    <row r="15" spans="1:14" x14ac:dyDescent="0.25">
      <c r="A15" s="81" t="s">
        <v>67</v>
      </c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</row>
    <row r="16" spans="1:14" s="87" customFormat="1" ht="336.75" customHeight="1" x14ac:dyDescent="0.25"/>
    <row r="17" spans="1:14" x14ac:dyDescent="0.25">
      <c r="A17" s="81" t="s">
        <v>66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</row>
    <row r="18" spans="1:14" s="87" customFormat="1" ht="341.25" customHeight="1" x14ac:dyDescent="0.25"/>
    <row r="19" spans="1:14" x14ac:dyDescent="0.25">
      <c r="A19" s="81" t="s">
        <v>101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</row>
    <row r="20" spans="1:14" s="81" customFormat="1" x14ac:dyDescent="0.25">
      <c r="A20" s="81" t="s">
        <v>104</v>
      </c>
    </row>
    <row r="21" spans="1:14" s="87" customFormat="1" ht="332.25" customHeight="1" x14ac:dyDescent="0.25"/>
    <row r="22" spans="1:14" x14ac:dyDescent="0.25">
      <c r="A22" s="81" t="s">
        <v>103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1:14" s="87" customFormat="1" ht="335.25" customHeight="1" x14ac:dyDescent="0.25"/>
    <row r="24" spans="1:14" x14ac:dyDescent="0.25">
      <c r="A24" s="81" t="s">
        <v>119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</row>
    <row r="25" spans="1:14" x14ac:dyDescent="0.25">
      <c r="A25" s="81" t="s">
        <v>102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</row>
    <row r="26" spans="1:14" x14ac:dyDescent="0.25">
      <c r="A26" s="81" t="s">
        <v>63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</row>
    <row r="27" spans="1:14" s="87" customFormat="1" ht="409.5" customHeight="1" x14ac:dyDescent="0.25"/>
    <row r="28" spans="1:14" x14ac:dyDescent="0.25">
      <c r="A28" s="81" t="s">
        <v>62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</row>
    <row r="29" spans="1:14" s="87" customFormat="1" ht="409.5" customHeight="1" x14ac:dyDescent="0.25"/>
    <row r="30" spans="1:14" x14ac:dyDescent="0.25">
      <c r="A30" s="81" t="s">
        <v>64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</row>
    <row r="31" spans="1:14" s="87" customFormat="1" ht="409.5" customHeight="1" x14ac:dyDescent="0.25"/>
    <row r="32" spans="1:14" x14ac:dyDescent="0.25">
      <c r="A32" s="79" t="s">
        <v>105</v>
      </c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</row>
    <row r="33" spans="1:14" x14ac:dyDescent="0.25">
      <c r="A33" s="79" t="s">
        <v>106</v>
      </c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</row>
    <row r="34" spans="1:14" x14ac:dyDescent="0.25">
      <c r="A34" s="79" t="s">
        <v>107</v>
      </c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</row>
    <row r="35" spans="1:14" x14ac:dyDescent="0.25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</row>
  </sheetData>
  <sheetProtection algorithmName="SHA-512" hashValue="pMJMG8l/+9LtVFbYgN1CfU4bDSt6Q6ggsRuv3Mmgkb9iFuu2MzxcqyNUMkxW8GXJF1tq7siQFzY3dvEs7dCHeg==" saltValue="H07MWU1n/R9ruegdYafOXw==" spinCount="100000" sheet="1" objects="1" scenarios="1"/>
  <customSheetViews>
    <customSheetView guid="{358E4FB0-3A35-461B-AF3A-74D5EE139742}" scale="82" hiddenColumns="1" topLeftCell="A22">
      <selection activeCell="A24" sqref="A24:N24"/>
      <pageMargins left="0.7" right="0.7" top="0.75" bottom="0.75" header="0.3" footer="0.3"/>
    </customSheetView>
  </customSheetViews>
  <mergeCells count="35">
    <mergeCell ref="A23:XFD23"/>
    <mergeCell ref="A27:XFD27"/>
    <mergeCell ref="A29:XFD29"/>
    <mergeCell ref="A31:XFD31"/>
    <mergeCell ref="A12:N12"/>
    <mergeCell ref="A1:N1"/>
    <mergeCell ref="A2:N2"/>
    <mergeCell ref="A4:N4"/>
    <mergeCell ref="A6:N6"/>
    <mergeCell ref="A10:N10"/>
    <mergeCell ref="A5:XFD5"/>
    <mergeCell ref="A3:XFD3"/>
    <mergeCell ref="A7:XFD7"/>
    <mergeCell ref="A9:XFD9"/>
    <mergeCell ref="A11:XFD11"/>
    <mergeCell ref="A14:XFD14"/>
    <mergeCell ref="A16:XFD16"/>
    <mergeCell ref="A21:XFD21"/>
    <mergeCell ref="A18:XFD18"/>
    <mergeCell ref="A35:N35"/>
    <mergeCell ref="A8:N8"/>
    <mergeCell ref="A34:N34"/>
    <mergeCell ref="A25:N25"/>
    <mergeCell ref="A26:N26"/>
    <mergeCell ref="A28:N28"/>
    <mergeCell ref="A30:N30"/>
    <mergeCell ref="A32:N32"/>
    <mergeCell ref="A33:N33"/>
    <mergeCell ref="A13:N13"/>
    <mergeCell ref="A15:N15"/>
    <mergeCell ref="A17:N17"/>
    <mergeCell ref="A19:N19"/>
    <mergeCell ref="A22:N22"/>
    <mergeCell ref="A24:N24"/>
    <mergeCell ref="A20:XFD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1"/>
  <sheetViews>
    <sheetView tabSelected="1" workbookViewId="0">
      <selection activeCell="M18" sqref="M18"/>
    </sheetView>
  </sheetViews>
  <sheetFormatPr defaultColWidth="0" defaultRowHeight="15" zeroHeight="1" x14ac:dyDescent="0.25"/>
  <cols>
    <col min="1" max="1" width="17.85546875" style="1" bestFit="1" customWidth="1"/>
    <col min="2" max="2" width="9.140625" style="4" customWidth="1"/>
    <col min="3" max="3" width="9.42578125" style="1" customWidth="1"/>
    <col min="4" max="4" width="6.7109375" style="1" customWidth="1"/>
    <col min="5" max="10" width="9.140625" style="1" customWidth="1"/>
    <col min="11" max="12" width="4.140625" style="1" customWidth="1"/>
    <col min="13" max="16" width="9.140625" style="1" customWidth="1"/>
    <col min="17" max="16384" width="9.140625" style="1" hidden="1"/>
  </cols>
  <sheetData>
    <row r="1" spans="1:19" x14ac:dyDescent="0.25">
      <c r="B1" s="4" t="s">
        <v>28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M1" s="2" t="s">
        <v>10</v>
      </c>
      <c r="N1" s="2" t="s">
        <v>11</v>
      </c>
      <c r="O1" s="2" t="s">
        <v>12</v>
      </c>
    </row>
    <row r="2" spans="1:19" ht="15.75" thickBot="1" x14ac:dyDescent="0.3">
      <c r="A2" s="1" t="s">
        <v>26</v>
      </c>
      <c r="B2" s="33">
        <f>SUM(F14:J14)</f>
        <v>129</v>
      </c>
      <c r="C2" s="35" t="s">
        <v>15</v>
      </c>
      <c r="F2" s="34">
        <v>3</v>
      </c>
      <c r="G2" s="34">
        <v>2</v>
      </c>
      <c r="H2" s="34">
        <v>1</v>
      </c>
      <c r="I2" s="34">
        <v>1</v>
      </c>
      <c r="J2" s="34">
        <v>0</v>
      </c>
      <c r="K2" s="35" t="s">
        <v>13</v>
      </c>
      <c r="L2" s="36"/>
      <c r="M2" s="3">
        <v>1</v>
      </c>
      <c r="N2" s="38">
        <v>1</v>
      </c>
      <c r="O2" s="38">
        <v>7</v>
      </c>
      <c r="P2" s="36">
        <v>1</v>
      </c>
    </row>
    <row r="3" spans="1:19" x14ac:dyDescent="0.25">
      <c r="A3" s="1" t="s">
        <v>27</v>
      </c>
      <c r="B3" s="33">
        <f>SUM(F15:J15)</f>
        <v>77</v>
      </c>
      <c r="C3" s="36"/>
      <c r="D3" s="89" t="str">
        <f>CONCATENATE("TOTO                                         ",
F2,"-",G2,"-",H2,"-",I2,"-",J2)</f>
        <v>TOTO                                         3-2-1-1-0</v>
      </c>
      <c r="E3" s="90"/>
      <c r="F3" s="91"/>
      <c r="G3" s="91"/>
      <c r="H3" s="91"/>
      <c r="I3" s="91"/>
      <c r="J3" s="91"/>
      <c r="K3" s="90"/>
      <c r="L3" s="90"/>
      <c r="M3" s="3">
        <v>2</v>
      </c>
      <c r="N3" s="38">
        <v>2</v>
      </c>
      <c r="O3" s="38">
        <v>8</v>
      </c>
      <c r="P3" s="36">
        <v>1</v>
      </c>
      <c r="R3" s="1" t="s">
        <v>15</v>
      </c>
      <c r="S3" s="1" t="s">
        <v>15</v>
      </c>
    </row>
    <row r="4" spans="1:19" x14ac:dyDescent="0.25">
      <c r="A4" s="1" t="s">
        <v>3</v>
      </c>
      <c r="B4" s="34">
        <v>95</v>
      </c>
      <c r="C4" s="36" t="s">
        <v>15</v>
      </c>
      <c r="D4" s="92"/>
      <c r="E4" s="91"/>
      <c r="F4" s="91"/>
      <c r="G4" s="91"/>
      <c r="H4" s="91"/>
      <c r="I4" s="91"/>
      <c r="J4" s="91"/>
      <c r="K4" s="91"/>
      <c r="L4" s="91"/>
      <c r="M4" s="3">
        <v>3</v>
      </c>
      <c r="N4" s="38">
        <v>3</v>
      </c>
      <c r="O4" s="38">
        <v>9</v>
      </c>
      <c r="P4" s="36">
        <v>0</v>
      </c>
    </row>
    <row r="5" spans="1:19" x14ac:dyDescent="0.25">
      <c r="A5" s="1" t="s">
        <v>4</v>
      </c>
      <c r="B5" s="34">
        <v>83</v>
      </c>
      <c r="C5" s="36"/>
      <c r="D5" s="92"/>
      <c r="E5" s="91"/>
      <c r="F5" s="91"/>
      <c r="G5" s="91"/>
      <c r="H5" s="91"/>
      <c r="I5" s="91"/>
      <c r="J5" s="91"/>
      <c r="K5" s="91"/>
      <c r="L5" s="91"/>
      <c r="M5" s="3">
        <v>4</v>
      </c>
      <c r="N5" s="38">
        <v>10</v>
      </c>
      <c r="O5" s="38">
        <v>18</v>
      </c>
      <c r="P5" s="36">
        <v>1</v>
      </c>
    </row>
    <row r="6" spans="1:19" x14ac:dyDescent="0.25">
      <c r="A6" s="1" t="s">
        <v>0</v>
      </c>
      <c r="B6" s="34">
        <v>3</v>
      </c>
      <c r="C6" s="36" t="s">
        <v>15</v>
      </c>
      <c r="D6" s="92"/>
      <c r="E6" s="91"/>
      <c r="F6" s="91"/>
      <c r="G6" s="91"/>
      <c r="H6" s="91"/>
      <c r="I6" s="91"/>
      <c r="J6" s="91"/>
      <c r="K6" s="91"/>
      <c r="L6" s="91"/>
      <c r="M6" s="3">
        <v>5</v>
      </c>
      <c r="N6" s="38">
        <v>11</v>
      </c>
      <c r="O6" s="38">
        <v>19</v>
      </c>
      <c r="P6" s="36">
        <v>0</v>
      </c>
    </row>
    <row r="7" spans="1:19" x14ac:dyDescent="0.25">
      <c r="A7" s="1" t="s">
        <v>1</v>
      </c>
      <c r="B7" s="34">
        <v>4</v>
      </c>
      <c r="C7" s="36"/>
      <c r="D7" s="92"/>
      <c r="E7" s="91"/>
      <c r="F7" s="91"/>
      <c r="G7" s="91"/>
      <c r="H7" s="91"/>
      <c r="I7" s="91"/>
      <c r="J7" s="91"/>
      <c r="K7" s="91"/>
      <c r="L7" s="91"/>
      <c r="M7" s="3">
        <v>6</v>
      </c>
      <c r="N7" s="38">
        <v>20</v>
      </c>
      <c r="O7" s="38">
        <v>29</v>
      </c>
      <c r="P7" s="36">
        <v>0</v>
      </c>
    </row>
    <row r="8" spans="1:19" x14ac:dyDescent="0.25">
      <c r="A8" s="1" t="s">
        <v>68</v>
      </c>
      <c r="B8" s="34">
        <v>5</v>
      </c>
      <c r="C8" s="36" t="s">
        <v>15</v>
      </c>
      <c r="D8" s="92"/>
      <c r="E8" s="91"/>
      <c r="F8" s="91"/>
      <c r="G8" s="91"/>
      <c r="H8" s="91"/>
      <c r="I8" s="91"/>
      <c r="J8" s="91"/>
      <c r="K8" s="91"/>
      <c r="L8" s="91"/>
      <c r="M8" s="3">
        <v>7</v>
      </c>
      <c r="N8" s="38">
        <v>30</v>
      </c>
      <c r="O8" s="38">
        <v>39</v>
      </c>
      <c r="P8" s="36">
        <v>0</v>
      </c>
    </row>
    <row r="9" spans="1:19" x14ac:dyDescent="0.25">
      <c r="A9" s="1" t="s">
        <v>69</v>
      </c>
      <c r="B9" s="34">
        <v>2</v>
      </c>
      <c r="C9" s="36" t="s">
        <v>15</v>
      </c>
      <c r="D9" s="92"/>
      <c r="E9" s="91"/>
      <c r="F9" s="91"/>
      <c r="G9" s="91"/>
      <c r="H9" s="91"/>
      <c r="I9" s="91"/>
      <c r="J9" s="91"/>
      <c r="K9" s="91"/>
      <c r="L9" s="93"/>
    </row>
    <row r="10" spans="1:19" x14ac:dyDescent="0.25">
      <c r="B10" s="96" t="s">
        <v>98</v>
      </c>
      <c r="C10" s="97"/>
      <c r="D10" s="92"/>
      <c r="E10" s="91"/>
      <c r="F10" s="91"/>
      <c r="G10" s="91"/>
      <c r="H10" s="91"/>
      <c r="I10" s="91"/>
      <c r="J10" s="91"/>
      <c r="K10" s="91"/>
      <c r="L10" s="93"/>
      <c r="N10" s="98" t="s">
        <v>99</v>
      </c>
      <c r="O10" s="98"/>
    </row>
    <row r="11" spans="1:19" x14ac:dyDescent="0.25">
      <c r="B11" s="34">
        <v>21</v>
      </c>
      <c r="C11" s="34">
        <v>8</v>
      </c>
      <c r="D11" s="92"/>
      <c r="E11" s="91"/>
      <c r="F11" s="91"/>
      <c r="G11" s="91"/>
      <c r="H11" s="91"/>
      <c r="I11" s="91"/>
      <c r="J11" s="91"/>
      <c r="K11" s="91"/>
      <c r="L11" s="91"/>
      <c r="M11" s="34">
        <v>16</v>
      </c>
      <c r="N11" s="34"/>
      <c r="O11" s="34"/>
      <c r="P11" s="34"/>
    </row>
    <row r="12" spans="1:19" x14ac:dyDescent="0.25">
      <c r="B12" s="34">
        <v>22</v>
      </c>
      <c r="C12" s="34">
        <v>18</v>
      </c>
      <c r="D12" s="92"/>
      <c r="E12" s="91"/>
      <c r="F12" s="91"/>
      <c r="G12" s="91"/>
      <c r="H12" s="91"/>
      <c r="I12" s="91"/>
      <c r="J12" s="91"/>
      <c r="K12" s="91"/>
      <c r="L12" s="91"/>
      <c r="M12" s="34">
        <v>30</v>
      </c>
      <c r="N12" s="34"/>
      <c r="O12" s="34"/>
      <c r="P12" s="34"/>
    </row>
    <row r="13" spans="1:19" ht="15.75" thickBot="1" x14ac:dyDescent="0.3">
      <c r="B13" s="34">
        <v>25</v>
      </c>
      <c r="C13" s="34">
        <v>29</v>
      </c>
      <c r="D13" s="94"/>
      <c r="E13" s="95"/>
      <c r="F13" s="95"/>
      <c r="G13" s="95"/>
      <c r="H13" s="95"/>
      <c r="I13" s="95"/>
      <c r="J13" s="95"/>
      <c r="K13" s="95"/>
      <c r="L13" s="95"/>
      <c r="M13" s="34">
        <v>33</v>
      </c>
      <c r="N13" s="34"/>
      <c r="O13" s="34"/>
      <c r="P13" s="34"/>
    </row>
    <row r="14" spans="1:19" x14ac:dyDescent="0.25">
      <c r="B14" s="34">
        <v>27</v>
      </c>
      <c r="C14" s="34"/>
      <c r="E14" s="37">
        <f>COUNTIF(B11:C20,"&gt;0")</f>
        <v>10</v>
      </c>
      <c r="F14" s="36">
        <f>(9*F2)-((F2-1)*(F2))/2</f>
        <v>24</v>
      </c>
      <c r="G14" s="36">
        <f>(19*G2)-((G2-1)*(G2))/2</f>
        <v>37</v>
      </c>
      <c r="H14" s="36">
        <f>(29*H2)-((H2-1)*(H2))/2</f>
        <v>29</v>
      </c>
      <c r="I14" s="36">
        <f>(39*I2)-((I2-1)*(I2))/2</f>
        <v>39</v>
      </c>
      <c r="J14" s="36">
        <f>(49*J2)-((J2-1)*(J2))/2</f>
        <v>0</v>
      </c>
      <c r="M14" s="34">
        <v>37</v>
      </c>
      <c r="N14" s="34"/>
      <c r="O14" s="34"/>
      <c r="P14" s="34"/>
    </row>
    <row r="15" spans="1:19" x14ac:dyDescent="0.25">
      <c r="B15" s="34">
        <v>32</v>
      </c>
      <c r="C15" s="34"/>
      <c r="E15" s="36">
        <f>_xlfn.MODE.SNGL(B11:C20,E16,E17)</f>
        <v>0</v>
      </c>
      <c r="F15" s="36">
        <f>((1*F2)+((F2-1)*(F2))/2)</f>
        <v>6</v>
      </c>
      <c r="G15" s="36">
        <f>((10*G2)+((G2-1)*(G2))/2)</f>
        <v>21</v>
      </c>
      <c r="H15" s="36">
        <f>((20*H2)+((H2-1)*(H2))/2)</f>
        <v>20</v>
      </c>
      <c r="I15" s="36">
        <f>((30*I2)+((I2-1)*(I2))/2)</f>
        <v>30</v>
      </c>
      <c r="J15" s="36">
        <f>((40*J2)+((J2-1)*(J2))/2)</f>
        <v>0</v>
      </c>
      <c r="M15" s="34">
        <v>43</v>
      </c>
      <c r="N15" s="34"/>
      <c r="O15" s="34"/>
      <c r="P15" s="34"/>
    </row>
    <row r="16" spans="1:19" x14ac:dyDescent="0.25">
      <c r="B16" s="34">
        <v>39</v>
      </c>
      <c r="C16" s="34"/>
      <c r="E16" s="36">
        <v>0</v>
      </c>
      <c r="F16" s="36">
        <f>(PERMUT(9,(9-F2))/(FACT(9-F2)))</f>
        <v>84</v>
      </c>
      <c r="G16" s="36">
        <f>(PERMUT(10,(10-G2))/(FACT(10-G2)))</f>
        <v>45</v>
      </c>
      <c r="H16" s="36">
        <f>(PERMUT(10,(10-H2))/(FACT(10-H2)))</f>
        <v>10</v>
      </c>
      <c r="I16" s="36">
        <f>(PERMUT(10,(10-I2))/(FACT(10-I2)))</f>
        <v>10</v>
      </c>
      <c r="J16" s="36">
        <f>(PERMUT(10,(10-J2))/(FACT(10-J2)))</f>
        <v>1</v>
      </c>
      <c r="M16" s="34">
        <v>44</v>
      </c>
      <c r="N16" s="34"/>
      <c r="O16" s="34"/>
      <c r="P16" s="34"/>
    </row>
    <row r="17" spans="1:16" x14ac:dyDescent="0.25">
      <c r="B17" s="34">
        <v>6</v>
      </c>
      <c r="C17" s="34"/>
      <c r="E17" s="36">
        <v>0</v>
      </c>
      <c r="F17" s="36">
        <f>F16*G16*H16*I16*J16</f>
        <v>378000</v>
      </c>
      <c r="G17" s="36"/>
      <c r="H17" s="36"/>
      <c r="I17" s="36"/>
      <c r="J17" s="36"/>
      <c r="M17" s="34">
        <v>45</v>
      </c>
      <c r="N17" s="34"/>
      <c r="O17" s="34"/>
      <c r="P17" s="34"/>
    </row>
    <row r="18" spans="1:16" x14ac:dyDescent="0.25">
      <c r="B18" s="34"/>
      <c r="C18" s="34"/>
      <c r="M18" s="34"/>
      <c r="N18" s="34"/>
      <c r="O18" s="34"/>
      <c r="P18" s="34"/>
    </row>
    <row r="19" spans="1:16" x14ac:dyDescent="0.25">
      <c r="B19" s="34"/>
      <c r="C19" s="34"/>
      <c r="M19" s="34"/>
      <c r="N19" s="34"/>
      <c r="O19" s="34"/>
      <c r="P19" s="34"/>
    </row>
    <row r="20" spans="1:16" x14ac:dyDescent="0.25">
      <c r="B20" s="34"/>
      <c r="C20" s="34"/>
      <c r="M20" s="34"/>
      <c r="N20" s="34"/>
      <c r="O20" s="34"/>
      <c r="P20" s="34"/>
    </row>
    <row r="21" spans="1:16" x14ac:dyDescent="0.25">
      <c r="A21" s="1" t="s">
        <v>2</v>
      </c>
      <c r="B21" s="34">
        <v>2</v>
      </c>
      <c r="C21" s="36" t="s">
        <v>118</v>
      </c>
      <c r="J21" s="1" t="s">
        <v>65</v>
      </c>
    </row>
  </sheetData>
  <sheetProtection algorithmName="SHA-512" hashValue="CoGHh2jpqFKE3+8N6d4uVvA6U0E36+s9iMXtv/nuSwFtneyBwPz0XOGx0PUqRKcLIvXDuoDn+bF80q/LqNjr+w==" saltValue="z+KOT7iaPFKzMWbM0YMO0Q==" spinCount="100000" sheet="1" objects="1" scenarios="1" selectLockedCells="1"/>
  <sortState ref="B11:B20">
    <sortCondition ref="B11"/>
  </sortState>
  <customSheetViews>
    <customSheetView guid="{358E4FB0-3A35-461B-AF3A-74D5EE139742}" hiddenRows="1" hiddenColumns="1">
      <selection activeCell="M20" sqref="M20"/>
      <pageMargins left="0.7" right="0.7" top="0.75" bottom="0.75" header="0.3" footer="0.3"/>
      <pageSetup orientation="portrait" r:id="rId1"/>
    </customSheetView>
  </customSheetViews>
  <mergeCells count="3">
    <mergeCell ref="D3:L13"/>
    <mergeCell ref="B10:C10"/>
    <mergeCell ref="N10:O10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mpute">
                <anchor>
                  <from>
                    <xdr:col>3</xdr:col>
                    <xdr:colOff>219075</xdr:colOff>
                    <xdr:row>13</xdr:row>
                    <xdr:rowOff>9525</xdr:rowOff>
                  </from>
                  <to>
                    <xdr:col>11</xdr:col>
                    <xdr:colOff>152400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Y23"/>
  <sheetViews>
    <sheetView workbookViewId="0">
      <selection activeCell="N25" sqref="N25"/>
    </sheetView>
  </sheetViews>
  <sheetFormatPr defaultRowHeight="15" x14ac:dyDescent="0.25"/>
  <cols>
    <col min="1" max="1" width="3.85546875" style="40" customWidth="1"/>
    <col min="2" max="9" width="4.5703125" style="40" customWidth="1"/>
    <col min="10" max="10" width="9.5703125" style="39" customWidth="1"/>
    <col min="11" max="11" width="3.28515625" style="40" customWidth="1"/>
    <col min="12" max="12" width="8.85546875" style="40" bestFit="1" customWidth="1"/>
    <col min="13" max="13" width="5.28515625" style="40" bestFit="1" customWidth="1"/>
    <col min="14" max="14" width="6.42578125" style="40" bestFit="1" customWidth="1"/>
    <col min="15" max="15" width="5.85546875" style="40" bestFit="1" customWidth="1"/>
    <col min="16" max="16" width="6.5703125" style="40" customWidth="1"/>
    <col min="17" max="18" width="5.28515625" style="40" bestFit="1" customWidth="1"/>
    <col min="19" max="19" width="5" style="40" bestFit="1" customWidth="1"/>
    <col min="20" max="20" width="13.5703125" style="40" customWidth="1"/>
    <col min="21" max="21" width="26.42578125" style="40" customWidth="1"/>
    <col min="22" max="16384" width="9.140625" style="40"/>
  </cols>
  <sheetData>
    <row r="1" spans="10:25" x14ac:dyDescent="0.25">
      <c r="J1" s="39">
        <v>0.14409185273058508</v>
      </c>
      <c r="L1" s="40" t="s">
        <v>78</v>
      </c>
      <c r="M1" s="40" t="s">
        <v>79</v>
      </c>
      <c r="N1" s="40" t="s">
        <v>80</v>
      </c>
      <c r="O1" s="40" t="s">
        <v>81</v>
      </c>
      <c r="P1" s="40" t="s">
        <v>82</v>
      </c>
      <c r="Q1" s="40" t="s">
        <v>83</v>
      </c>
      <c r="R1" s="40" t="s">
        <v>84</v>
      </c>
      <c r="S1" s="40" t="s">
        <v>85</v>
      </c>
      <c r="T1" s="40" t="s">
        <v>86</v>
      </c>
      <c r="U1" s="41" t="s">
        <v>87</v>
      </c>
    </row>
    <row r="2" spans="10:25" ht="15.75" thickBot="1" x14ac:dyDescent="0.3">
      <c r="K2" s="40" t="s">
        <v>120</v>
      </c>
      <c r="L2" s="40">
        <v>1</v>
      </c>
      <c r="M2" s="40">
        <v>2</v>
      </c>
      <c r="N2" s="40">
        <v>3</v>
      </c>
      <c r="O2" s="40">
        <v>10</v>
      </c>
      <c r="P2" s="40">
        <v>11</v>
      </c>
      <c r="Q2" s="40">
        <v>23</v>
      </c>
      <c r="R2" s="40">
        <v>32</v>
      </c>
      <c r="S2" s="40">
        <v>81</v>
      </c>
      <c r="T2" s="42">
        <v>0.14409185273058508</v>
      </c>
      <c r="U2" s="41">
        <v>0</v>
      </c>
    </row>
    <row r="3" spans="10:25" ht="15.75" thickBot="1" x14ac:dyDescent="0.3">
      <c r="T3" s="43" t="s">
        <v>16</v>
      </c>
      <c r="U3" s="44"/>
      <c r="X3" s="105" t="s">
        <v>70</v>
      </c>
      <c r="Y3" s="106"/>
    </row>
    <row r="4" spans="10:25" x14ac:dyDescent="0.25">
      <c r="L4" s="40" t="s">
        <v>0</v>
      </c>
      <c r="M4" s="40" t="s">
        <v>1</v>
      </c>
      <c r="N4" s="40" t="s">
        <v>14</v>
      </c>
      <c r="O4" s="40" t="s">
        <v>24</v>
      </c>
      <c r="P4" s="40" t="s">
        <v>25</v>
      </c>
      <c r="T4" s="45" t="s">
        <v>17</v>
      </c>
      <c r="U4" s="46">
        <v>95</v>
      </c>
      <c r="X4" s="47">
        <v>8</v>
      </c>
      <c r="Y4" s="48"/>
    </row>
    <row r="5" spans="10:25" x14ac:dyDescent="0.25">
      <c r="L5" s="40">
        <v>5</v>
      </c>
      <c r="M5" s="40">
        <v>2</v>
      </c>
      <c r="N5" s="40">
        <v>0</v>
      </c>
      <c r="O5" s="40">
        <v>6</v>
      </c>
      <c r="P5" s="40">
        <v>1</v>
      </c>
      <c r="T5" s="49" t="s">
        <v>18</v>
      </c>
      <c r="U5" s="50">
        <v>83</v>
      </c>
      <c r="X5" s="51">
        <v>16</v>
      </c>
      <c r="Y5" s="52"/>
    </row>
    <row r="6" spans="10:25" x14ac:dyDescent="0.25">
      <c r="L6" s="102" t="s">
        <v>95</v>
      </c>
      <c r="M6" s="102"/>
      <c r="N6" s="40">
        <v>2</v>
      </c>
      <c r="O6" s="41" t="s">
        <v>96</v>
      </c>
      <c r="P6" s="40">
        <v>4</v>
      </c>
      <c r="Q6" s="40" t="s">
        <v>97</v>
      </c>
      <c r="T6" s="49" t="s">
        <v>0</v>
      </c>
      <c r="U6" s="50">
        <v>3</v>
      </c>
      <c r="X6" s="51">
        <v>30</v>
      </c>
      <c r="Y6" s="52"/>
    </row>
    <row r="7" spans="10:25" ht="15.75" thickBot="1" x14ac:dyDescent="0.3">
      <c r="M7" s="40" t="s">
        <v>10</v>
      </c>
      <c r="N7" s="40" t="s">
        <v>11</v>
      </c>
      <c r="O7" s="40" t="s">
        <v>12</v>
      </c>
      <c r="T7" s="49" t="s">
        <v>1</v>
      </c>
      <c r="U7" s="53">
        <v>4</v>
      </c>
      <c r="X7" s="51">
        <v>37</v>
      </c>
      <c r="Y7" s="52"/>
    </row>
    <row r="8" spans="10:25" ht="15.75" thickBot="1" x14ac:dyDescent="0.3">
      <c r="M8" s="40" t="s">
        <v>88</v>
      </c>
      <c r="N8" s="40">
        <v>1</v>
      </c>
      <c r="O8" s="40">
        <v>7</v>
      </c>
      <c r="T8" s="54"/>
      <c r="U8" s="55" t="s">
        <v>72</v>
      </c>
      <c r="V8" s="107" t="s">
        <v>71</v>
      </c>
      <c r="W8" s="108"/>
      <c r="X8" s="51">
        <v>44</v>
      </c>
      <c r="Y8" s="52"/>
    </row>
    <row r="9" spans="10:25" x14ac:dyDescent="0.25">
      <c r="M9" s="40" t="s">
        <v>89</v>
      </c>
      <c r="N9" s="40">
        <v>2</v>
      </c>
      <c r="O9" s="40">
        <v>8</v>
      </c>
      <c r="T9" s="54" t="s">
        <v>73</v>
      </c>
      <c r="U9" s="56">
        <v>3</v>
      </c>
      <c r="V9" s="57">
        <v>21</v>
      </c>
      <c r="W9" s="58"/>
      <c r="X9" s="51"/>
      <c r="Y9" s="52"/>
    </row>
    <row r="10" spans="10:25" x14ac:dyDescent="0.25">
      <c r="M10" s="40" t="s">
        <v>90</v>
      </c>
      <c r="N10" s="40">
        <v>3</v>
      </c>
      <c r="O10" s="40">
        <v>9</v>
      </c>
      <c r="T10" s="54" t="s">
        <v>6</v>
      </c>
      <c r="U10" s="56">
        <v>2</v>
      </c>
      <c r="V10" s="59">
        <v>22</v>
      </c>
      <c r="W10" s="60"/>
      <c r="X10" s="51"/>
      <c r="Y10" s="52"/>
    </row>
    <row r="11" spans="10:25" x14ac:dyDescent="0.25">
      <c r="M11" s="40" t="s">
        <v>91</v>
      </c>
      <c r="N11" s="40">
        <v>10</v>
      </c>
      <c r="O11" s="40">
        <v>18</v>
      </c>
      <c r="T11" s="54" t="s">
        <v>7</v>
      </c>
      <c r="U11" s="56">
        <v>1</v>
      </c>
      <c r="V11" s="59">
        <v>25</v>
      </c>
      <c r="W11" s="60"/>
      <c r="X11" s="51"/>
      <c r="Y11" s="52"/>
    </row>
    <row r="12" spans="10:25" x14ac:dyDescent="0.25">
      <c r="M12" s="40" t="s">
        <v>92</v>
      </c>
      <c r="N12" s="40">
        <v>11</v>
      </c>
      <c r="O12" s="40">
        <v>19</v>
      </c>
      <c r="T12" s="54" t="s">
        <v>8</v>
      </c>
      <c r="U12" s="56">
        <v>1</v>
      </c>
      <c r="V12" s="59">
        <v>27</v>
      </c>
      <c r="W12" s="60"/>
      <c r="X12" s="51"/>
      <c r="Y12" s="52"/>
    </row>
    <row r="13" spans="10:25" x14ac:dyDescent="0.25">
      <c r="M13" s="40" t="s">
        <v>93</v>
      </c>
      <c r="N13" s="40">
        <v>23</v>
      </c>
      <c r="O13" s="40">
        <v>29</v>
      </c>
      <c r="T13" s="54" t="s">
        <v>9</v>
      </c>
      <c r="U13" s="56">
        <v>0</v>
      </c>
      <c r="V13" s="59">
        <v>32</v>
      </c>
      <c r="W13" s="60"/>
      <c r="X13" s="51"/>
      <c r="Y13" s="52"/>
    </row>
    <row r="14" spans="10:25" x14ac:dyDescent="0.25">
      <c r="M14" s="40" t="s">
        <v>94</v>
      </c>
      <c r="N14" s="40">
        <v>32</v>
      </c>
      <c r="O14" s="40">
        <v>39</v>
      </c>
      <c r="T14" s="54" t="s">
        <v>74</v>
      </c>
      <c r="U14" s="56">
        <v>129</v>
      </c>
      <c r="V14" s="59">
        <v>39</v>
      </c>
      <c r="W14" s="60"/>
      <c r="X14" s="51"/>
      <c r="Y14" s="52"/>
    </row>
    <row r="15" spans="10:25" x14ac:dyDescent="0.25">
      <c r="T15" s="54" t="s">
        <v>75</v>
      </c>
      <c r="U15" s="56">
        <v>77</v>
      </c>
      <c r="V15" s="59">
        <v>6</v>
      </c>
      <c r="W15" s="60"/>
      <c r="X15" s="51"/>
      <c r="Y15" s="52"/>
    </row>
    <row r="16" spans="10:25" ht="15.75" thickBot="1" x14ac:dyDescent="0.3">
      <c r="T16" s="54" t="s">
        <v>76</v>
      </c>
      <c r="U16" s="61">
        <v>378000</v>
      </c>
      <c r="V16" s="59"/>
      <c r="W16" s="60"/>
      <c r="X16" s="51"/>
      <c r="Y16" s="52"/>
    </row>
    <row r="17" spans="10:25" ht="15.75" thickBot="1" x14ac:dyDescent="0.3">
      <c r="L17" s="62" t="s">
        <v>86</v>
      </c>
      <c r="M17" s="63"/>
      <c r="N17" s="64"/>
      <c r="O17" s="64"/>
      <c r="P17" s="64"/>
      <c r="Q17" s="65"/>
      <c r="R17" s="103"/>
      <c r="S17" s="104"/>
      <c r="T17" s="54"/>
      <c r="U17" s="66"/>
      <c r="V17" s="59"/>
      <c r="W17" s="60"/>
      <c r="X17" s="51"/>
      <c r="Y17" s="52"/>
    </row>
    <row r="18" spans="10:25" ht="15.75" thickBot="1" x14ac:dyDescent="0.3">
      <c r="J18" s="67"/>
      <c r="L18" s="40" t="s">
        <v>11</v>
      </c>
      <c r="M18" s="109">
        <f ca="1">NOW()</f>
        <v>42776.083002546293</v>
      </c>
      <c r="N18" s="109"/>
      <c r="O18" s="109"/>
      <c r="P18" s="109"/>
      <c r="Q18" s="109"/>
      <c r="R18" s="109"/>
      <c r="S18" s="110"/>
      <c r="T18" s="49" t="s">
        <v>14</v>
      </c>
      <c r="U18" s="68">
        <v>2</v>
      </c>
      <c r="V18" s="69"/>
      <c r="W18" s="70"/>
      <c r="X18" s="51"/>
      <c r="Y18" s="52"/>
    </row>
    <row r="19" spans="10:25" x14ac:dyDescent="0.25">
      <c r="J19" s="67"/>
      <c r="L19" s="40" t="s">
        <v>100</v>
      </c>
      <c r="M19" s="100">
        <v>42766.580323148148</v>
      </c>
      <c r="N19" s="100"/>
      <c r="O19" s="100"/>
      <c r="P19" s="100"/>
      <c r="Q19" s="100"/>
      <c r="R19" s="100"/>
      <c r="S19" s="101"/>
      <c r="T19" s="49" t="s">
        <v>24</v>
      </c>
      <c r="U19" s="50">
        <v>5</v>
      </c>
      <c r="X19" s="51"/>
      <c r="Y19" s="52"/>
    </row>
    <row r="20" spans="10:25" ht="15.75" thickBot="1" x14ac:dyDescent="0.3">
      <c r="L20" s="40" t="s">
        <v>77</v>
      </c>
      <c r="M20" s="100"/>
      <c r="N20" s="100"/>
      <c r="O20" s="100"/>
      <c r="P20" s="100"/>
      <c r="Q20" s="100"/>
      <c r="R20" s="100"/>
      <c r="S20" s="101"/>
      <c r="T20" s="71" t="s">
        <v>25</v>
      </c>
      <c r="U20" s="72">
        <v>2</v>
      </c>
      <c r="X20" s="51"/>
      <c r="Y20" s="52"/>
    </row>
    <row r="21" spans="10:25" x14ac:dyDescent="0.25">
      <c r="M21" s="73"/>
      <c r="N21" s="73"/>
      <c r="O21" s="74"/>
      <c r="P21" s="111"/>
      <c r="Q21" s="111"/>
      <c r="R21" s="111"/>
      <c r="S21" s="112"/>
      <c r="X21" s="51"/>
      <c r="Y21" s="52"/>
    </row>
    <row r="22" spans="10:25" x14ac:dyDescent="0.25">
      <c r="M22" s="41"/>
      <c r="N22" s="75"/>
      <c r="O22" s="41"/>
      <c r="Q22" s="99"/>
      <c r="R22" s="99"/>
      <c r="S22" s="99"/>
      <c r="X22" s="51"/>
      <c r="Y22" s="52"/>
    </row>
    <row r="23" spans="10:25" ht="15.75" thickBot="1" x14ac:dyDescent="0.3">
      <c r="Q23" s="99"/>
      <c r="R23" s="99"/>
      <c r="S23" s="99"/>
      <c r="X23" s="76"/>
      <c r="Y23" s="77"/>
    </row>
  </sheetData>
  <sheetProtection algorithmName="SHA-512" hashValue="i7eh0UBt/E05TZVOWvG9R92CGjEPuhoi1ceZcdSAkXPjbhugkhyx31CXgNvLjL3nX7R0AaLAzV8Vca41UCLUJA==" saltValue="gJOdOriYYeudE55vxbQFYg==" spinCount="100000" sheet="1" objects="1" scenarios="1" formatCells="0"/>
  <customSheetViews>
    <customSheetView guid="{358E4FB0-3A35-461B-AF3A-74D5EE139742}">
      <selection activeCell="L22" sqref="L22"/>
      <pageMargins left="0.7" right="0.7" top="0.75" bottom="0.75" header="0.3" footer="0.3"/>
      <pageSetup orientation="portrait" r:id="rId1"/>
    </customSheetView>
  </customSheetViews>
  <mergeCells count="10">
    <mergeCell ref="X3:Y3"/>
    <mergeCell ref="V8:W8"/>
    <mergeCell ref="M18:S18"/>
    <mergeCell ref="M20:S20"/>
    <mergeCell ref="P21:S21"/>
    <mergeCell ref="Q23:S23"/>
    <mergeCell ref="Q22:S22"/>
    <mergeCell ref="M19:S19"/>
    <mergeCell ref="L6:M6"/>
    <mergeCell ref="R17:S17"/>
  </mergeCell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Coverpage</vt:lpstr>
      <vt:lpstr>Introduction</vt:lpstr>
      <vt:lpstr>Instructions Manual</vt:lpstr>
      <vt:lpstr>Main</vt:lpstr>
      <vt:lpstr>Data</vt:lpstr>
      <vt:lpstr>Data!Print_Area</vt:lpstr>
    </vt:vector>
  </TitlesOfParts>
  <Company>Lenovo (Beijing)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remy lim</cp:lastModifiedBy>
  <cp:lastPrinted>2015-04-05T03:02:09Z</cp:lastPrinted>
  <dcterms:created xsi:type="dcterms:W3CDTF">2015-04-04T02:51:06Z</dcterms:created>
  <dcterms:modified xsi:type="dcterms:W3CDTF">2017-02-09T18:00:54Z</dcterms:modified>
</cp:coreProperties>
</file>