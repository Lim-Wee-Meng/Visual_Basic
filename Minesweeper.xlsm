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16815" windowHeight="8910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AB13" i="1" l="1"/>
  <c r="AQ4" i="1"/>
  <c r="W4" i="1" s="1"/>
  <c r="AR4" i="1"/>
  <c r="X4" i="1" s="1"/>
  <c r="AS4" i="1"/>
  <c r="Y4" i="1" s="1"/>
  <c r="AT4" i="1"/>
  <c r="Z4" i="1" s="1"/>
  <c r="AU4" i="1"/>
  <c r="AA4" i="1" s="1"/>
  <c r="AV4" i="1"/>
  <c r="AB4" i="1" s="1"/>
  <c r="AW4" i="1"/>
  <c r="AC4" i="1" s="1"/>
  <c r="AX4" i="1"/>
  <c r="AD4" i="1" s="1"/>
  <c r="AY4" i="1"/>
  <c r="AE4" i="1" s="1"/>
  <c r="AQ5" i="1"/>
  <c r="W5" i="1" s="1"/>
  <c r="AR5" i="1"/>
  <c r="X5" i="1" s="1"/>
  <c r="AS5" i="1"/>
  <c r="Y5" i="1" s="1"/>
  <c r="AT5" i="1"/>
  <c r="Z5" i="1" s="1"/>
  <c r="AU5" i="1"/>
  <c r="AA5" i="1" s="1"/>
  <c r="AV5" i="1"/>
  <c r="AB5" i="1" s="1"/>
  <c r="AW5" i="1"/>
  <c r="AC5" i="1" s="1"/>
  <c r="AX5" i="1"/>
  <c r="AD5" i="1" s="1"/>
  <c r="AY5" i="1"/>
  <c r="AE5" i="1" s="1"/>
  <c r="AQ6" i="1"/>
  <c r="W6" i="1" s="1"/>
  <c r="AR6" i="1"/>
  <c r="X6" i="1" s="1"/>
  <c r="AS6" i="1"/>
  <c r="Y6" i="1" s="1"/>
  <c r="AT6" i="1"/>
  <c r="Z6" i="1" s="1"/>
  <c r="AU6" i="1"/>
  <c r="AA6" i="1" s="1"/>
  <c r="AV6" i="1"/>
  <c r="AB6" i="1" s="1"/>
  <c r="AW6" i="1"/>
  <c r="AC6" i="1" s="1"/>
  <c r="AX6" i="1"/>
  <c r="AD6" i="1" s="1"/>
  <c r="AY6" i="1"/>
  <c r="AE6" i="1" s="1"/>
  <c r="AQ7" i="1"/>
  <c r="W7" i="1" s="1"/>
  <c r="AR7" i="1"/>
  <c r="X7" i="1" s="1"/>
  <c r="AS7" i="1"/>
  <c r="Y7" i="1" s="1"/>
  <c r="AT7" i="1"/>
  <c r="Z7" i="1" s="1"/>
  <c r="AU7" i="1"/>
  <c r="AA7" i="1" s="1"/>
  <c r="AV7" i="1"/>
  <c r="AB7" i="1" s="1"/>
  <c r="AW7" i="1"/>
  <c r="AC7" i="1" s="1"/>
  <c r="AX7" i="1"/>
  <c r="AD7" i="1" s="1"/>
  <c r="AY7" i="1"/>
  <c r="AE7" i="1" s="1"/>
  <c r="AQ8" i="1"/>
  <c r="W8" i="1" s="1"/>
  <c r="AR8" i="1"/>
  <c r="X8" i="1" s="1"/>
  <c r="AS8" i="1"/>
  <c r="Y8" i="1" s="1"/>
  <c r="AT8" i="1"/>
  <c r="Z8" i="1" s="1"/>
  <c r="AU8" i="1"/>
  <c r="AA8" i="1" s="1"/>
  <c r="AV8" i="1"/>
  <c r="AB8" i="1" s="1"/>
  <c r="AW8" i="1"/>
  <c r="AC8" i="1" s="1"/>
  <c r="AX8" i="1"/>
  <c r="AD8" i="1" s="1"/>
  <c r="AY8" i="1"/>
  <c r="AE8" i="1" s="1"/>
  <c r="AQ9" i="1"/>
  <c r="W9" i="1" s="1"/>
  <c r="AR9" i="1"/>
  <c r="X9" i="1" s="1"/>
  <c r="AS9" i="1"/>
  <c r="Y9" i="1" s="1"/>
  <c r="AT9" i="1"/>
  <c r="Z9" i="1" s="1"/>
  <c r="AU9" i="1"/>
  <c r="AA9" i="1" s="1"/>
  <c r="AV9" i="1"/>
  <c r="AB9" i="1" s="1"/>
  <c r="AW9" i="1"/>
  <c r="AC9" i="1" s="1"/>
  <c r="AX9" i="1"/>
  <c r="AD9" i="1" s="1"/>
  <c r="AY9" i="1"/>
  <c r="AE9" i="1" s="1"/>
  <c r="AQ10" i="1"/>
  <c r="W10" i="1" s="1"/>
  <c r="AR10" i="1"/>
  <c r="X10" i="1" s="1"/>
  <c r="AS10" i="1"/>
  <c r="Y10" i="1" s="1"/>
  <c r="AT10" i="1"/>
  <c r="Z10" i="1" s="1"/>
  <c r="AU10" i="1"/>
  <c r="AA10" i="1" s="1"/>
  <c r="AV10" i="1"/>
  <c r="AB10" i="1" s="1"/>
  <c r="AW10" i="1"/>
  <c r="AC10" i="1" s="1"/>
  <c r="AX10" i="1"/>
  <c r="AD10" i="1" s="1"/>
  <c r="AY10" i="1"/>
  <c r="AE10" i="1" s="1"/>
  <c r="AQ11" i="1"/>
  <c r="W11" i="1" s="1"/>
  <c r="AR11" i="1"/>
  <c r="X11" i="1" s="1"/>
  <c r="AS11" i="1"/>
  <c r="Y11" i="1" s="1"/>
  <c r="AT11" i="1"/>
  <c r="Z11" i="1" s="1"/>
  <c r="AU11" i="1"/>
  <c r="AA11" i="1" s="1"/>
  <c r="AV11" i="1"/>
  <c r="AB11" i="1" s="1"/>
  <c r="AW11" i="1"/>
  <c r="AC11" i="1" s="1"/>
  <c r="AX11" i="1"/>
  <c r="AD11" i="1" s="1"/>
  <c r="AY11" i="1"/>
  <c r="AE11" i="1" s="1"/>
  <c r="AR3" i="1"/>
  <c r="X3" i="1" s="1"/>
  <c r="AS3" i="1"/>
  <c r="Y3" i="1" s="1"/>
  <c r="AT3" i="1"/>
  <c r="Z3" i="1" s="1"/>
  <c r="AU3" i="1"/>
  <c r="AA3" i="1" s="1"/>
  <c r="AV3" i="1"/>
  <c r="AB3" i="1" s="1"/>
  <c r="AW3" i="1"/>
  <c r="AC3" i="1" s="1"/>
  <c r="AX3" i="1"/>
  <c r="AD3" i="1" s="1"/>
  <c r="AY3" i="1"/>
  <c r="AE3" i="1" s="1"/>
  <c r="AQ3" i="1"/>
  <c r="W3" i="1" s="1"/>
  <c r="G1" i="1" l="1"/>
</calcChain>
</file>

<file path=xl/sharedStrings.xml><?xml version="1.0" encoding="utf-8"?>
<sst xmlns="http://schemas.openxmlformats.org/spreadsheetml/2006/main" count="54" uniqueCount="11">
  <si>
    <t>M</t>
  </si>
  <si>
    <t/>
  </si>
  <si>
    <t>Minesweeper Programmed By Remy Lim 2017</t>
  </si>
  <si>
    <t>Easy</t>
  </si>
  <si>
    <t>Medium</t>
  </si>
  <si>
    <t>Hard</t>
  </si>
  <si>
    <t>COUNTDOWN</t>
  </si>
  <si>
    <t>Mark Mines</t>
  </si>
  <si>
    <t>START TIME</t>
  </si>
  <si>
    <t>Time Taken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</si>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</sst>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5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1"/>
      <name val="Wingdings"/>
      <charset val="2"/>
    </font>
    <font>
      <sz val="24"/>
      <color theme="1"/>
      <name val="Wingdings"/>
      <charset val="2"/>
    </font>
    <font>
      <sz val="24"/>
      <color theme="1"/>
      <name val="Calibri"/>
      <family val="2"/>
    </font>
    <font>
      <sz val="2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2" borderId="0" xfId="0" applyFont="1" applyFill="1"/>
    <xf numFmtId="0" fontId="2" fillId="2" borderId="0" xfId="0" applyFont="1" applyFill="1"/>
    <xf numFmtId="0" fontId="6" fillId="3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top"/>
    </xf>
    <xf numFmtId="0" fontId="9" fillId="2" borderId="12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right" vertical="center"/>
    </xf>
    <xf numFmtId="0" fontId="8" fillId="2" borderId="12" xfId="0" applyFont="1" applyFill="1" applyBorder="1" applyAlignment="1">
      <alignment horizontal="right" vertical="center"/>
    </xf>
    <xf numFmtId="0" fontId="8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center" vertical="center"/>
    </xf>
    <xf numFmtId="22" fontId="11" fillId="2" borderId="12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22" fontId="0" fillId="2" borderId="0" xfId="0" applyNumberFormat="1" applyFill="1"/>
    <xf numFmtId="0" fontId="13" fillId="2" borderId="1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65" fontId="0" fillId="2" borderId="0" xfId="0" applyNumberFormat="1" applyFill="1"/>
    <xf numFmtId="0" fontId="0" fillId="2" borderId="0" xfId="1" applyNumberFormat="1" applyFont="1" applyFill="1"/>
    <xf numFmtId="165" fontId="15" fillId="2" borderId="11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top"/>
    </xf>
  </cellXfs>
  <cellStyles count="2">
    <cellStyle name="Comma" xfId="1" builtinId="3"/>
    <cellStyle name="Normal" xfId="0" builtinId="0"/>
  </cellStyles>
  <dxfs count="9">
    <dxf>
      <font>
        <b/>
        <i val="0"/>
        <color theme="0"/>
      </font>
      <fill>
        <patternFill>
          <bgColor rgb="FFFF0000"/>
        </patternFill>
      </fill>
    </dxf>
    <dxf>
      <font>
        <color theme="4"/>
      </font>
    </dxf>
    <dxf>
      <font>
        <color rgb="FF00B050"/>
      </font>
    </dxf>
    <dxf>
      <font>
        <color rgb="FFFF0000"/>
      </font>
    </dxf>
    <dxf>
      <font>
        <color theme="8" tint="-0.24994659260841701"/>
      </font>
    </dxf>
    <dxf>
      <font>
        <color rgb="FFC00000"/>
      </font>
    </dxf>
    <dxf>
      <font>
        <color rgb="FF00B0F0"/>
      </font>
    </dxf>
    <dxf>
      <font>
        <color theme="1"/>
      </font>
    </dxf>
    <dxf>
      <font>
        <color rgb="FF7030A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C1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214044</xdr:colOff>
      <xdr:row>11</xdr:row>
      <xdr:rowOff>278258</xdr:rowOff>
    </xdr:from>
    <xdr:to>
      <xdr:col>13</xdr:col>
      <xdr:colOff>224747</xdr:colOff>
      <xdr:row>14</xdr:row>
      <xdr:rowOff>51270</xdr:rowOff>
    </xdr:to>
    <xdr:pic>
      <xdr:nvPicPr>
        <xdr:cNvPr id="102" name="Picture 1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6924353" y="5458146"/>
          <a:ext cx="1230759" cy="1185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</xdr:colOff>
      <xdr:row>0</xdr:row>
      <xdr:rowOff>27214</xdr:rowOff>
    </xdr:from>
    <xdr:to>
      <xdr:col>3</xdr:col>
      <xdr:colOff>258536</xdr:colOff>
      <xdr:row>1</xdr:row>
      <xdr:rowOff>261937</xdr:rowOff>
    </xdr:to>
    <xdr:sp macro="[0]!Plant_Mines" textlink="">
      <xdr:nvSpPr>
        <xdr:cNvPr id="3" name="Rounded Rectangle 2"/>
        <xdr:cNvSpPr>
          <a:spLocks noChangeAspect="1"/>
        </xdr:cNvSpPr>
      </xdr:nvSpPr>
      <xdr:spPr>
        <a:xfrm>
          <a:off x="1224644" y="27214"/>
          <a:ext cx="870856" cy="697366"/>
        </a:xfrm>
        <a:prstGeom prst="roundRect">
          <a:avLst/>
        </a:prstGeom>
        <a:solidFill>
          <a:schemeClr val="bg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rgbClr val="FFFF00"/>
              </a:solidFill>
              <a:latin typeface="Wingdings" panose="05000000000000000000" pitchFamily="2" charset="2"/>
            </a:rPr>
            <a:t>J</a:t>
          </a:r>
        </a:p>
      </xdr:txBody>
    </xdr:sp>
    <xdr:clientData/>
  </xdr:twoCellAnchor>
  <xdr:twoCellAnchor>
    <xdr:from>
      <xdr:col>4</xdr:col>
      <xdr:colOff>12684</xdr:colOff>
      <xdr:row>0</xdr:row>
      <xdr:rowOff>0</xdr:rowOff>
    </xdr:from>
    <xdr:to>
      <xdr:col>5</xdr:col>
      <xdr:colOff>654844</xdr:colOff>
      <xdr:row>1</xdr:row>
      <xdr:rowOff>36974</xdr:rowOff>
    </xdr:to>
    <xdr:grpSp>
      <xdr:nvGrpSpPr>
        <xdr:cNvPr id="5" name="Group 4"/>
        <xdr:cNvGrpSpPr/>
      </xdr:nvGrpSpPr>
      <xdr:grpSpPr>
        <a:xfrm>
          <a:off x="2461970" y="0"/>
          <a:ext cx="1206856" cy="499617"/>
          <a:chOff x="2520286" y="0"/>
          <a:chExt cx="1312798" cy="532663"/>
        </a:xfrm>
      </xdr:grpSpPr>
      <xdr:sp macro="" textlink="">
        <xdr:nvSpPr>
          <xdr:cNvPr id="4" name="Trapezoid 3"/>
          <xdr:cNvSpPr/>
        </xdr:nvSpPr>
        <xdr:spPr>
          <a:xfrm>
            <a:off x="2520761" y="451185"/>
            <a:ext cx="1312322" cy="81478"/>
          </a:xfrm>
          <a:prstGeom prst="trapezoid">
            <a:avLst>
              <a:gd name="adj" fmla="val 59482"/>
            </a:avLst>
          </a:prstGeom>
          <a:solidFill>
            <a:schemeClr val="bg1">
              <a:lumMod val="85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Trapezoid 9"/>
          <xdr:cNvSpPr/>
        </xdr:nvSpPr>
        <xdr:spPr>
          <a:xfrm flipH="1" flipV="1">
            <a:off x="2529033" y="9400"/>
            <a:ext cx="1285251" cy="72064"/>
          </a:xfrm>
          <a:prstGeom prst="trapezoid">
            <a:avLst>
              <a:gd name="adj" fmla="val 47450"/>
            </a:avLst>
          </a:prstGeom>
          <a:solidFill>
            <a:schemeClr val="bg1">
              <a:lumMod val="65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rapezoid 10"/>
          <xdr:cNvSpPr/>
        </xdr:nvSpPr>
        <xdr:spPr>
          <a:xfrm rot="5400000" flipH="1" flipV="1">
            <a:off x="3546714" y="240651"/>
            <a:ext cx="527022" cy="45719"/>
          </a:xfrm>
          <a:prstGeom prst="trapezoid">
            <a:avLst>
              <a:gd name="adj" fmla="val 162904"/>
            </a:avLst>
          </a:prstGeom>
          <a:solidFill>
            <a:schemeClr val="bg2"/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rapezoid 11"/>
          <xdr:cNvSpPr/>
        </xdr:nvSpPr>
        <xdr:spPr>
          <a:xfrm rot="16200000" flipV="1">
            <a:off x="2279635" y="240651"/>
            <a:ext cx="527022" cy="45719"/>
          </a:xfrm>
          <a:prstGeom prst="trapezoid">
            <a:avLst>
              <a:gd name="adj" fmla="val 162904"/>
            </a:avLst>
          </a:prstGeom>
          <a:solidFill>
            <a:schemeClr val="bg1">
              <a:lumMod val="65000"/>
            </a:schemeClr>
          </a:solidFill>
          <a:ln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458470</xdr:rowOff>
        </xdr:from>
        <xdr:to>
          <xdr:col>2</xdr:col>
          <xdr:colOff>606878</xdr:colOff>
          <xdr:row>3</xdr:row>
          <xdr:rowOff>3991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458470</xdr:rowOff>
        </xdr:from>
        <xdr:to>
          <xdr:col>3</xdr:col>
          <xdr:colOff>606879</xdr:colOff>
          <xdr:row>3</xdr:row>
          <xdr:rowOff>3991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458470</xdr:rowOff>
        </xdr:from>
        <xdr:to>
          <xdr:col>4</xdr:col>
          <xdr:colOff>606878</xdr:colOff>
          <xdr:row>3</xdr:row>
          <xdr:rowOff>3991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458470</xdr:rowOff>
        </xdr:from>
        <xdr:to>
          <xdr:col>5</xdr:col>
          <xdr:colOff>606879</xdr:colOff>
          <xdr:row>3</xdr:row>
          <xdr:rowOff>3991</xdr:rowOff>
        </xdr:to>
        <xdr:sp macro="" textlink="">
          <xdr:nvSpPr>
            <xdr:cNvPr id="1035" name="CommandButton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458470</xdr:rowOff>
        </xdr:from>
        <xdr:to>
          <xdr:col>6</xdr:col>
          <xdr:colOff>606878</xdr:colOff>
          <xdr:row>3</xdr:row>
          <xdr:rowOff>3991</xdr:rowOff>
        </xdr:to>
        <xdr:sp macro="" textlink="">
          <xdr:nvSpPr>
            <xdr:cNvPr id="1036" name="CommandButton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458470</xdr:rowOff>
        </xdr:from>
        <xdr:to>
          <xdr:col>7</xdr:col>
          <xdr:colOff>606879</xdr:colOff>
          <xdr:row>3</xdr:row>
          <xdr:rowOff>3991</xdr:rowOff>
        </xdr:to>
        <xdr:sp macro="" textlink="">
          <xdr:nvSpPr>
            <xdr:cNvPr id="1037" name="CommandButton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458470</xdr:rowOff>
        </xdr:from>
        <xdr:to>
          <xdr:col>8</xdr:col>
          <xdr:colOff>606879</xdr:colOff>
          <xdr:row>3</xdr:row>
          <xdr:rowOff>3991</xdr:rowOff>
        </xdr:to>
        <xdr:sp macro="" textlink="">
          <xdr:nvSpPr>
            <xdr:cNvPr id="1038" name="CommandButton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458470</xdr:rowOff>
        </xdr:from>
        <xdr:to>
          <xdr:col>9</xdr:col>
          <xdr:colOff>606878</xdr:colOff>
          <xdr:row>3</xdr:row>
          <xdr:rowOff>3991</xdr:rowOff>
        </xdr:to>
        <xdr:sp macro="" textlink="">
          <xdr:nvSpPr>
            <xdr:cNvPr id="1039" name="CommandButton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458470</xdr:rowOff>
        </xdr:from>
        <xdr:to>
          <xdr:col>10</xdr:col>
          <xdr:colOff>606879</xdr:colOff>
          <xdr:row>3</xdr:row>
          <xdr:rowOff>3991</xdr:rowOff>
        </xdr:to>
        <xdr:sp macro="" textlink="">
          <xdr:nvSpPr>
            <xdr:cNvPr id="1040" name="CommandButton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459740</xdr:rowOff>
        </xdr:from>
        <xdr:to>
          <xdr:col>2</xdr:col>
          <xdr:colOff>606878</xdr:colOff>
          <xdr:row>3</xdr:row>
          <xdr:rowOff>454298</xdr:rowOff>
        </xdr:to>
        <xdr:sp macro="" textlink="">
          <xdr:nvSpPr>
            <xdr:cNvPr id="1041" name="CommandButton10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459740</xdr:rowOff>
        </xdr:from>
        <xdr:to>
          <xdr:col>3</xdr:col>
          <xdr:colOff>606879</xdr:colOff>
          <xdr:row>3</xdr:row>
          <xdr:rowOff>454298</xdr:rowOff>
        </xdr:to>
        <xdr:sp macro="" textlink="">
          <xdr:nvSpPr>
            <xdr:cNvPr id="1042" name="CommandButton1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459740</xdr:rowOff>
        </xdr:from>
        <xdr:to>
          <xdr:col>4</xdr:col>
          <xdr:colOff>606878</xdr:colOff>
          <xdr:row>3</xdr:row>
          <xdr:rowOff>454298</xdr:rowOff>
        </xdr:to>
        <xdr:sp macro="" textlink="">
          <xdr:nvSpPr>
            <xdr:cNvPr id="1043" name="CommandButton1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459740</xdr:rowOff>
        </xdr:from>
        <xdr:to>
          <xdr:col>5</xdr:col>
          <xdr:colOff>606879</xdr:colOff>
          <xdr:row>3</xdr:row>
          <xdr:rowOff>454298</xdr:rowOff>
        </xdr:to>
        <xdr:sp macro="" textlink="">
          <xdr:nvSpPr>
            <xdr:cNvPr id="1044" name="CommandButton1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459740</xdr:rowOff>
        </xdr:from>
        <xdr:to>
          <xdr:col>6</xdr:col>
          <xdr:colOff>606878</xdr:colOff>
          <xdr:row>3</xdr:row>
          <xdr:rowOff>454298</xdr:rowOff>
        </xdr:to>
        <xdr:sp macro="" textlink="">
          <xdr:nvSpPr>
            <xdr:cNvPr id="1045" name="CommandButton1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459740</xdr:rowOff>
        </xdr:from>
        <xdr:to>
          <xdr:col>7</xdr:col>
          <xdr:colOff>606879</xdr:colOff>
          <xdr:row>3</xdr:row>
          <xdr:rowOff>454298</xdr:rowOff>
        </xdr:to>
        <xdr:sp macro="" textlink="">
          <xdr:nvSpPr>
            <xdr:cNvPr id="1046" name="CommandButton1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459740</xdr:rowOff>
        </xdr:from>
        <xdr:to>
          <xdr:col>8</xdr:col>
          <xdr:colOff>606879</xdr:colOff>
          <xdr:row>3</xdr:row>
          <xdr:rowOff>454298</xdr:rowOff>
        </xdr:to>
        <xdr:sp macro="" textlink="">
          <xdr:nvSpPr>
            <xdr:cNvPr id="1047" name="CommandButton1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459740</xdr:rowOff>
        </xdr:from>
        <xdr:to>
          <xdr:col>9</xdr:col>
          <xdr:colOff>606878</xdr:colOff>
          <xdr:row>3</xdr:row>
          <xdr:rowOff>454298</xdr:rowOff>
        </xdr:to>
        <xdr:sp macro="" textlink="">
          <xdr:nvSpPr>
            <xdr:cNvPr id="1048" name="CommandButton17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459740</xdr:rowOff>
        </xdr:from>
        <xdr:to>
          <xdr:col>10</xdr:col>
          <xdr:colOff>606879</xdr:colOff>
          <xdr:row>3</xdr:row>
          <xdr:rowOff>454298</xdr:rowOff>
        </xdr:to>
        <xdr:sp macro="" textlink="">
          <xdr:nvSpPr>
            <xdr:cNvPr id="1049" name="CommandButton1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461010</xdr:rowOff>
        </xdr:from>
        <xdr:to>
          <xdr:col>2</xdr:col>
          <xdr:colOff>606878</xdr:colOff>
          <xdr:row>4</xdr:row>
          <xdr:rowOff>455567</xdr:rowOff>
        </xdr:to>
        <xdr:sp macro="" textlink="">
          <xdr:nvSpPr>
            <xdr:cNvPr id="1050" name="CommandButton19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461010</xdr:rowOff>
        </xdr:from>
        <xdr:to>
          <xdr:col>3</xdr:col>
          <xdr:colOff>606879</xdr:colOff>
          <xdr:row>4</xdr:row>
          <xdr:rowOff>455567</xdr:rowOff>
        </xdr:to>
        <xdr:sp macro="" textlink="">
          <xdr:nvSpPr>
            <xdr:cNvPr id="1051" name="CommandButton20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461010</xdr:rowOff>
        </xdr:from>
        <xdr:to>
          <xdr:col>4</xdr:col>
          <xdr:colOff>606878</xdr:colOff>
          <xdr:row>4</xdr:row>
          <xdr:rowOff>455567</xdr:rowOff>
        </xdr:to>
        <xdr:sp macro="" textlink="">
          <xdr:nvSpPr>
            <xdr:cNvPr id="1052" name="CommandButton2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461010</xdr:rowOff>
        </xdr:from>
        <xdr:to>
          <xdr:col>5</xdr:col>
          <xdr:colOff>606879</xdr:colOff>
          <xdr:row>4</xdr:row>
          <xdr:rowOff>455567</xdr:rowOff>
        </xdr:to>
        <xdr:sp macro="" textlink="">
          <xdr:nvSpPr>
            <xdr:cNvPr id="1053" name="CommandButton2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461010</xdr:rowOff>
        </xdr:from>
        <xdr:to>
          <xdr:col>6</xdr:col>
          <xdr:colOff>606878</xdr:colOff>
          <xdr:row>4</xdr:row>
          <xdr:rowOff>455567</xdr:rowOff>
        </xdr:to>
        <xdr:sp macro="" textlink="">
          <xdr:nvSpPr>
            <xdr:cNvPr id="1054" name="CommandButton23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461010</xdr:rowOff>
        </xdr:from>
        <xdr:to>
          <xdr:col>7</xdr:col>
          <xdr:colOff>606879</xdr:colOff>
          <xdr:row>4</xdr:row>
          <xdr:rowOff>455567</xdr:rowOff>
        </xdr:to>
        <xdr:sp macro="" textlink="">
          <xdr:nvSpPr>
            <xdr:cNvPr id="1055" name="CommandButton24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461010</xdr:rowOff>
        </xdr:from>
        <xdr:to>
          <xdr:col>8</xdr:col>
          <xdr:colOff>606879</xdr:colOff>
          <xdr:row>4</xdr:row>
          <xdr:rowOff>455567</xdr:rowOff>
        </xdr:to>
        <xdr:sp macro="" textlink="">
          <xdr:nvSpPr>
            <xdr:cNvPr id="1056" name="CommandButton25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461010</xdr:rowOff>
        </xdr:from>
        <xdr:to>
          <xdr:col>9</xdr:col>
          <xdr:colOff>606878</xdr:colOff>
          <xdr:row>4</xdr:row>
          <xdr:rowOff>455567</xdr:rowOff>
        </xdr:to>
        <xdr:sp macro="" textlink="">
          <xdr:nvSpPr>
            <xdr:cNvPr id="1057" name="CommandButton26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461010</xdr:rowOff>
        </xdr:from>
        <xdr:to>
          <xdr:col>10</xdr:col>
          <xdr:colOff>606879</xdr:colOff>
          <xdr:row>4</xdr:row>
          <xdr:rowOff>455567</xdr:rowOff>
        </xdr:to>
        <xdr:sp macro="" textlink="">
          <xdr:nvSpPr>
            <xdr:cNvPr id="1058" name="CommandButton27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462280</xdr:rowOff>
        </xdr:from>
        <xdr:to>
          <xdr:col>2</xdr:col>
          <xdr:colOff>606878</xdr:colOff>
          <xdr:row>6</xdr:row>
          <xdr:rowOff>3719</xdr:rowOff>
        </xdr:to>
        <xdr:sp macro="" textlink="">
          <xdr:nvSpPr>
            <xdr:cNvPr id="1059" name="CommandButton28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462280</xdr:rowOff>
        </xdr:from>
        <xdr:to>
          <xdr:col>3</xdr:col>
          <xdr:colOff>606879</xdr:colOff>
          <xdr:row>6</xdr:row>
          <xdr:rowOff>3719</xdr:rowOff>
        </xdr:to>
        <xdr:sp macro="" textlink="">
          <xdr:nvSpPr>
            <xdr:cNvPr id="1060" name="CommandButton29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462280</xdr:rowOff>
        </xdr:from>
        <xdr:to>
          <xdr:col>4</xdr:col>
          <xdr:colOff>606878</xdr:colOff>
          <xdr:row>6</xdr:row>
          <xdr:rowOff>3719</xdr:rowOff>
        </xdr:to>
        <xdr:sp macro="" textlink="">
          <xdr:nvSpPr>
            <xdr:cNvPr id="1061" name="CommandButton30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462280</xdr:rowOff>
        </xdr:from>
        <xdr:to>
          <xdr:col>5</xdr:col>
          <xdr:colOff>606879</xdr:colOff>
          <xdr:row>6</xdr:row>
          <xdr:rowOff>3719</xdr:rowOff>
        </xdr:to>
        <xdr:sp macro="" textlink="">
          <xdr:nvSpPr>
            <xdr:cNvPr id="1062" name="CommandButton3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462280</xdr:rowOff>
        </xdr:from>
        <xdr:to>
          <xdr:col>6</xdr:col>
          <xdr:colOff>606878</xdr:colOff>
          <xdr:row>6</xdr:row>
          <xdr:rowOff>3719</xdr:rowOff>
        </xdr:to>
        <xdr:sp macro="" textlink="">
          <xdr:nvSpPr>
            <xdr:cNvPr id="1063" name="CommandButton3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462280</xdr:rowOff>
        </xdr:from>
        <xdr:to>
          <xdr:col>7</xdr:col>
          <xdr:colOff>606879</xdr:colOff>
          <xdr:row>6</xdr:row>
          <xdr:rowOff>3719</xdr:rowOff>
        </xdr:to>
        <xdr:sp macro="" textlink="">
          <xdr:nvSpPr>
            <xdr:cNvPr id="1064" name="CommandButton3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462280</xdr:rowOff>
        </xdr:from>
        <xdr:to>
          <xdr:col>8</xdr:col>
          <xdr:colOff>606879</xdr:colOff>
          <xdr:row>6</xdr:row>
          <xdr:rowOff>3719</xdr:rowOff>
        </xdr:to>
        <xdr:sp macro="" textlink="">
          <xdr:nvSpPr>
            <xdr:cNvPr id="1065" name="CommandButton3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462280</xdr:rowOff>
        </xdr:from>
        <xdr:to>
          <xdr:col>9</xdr:col>
          <xdr:colOff>606878</xdr:colOff>
          <xdr:row>6</xdr:row>
          <xdr:rowOff>3719</xdr:rowOff>
        </xdr:to>
        <xdr:sp macro="" textlink="">
          <xdr:nvSpPr>
            <xdr:cNvPr id="1066" name="CommandButton35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462280</xdr:rowOff>
        </xdr:from>
        <xdr:to>
          <xdr:col>10</xdr:col>
          <xdr:colOff>606879</xdr:colOff>
          <xdr:row>6</xdr:row>
          <xdr:rowOff>3719</xdr:rowOff>
        </xdr:to>
        <xdr:sp macro="" textlink="">
          <xdr:nvSpPr>
            <xdr:cNvPr id="1067" name="CommandButton3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463550</xdr:rowOff>
        </xdr:from>
        <xdr:to>
          <xdr:col>2</xdr:col>
          <xdr:colOff>606878</xdr:colOff>
          <xdr:row>6</xdr:row>
          <xdr:rowOff>458107</xdr:rowOff>
        </xdr:to>
        <xdr:sp macro="" textlink="">
          <xdr:nvSpPr>
            <xdr:cNvPr id="1068" name="CommandButton3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463550</xdr:rowOff>
        </xdr:from>
        <xdr:to>
          <xdr:col>3</xdr:col>
          <xdr:colOff>606879</xdr:colOff>
          <xdr:row>6</xdr:row>
          <xdr:rowOff>458107</xdr:rowOff>
        </xdr:to>
        <xdr:sp macro="" textlink="">
          <xdr:nvSpPr>
            <xdr:cNvPr id="1069" name="CommandButton3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463550</xdr:rowOff>
        </xdr:from>
        <xdr:to>
          <xdr:col>4</xdr:col>
          <xdr:colOff>606878</xdr:colOff>
          <xdr:row>6</xdr:row>
          <xdr:rowOff>458107</xdr:rowOff>
        </xdr:to>
        <xdr:sp macro="" textlink="">
          <xdr:nvSpPr>
            <xdr:cNvPr id="1070" name="CommandButton39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463550</xdr:rowOff>
        </xdr:from>
        <xdr:to>
          <xdr:col>5</xdr:col>
          <xdr:colOff>606879</xdr:colOff>
          <xdr:row>6</xdr:row>
          <xdr:rowOff>458107</xdr:rowOff>
        </xdr:to>
        <xdr:sp macro="" textlink="">
          <xdr:nvSpPr>
            <xdr:cNvPr id="1071" name="CommandButton40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463550</xdr:rowOff>
        </xdr:from>
        <xdr:to>
          <xdr:col>6</xdr:col>
          <xdr:colOff>606878</xdr:colOff>
          <xdr:row>6</xdr:row>
          <xdr:rowOff>458107</xdr:rowOff>
        </xdr:to>
        <xdr:sp macro="" textlink="">
          <xdr:nvSpPr>
            <xdr:cNvPr id="1072" name="CommandButton41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463550</xdr:rowOff>
        </xdr:from>
        <xdr:to>
          <xdr:col>7</xdr:col>
          <xdr:colOff>606879</xdr:colOff>
          <xdr:row>6</xdr:row>
          <xdr:rowOff>458107</xdr:rowOff>
        </xdr:to>
        <xdr:sp macro="" textlink="">
          <xdr:nvSpPr>
            <xdr:cNvPr id="1073" name="CommandButton42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463550</xdr:rowOff>
        </xdr:from>
        <xdr:to>
          <xdr:col>8</xdr:col>
          <xdr:colOff>606879</xdr:colOff>
          <xdr:row>6</xdr:row>
          <xdr:rowOff>458107</xdr:rowOff>
        </xdr:to>
        <xdr:sp macro="" textlink="">
          <xdr:nvSpPr>
            <xdr:cNvPr id="1074" name="CommandButton43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463550</xdr:rowOff>
        </xdr:from>
        <xdr:to>
          <xdr:col>9</xdr:col>
          <xdr:colOff>606878</xdr:colOff>
          <xdr:row>6</xdr:row>
          <xdr:rowOff>458107</xdr:rowOff>
        </xdr:to>
        <xdr:sp macro="" textlink="">
          <xdr:nvSpPr>
            <xdr:cNvPr id="1075" name="CommandButton44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463550</xdr:rowOff>
        </xdr:from>
        <xdr:to>
          <xdr:col>10</xdr:col>
          <xdr:colOff>606879</xdr:colOff>
          <xdr:row>6</xdr:row>
          <xdr:rowOff>458107</xdr:rowOff>
        </xdr:to>
        <xdr:sp macro="" textlink="">
          <xdr:nvSpPr>
            <xdr:cNvPr id="1076" name="CommandButton45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464820</xdr:rowOff>
        </xdr:from>
        <xdr:to>
          <xdr:col>2</xdr:col>
          <xdr:colOff>606878</xdr:colOff>
          <xdr:row>7</xdr:row>
          <xdr:rowOff>459377</xdr:rowOff>
        </xdr:to>
        <xdr:sp macro="" textlink="">
          <xdr:nvSpPr>
            <xdr:cNvPr id="1077" name="CommandButton46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464820</xdr:rowOff>
        </xdr:from>
        <xdr:to>
          <xdr:col>3</xdr:col>
          <xdr:colOff>606879</xdr:colOff>
          <xdr:row>7</xdr:row>
          <xdr:rowOff>459377</xdr:rowOff>
        </xdr:to>
        <xdr:sp macro="" textlink="">
          <xdr:nvSpPr>
            <xdr:cNvPr id="1078" name="CommandButton47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464820</xdr:rowOff>
        </xdr:from>
        <xdr:to>
          <xdr:col>4</xdr:col>
          <xdr:colOff>606878</xdr:colOff>
          <xdr:row>7</xdr:row>
          <xdr:rowOff>459377</xdr:rowOff>
        </xdr:to>
        <xdr:sp macro="" textlink="">
          <xdr:nvSpPr>
            <xdr:cNvPr id="1079" name="CommandButton48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464820</xdr:rowOff>
        </xdr:from>
        <xdr:to>
          <xdr:col>5</xdr:col>
          <xdr:colOff>606879</xdr:colOff>
          <xdr:row>7</xdr:row>
          <xdr:rowOff>459377</xdr:rowOff>
        </xdr:to>
        <xdr:sp macro="" textlink="">
          <xdr:nvSpPr>
            <xdr:cNvPr id="1080" name="CommandButton49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464820</xdr:rowOff>
        </xdr:from>
        <xdr:to>
          <xdr:col>6</xdr:col>
          <xdr:colOff>606878</xdr:colOff>
          <xdr:row>7</xdr:row>
          <xdr:rowOff>459377</xdr:rowOff>
        </xdr:to>
        <xdr:sp macro="" textlink="">
          <xdr:nvSpPr>
            <xdr:cNvPr id="1081" name="CommandButton50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464820</xdr:rowOff>
        </xdr:from>
        <xdr:to>
          <xdr:col>7</xdr:col>
          <xdr:colOff>606879</xdr:colOff>
          <xdr:row>7</xdr:row>
          <xdr:rowOff>459377</xdr:rowOff>
        </xdr:to>
        <xdr:sp macro="" textlink="">
          <xdr:nvSpPr>
            <xdr:cNvPr id="1082" name="CommandButton51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464820</xdr:rowOff>
        </xdr:from>
        <xdr:to>
          <xdr:col>8</xdr:col>
          <xdr:colOff>606879</xdr:colOff>
          <xdr:row>7</xdr:row>
          <xdr:rowOff>459377</xdr:rowOff>
        </xdr:to>
        <xdr:sp macro="" textlink="">
          <xdr:nvSpPr>
            <xdr:cNvPr id="1083" name="CommandButton52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464820</xdr:rowOff>
        </xdr:from>
        <xdr:to>
          <xdr:col>9</xdr:col>
          <xdr:colOff>606878</xdr:colOff>
          <xdr:row>7</xdr:row>
          <xdr:rowOff>459377</xdr:rowOff>
        </xdr:to>
        <xdr:sp macro="" textlink="">
          <xdr:nvSpPr>
            <xdr:cNvPr id="1084" name="CommandButton53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464820</xdr:rowOff>
        </xdr:from>
        <xdr:to>
          <xdr:col>10</xdr:col>
          <xdr:colOff>606879</xdr:colOff>
          <xdr:row>7</xdr:row>
          <xdr:rowOff>459377</xdr:rowOff>
        </xdr:to>
        <xdr:sp macro="" textlink="">
          <xdr:nvSpPr>
            <xdr:cNvPr id="1085" name="CommandButton54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466090</xdr:rowOff>
        </xdr:from>
        <xdr:to>
          <xdr:col>2</xdr:col>
          <xdr:colOff>606878</xdr:colOff>
          <xdr:row>9</xdr:row>
          <xdr:rowOff>3447</xdr:rowOff>
        </xdr:to>
        <xdr:sp macro="" textlink="">
          <xdr:nvSpPr>
            <xdr:cNvPr id="1086" name="CommandButton55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466090</xdr:rowOff>
        </xdr:from>
        <xdr:to>
          <xdr:col>3</xdr:col>
          <xdr:colOff>606879</xdr:colOff>
          <xdr:row>9</xdr:row>
          <xdr:rowOff>3447</xdr:rowOff>
        </xdr:to>
        <xdr:sp macro="" textlink="">
          <xdr:nvSpPr>
            <xdr:cNvPr id="1087" name="CommandButton56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466090</xdr:rowOff>
        </xdr:from>
        <xdr:to>
          <xdr:col>4</xdr:col>
          <xdr:colOff>606878</xdr:colOff>
          <xdr:row>9</xdr:row>
          <xdr:rowOff>3447</xdr:rowOff>
        </xdr:to>
        <xdr:sp macro="" textlink="">
          <xdr:nvSpPr>
            <xdr:cNvPr id="1088" name="CommandButton57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466090</xdr:rowOff>
        </xdr:from>
        <xdr:to>
          <xdr:col>5</xdr:col>
          <xdr:colOff>606879</xdr:colOff>
          <xdr:row>9</xdr:row>
          <xdr:rowOff>3447</xdr:rowOff>
        </xdr:to>
        <xdr:sp macro="" textlink="">
          <xdr:nvSpPr>
            <xdr:cNvPr id="1089" name="CommandButton58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466090</xdr:rowOff>
        </xdr:from>
        <xdr:to>
          <xdr:col>6</xdr:col>
          <xdr:colOff>606878</xdr:colOff>
          <xdr:row>9</xdr:row>
          <xdr:rowOff>3447</xdr:rowOff>
        </xdr:to>
        <xdr:sp macro="" textlink="">
          <xdr:nvSpPr>
            <xdr:cNvPr id="1090" name="CommandButton59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466090</xdr:rowOff>
        </xdr:from>
        <xdr:to>
          <xdr:col>7</xdr:col>
          <xdr:colOff>606879</xdr:colOff>
          <xdr:row>9</xdr:row>
          <xdr:rowOff>3447</xdr:rowOff>
        </xdr:to>
        <xdr:sp macro="" textlink="">
          <xdr:nvSpPr>
            <xdr:cNvPr id="1091" name="CommandButton60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466090</xdr:rowOff>
        </xdr:from>
        <xdr:to>
          <xdr:col>8</xdr:col>
          <xdr:colOff>606879</xdr:colOff>
          <xdr:row>9</xdr:row>
          <xdr:rowOff>3447</xdr:rowOff>
        </xdr:to>
        <xdr:sp macro="" textlink="">
          <xdr:nvSpPr>
            <xdr:cNvPr id="1092" name="CommandButton61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466090</xdr:rowOff>
        </xdr:from>
        <xdr:to>
          <xdr:col>9</xdr:col>
          <xdr:colOff>606878</xdr:colOff>
          <xdr:row>9</xdr:row>
          <xdr:rowOff>3447</xdr:rowOff>
        </xdr:to>
        <xdr:sp macro="" textlink="">
          <xdr:nvSpPr>
            <xdr:cNvPr id="1093" name="CommandButton62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466090</xdr:rowOff>
        </xdr:from>
        <xdr:to>
          <xdr:col>10</xdr:col>
          <xdr:colOff>606879</xdr:colOff>
          <xdr:row>9</xdr:row>
          <xdr:rowOff>3447</xdr:rowOff>
        </xdr:to>
        <xdr:sp macro="" textlink="">
          <xdr:nvSpPr>
            <xdr:cNvPr id="1094" name="CommandButton6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635</xdr:rowOff>
        </xdr:from>
        <xdr:to>
          <xdr:col>2</xdr:col>
          <xdr:colOff>606878</xdr:colOff>
          <xdr:row>9</xdr:row>
          <xdr:rowOff>461917</xdr:rowOff>
        </xdr:to>
        <xdr:sp macro="" textlink="">
          <xdr:nvSpPr>
            <xdr:cNvPr id="1095" name="CommandButton6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635</xdr:rowOff>
        </xdr:from>
        <xdr:to>
          <xdr:col>3</xdr:col>
          <xdr:colOff>606879</xdr:colOff>
          <xdr:row>9</xdr:row>
          <xdr:rowOff>461917</xdr:rowOff>
        </xdr:to>
        <xdr:sp macro="" textlink="">
          <xdr:nvSpPr>
            <xdr:cNvPr id="1096" name="CommandButton65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635</xdr:rowOff>
        </xdr:from>
        <xdr:to>
          <xdr:col>4</xdr:col>
          <xdr:colOff>606878</xdr:colOff>
          <xdr:row>9</xdr:row>
          <xdr:rowOff>461917</xdr:rowOff>
        </xdr:to>
        <xdr:sp macro="" textlink="">
          <xdr:nvSpPr>
            <xdr:cNvPr id="1097" name="CommandButton66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635</xdr:rowOff>
        </xdr:from>
        <xdr:to>
          <xdr:col>5</xdr:col>
          <xdr:colOff>606879</xdr:colOff>
          <xdr:row>9</xdr:row>
          <xdr:rowOff>461917</xdr:rowOff>
        </xdr:to>
        <xdr:sp macro="" textlink="">
          <xdr:nvSpPr>
            <xdr:cNvPr id="1098" name="CommandButton67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635</xdr:rowOff>
        </xdr:from>
        <xdr:to>
          <xdr:col>6</xdr:col>
          <xdr:colOff>606878</xdr:colOff>
          <xdr:row>9</xdr:row>
          <xdr:rowOff>461917</xdr:rowOff>
        </xdr:to>
        <xdr:sp macro="" textlink="">
          <xdr:nvSpPr>
            <xdr:cNvPr id="1099" name="CommandButton68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635</xdr:rowOff>
        </xdr:from>
        <xdr:to>
          <xdr:col>7</xdr:col>
          <xdr:colOff>606879</xdr:colOff>
          <xdr:row>9</xdr:row>
          <xdr:rowOff>461917</xdr:rowOff>
        </xdr:to>
        <xdr:sp macro="" textlink="">
          <xdr:nvSpPr>
            <xdr:cNvPr id="1100" name="CommandButton69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635</xdr:rowOff>
        </xdr:from>
        <xdr:to>
          <xdr:col>8</xdr:col>
          <xdr:colOff>606879</xdr:colOff>
          <xdr:row>9</xdr:row>
          <xdr:rowOff>461917</xdr:rowOff>
        </xdr:to>
        <xdr:sp macro="" textlink="">
          <xdr:nvSpPr>
            <xdr:cNvPr id="1101" name="CommandButton70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635</xdr:rowOff>
        </xdr:from>
        <xdr:to>
          <xdr:col>9</xdr:col>
          <xdr:colOff>606878</xdr:colOff>
          <xdr:row>9</xdr:row>
          <xdr:rowOff>461917</xdr:rowOff>
        </xdr:to>
        <xdr:sp macro="" textlink="">
          <xdr:nvSpPr>
            <xdr:cNvPr id="1102" name="CommandButton71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635</xdr:rowOff>
        </xdr:from>
        <xdr:to>
          <xdr:col>10</xdr:col>
          <xdr:colOff>606879</xdr:colOff>
          <xdr:row>9</xdr:row>
          <xdr:rowOff>461917</xdr:rowOff>
        </xdr:to>
        <xdr:sp macro="" textlink="">
          <xdr:nvSpPr>
            <xdr:cNvPr id="1103" name="CommandButton72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1905</xdr:rowOff>
        </xdr:from>
        <xdr:to>
          <xdr:col>2</xdr:col>
          <xdr:colOff>606878</xdr:colOff>
          <xdr:row>11</xdr:row>
          <xdr:rowOff>5988</xdr:rowOff>
        </xdr:to>
        <xdr:sp macro="" textlink="">
          <xdr:nvSpPr>
            <xdr:cNvPr id="1104" name="CommandButton73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1905</xdr:rowOff>
        </xdr:from>
        <xdr:to>
          <xdr:col>3</xdr:col>
          <xdr:colOff>606879</xdr:colOff>
          <xdr:row>11</xdr:row>
          <xdr:rowOff>5988</xdr:rowOff>
        </xdr:to>
        <xdr:sp macro="" textlink="">
          <xdr:nvSpPr>
            <xdr:cNvPr id="1105" name="CommandButton74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1905</xdr:rowOff>
        </xdr:from>
        <xdr:to>
          <xdr:col>4</xdr:col>
          <xdr:colOff>606878</xdr:colOff>
          <xdr:row>11</xdr:row>
          <xdr:rowOff>5988</xdr:rowOff>
        </xdr:to>
        <xdr:sp macro="" textlink="">
          <xdr:nvSpPr>
            <xdr:cNvPr id="1106" name="CommandButton75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1905</xdr:rowOff>
        </xdr:from>
        <xdr:to>
          <xdr:col>5</xdr:col>
          <xdr:colOff>606879</xdr:colOff>
          <xdr:row>11</xdr:row>
          <xdr:rowOff>5988</xdr:rowOff>
        </xdr:to>
        <xdr:sp macro="" textlink="">
          <xdr:nvSpPr>
            <xdr:cNvPr id="1107" name="CommandButton76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1905</xdr:rowOff>
        </xdr:from>
        <xdr:to>
          <xdr:col>6</xdr:col>
          <xdr:colOff>606878</xdr:colOff>
          <xdr:row>11</xdr:row>
          <xdr:rowOff>5988</xdr:rowOff>
        </xdr:to>
        <xdr:sp macro="" textlink="">
          <xdr:nvSpPr>
            <xdr:cNvPr id="1108" name="CommandButton77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1905</xdr:rowOff>
        </xdr:from>
        <xdr:to>
          <xdr:col>7</xdr:col>
          <xdr:colOff>606879</xdr:colOff>
          <xdr:row>11</xdr:row>
          <xdr:rowOff>5988</xdr:rowOff>
        </xdr:to>
        <xdr:sp macro="" textlink="">
          <xdr:nvSpPr>
            <xdr:cNvPr id="1109" name="CommandButton78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</xdr:rowOff>
        </xdr:from>
        <xdr:to>
          <xdr:col>8</xdr:col>
          <xdr:colOff>606879</xdr:colOff>
          <xdr:row>11</xdr:row>
          <xdr:rowOff>5988</xdr:rowOff>
        </xdr:to>
        <xdr:sp macro="" textlink="">
          <xdr:nvSpPr>
            <xdr:cNvPr id="1110" name="CommandButton79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1905</xdr:rowOff>
        </xdr:from>
        <xdr:to>
          <xdr:col>9</xdr:col>
          <xdr:colOff>606878</xdr:colOff>
          <xdr:row>11</xdr:row>
          <xdr:rowOff>5988</xdr:rowOff>
        </xdr:to>
        <xdr:sp macro="" textlink="">
          <xdr:nvSpPr>
            <xdr:cNvPr id="1111" name="CommandButton80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</xdr:row>
          <xdr:rowOff>1905</xdr:rowOff>
        </xdr:from>
        <xdr:to>
          <xdr:col>10</xdr:col>
          <xdr:colOff>606879</xdr:colOff>
          <xdr:row>11</xdr:row>
          <xdr:rowOff>5988</xdr:rowOff>
        </xdr:to>
        <xdr:sp macro="" textlink="">
          <xdr:nvSpPr>
            <xdr:cNvPr id="1112" name="CommandButton8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416718</xdr:colOff>
      <xdr:row>1</xdr:row>
      <xdr:rowOff>297656</xdr:rowOff>
    </xdr:from>
    <xdr:to>
      <xdr:col>11</xdr:col>
      <xdr:colOff>178594</xdr:colOff>
      <xdr:row>11</xdr:row>
      <xdr:rowOff>178595</xdr:rowOff>
    </xdr:to>
    <xdr:sp macro="" textlink="">
      <xdr:nvSpPr>
        <xdr:cNvPr id="6" name="Frame 5"/>
        <xdr:cNvSpPr/>
      </xdr:nvSpPr>
      <xdr:spPr>
        <a:xfrm>
          <a:off x="1023937" y="762000"/>
          <a:ext cx="5834063" cy="4524376"/>
        </a:xfrm>
        <a:prstGeom prst="frame">
          <a:avLst>
            <a:gd name="adj1" fmla="val 360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331769</xdr:colOff>
      <xdr:row>0</xdr:row>
      <xdr:rowOff>107023</xdr:rowOff>
    </xdr:from>
    <xdr:to>
      <xdr:col>13</xdr:col>
      <xdr:colOff>550844</xdr:colOff>
      <xdr:row>3</xdr:row>
      <xdr:rowOff>145123</xdr:rowOff>
    </xdr:to>
    <xdr:pic>
      <xdr:nvPicPr>
        <xdr:cNvPr id="99" name="Picture 9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2078" y="107023"/>
          <a:ext cx="1439131" cy="1450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53511</xdr:colOff>
      <xdr:row>11</xdr:row>
      <xdr:rowOff>321068</xdr:rowOff>
    </xdr:from>
    <xdr:to>
      <xdr:col>2</xdr:col>
      <xdr:colOff>63198</xdr:colOff>
      <xdr:row>14</xdr:row>
      <xdr:rowOff>146954</xdr:rowOff>
    </xdr:to>
    <xdr:pic>
      <xdr:nvPicPr>
        <xdr:cNvPr id="104" name="Picture 10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11" y="5500956"/>
          <a:ext cx="1229743" cy="1238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5</xdr:row>
          <xdr:rowOff>38100</xdr:rowOff>
        </xdr:from>
        <xdr:to>
          <xdr:col>13</xdr:col>
          <xdr:colOff>390525</xdr:colOff>
          <xdr:row>5</xdr:row>
          <xdr:rowOff>381000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9.xml"/><Relationship Id="rId21" Type="http://schemas.openxmlformats.org/officeDocument/2006/relationships/control" Target="../activeX/activeX14.xml"/><Relationship Id="rId42" Type="http://schemas.openxmlformats.org/officeDocument/2006/relationships/control" Target="../activeX/activeX35.xml"/><Relationship Id="rId47" Type="http://schemas.openxmlformats.org/officeDocument/2006/relationships/image" Target="../media/image6.emf"/><Relationship Id="rId63" Type="http://schemas.openxmlformats.org/officeDocument/2006/relationships/control" Target="../activeX/activeX54.xml"/><Relationship Id="rId68" Type="http://schemas.openxmlformats.org/officeDocument/2006/relationships/control" Target="../activeX/activeX59.xml"/><Relationship Id="rId84" Type="http://schemas.openxmlformats.org/officeDocument/2006/relationships/control" Target="../activeX/activeX75.xml"/><Relationship Id="rId89" Type="http://schemas.openxmlformats.org/officeDocument/2006/relationships/control" Target="../activeX/activeX80.xml"/><Relationship Id="rId16" Type="http://schemas.openxmlformats.org/officeDocument/2006/relationships/image" Target="../media/image3.emf"/><Relationship Id="rId11" Type="http://schemas.openxmlformats.org/officeDocument/2006/relationships/control" Target="../activeX/activeX6.xml"/><Relationship Id="rId32" Type="http://schemas.openxmlformats.org/officeDocument/2006/relationships/control" Target="../activeX/activeX25.xml"/><Relationship Id="rId37" Type="http://schemas.openxmlformats.org/officeDocument/2006/relationships/control" Target="../activeX/activeX30.xml"/><Relationship Id="rId53" Type="http://schemas.openxmlformats.org/officeDocument/2006/relationships/control" Target="../activeX/activeX44.xml"/><Relationship Id="rId58" Type="http://schemas.openxmlformats.org/officeDocument/2006/relationships/control" Target="../activeX/activeX49.xml"/><Relationship Id="rId74" Type="http://schemas.openxmlformats.org/officeDocument/2006/relationships/control" Target="../activeX/activeX65.xml"/><Relationship Id="rId79" Type="http://schemas.openxmlformats.org/officeDocument/2006/relationships/control" Target="../activeX/activeX70.xml"/><Relationship Id="rId5" Type="http://schemas.openxmlformats.org/officeDocument/2006/relationships/image" Target="../media/image1.emf"/><Relationship Id="rId90" Type="http://schemas.openxmlformats.org/officeDocument/2006/relationships/control" Target="../activeX/activeX81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Relationship Id="rId30" Type="http://schemas.openxmlformats.org/officeDocument/2006/relationships/control" Target="../activeX/activeX23.xml"/><Relationship Id="rId35" Type="http://schemas.openxmlformats.org/officeDocument/2006/relationships/control" Target="../activeX/activeX28.xml"/><Relationship Id="rId43" Type="http://schemas.openxmlformats.org/officeDocument/2006/relationships/control" Target="../activeX/activeX36.xml"/><Relationship Id="rId48" Type="http://schemas.openxmlformats.org/officeDocument/2006/relationships/control" Target="../activeX/activeX39.xml"/><Relationship Id="rId56" Type="http://schemas.openxmlformats.org/officeDocument/2006/relationships/control" Target="../activeX/activeX47.xml"/><Relationship Id="rId64" Type="http://schemas.openxmlformats.org/officeDocument/2006/relationships/control" Target="../activeX/activeX55.xml"/><Relationship Id="rId69" Type="http://schemas.openxmlformats.org/officeDocument/2006/relationships/control" Target="../activeX/activeX60.xml"/><Relationship Id="rId77" Type="http://schemas.openxmlformats.org/officeDocument/2006/relationships/control" Target="../activeX/activeX6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2.xml"/><Relationship Id="rId72" Type="http://schemas.openxmlformats.org/officeDocument/2006/relationships/control" Target="../activeX/activeX63.xml"/><Relationship Id="rId80" Type="http://schemas.openxmlformats.org/officeDocument/2006/relationships/control" Target="../activeX/activeX71.xml"/><Relationship Id="rId85" Type="http://schemas.openxmlformats.org/officeDocument/2006/relationships/control" Target="../activeX/activeX76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6.xml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8.xml"/><Relationship Id="rId59" Type="http://schemas.openxmlformats.org/officeDocument/2006/relationships/control" Target="../activeX/activeX50.xml"/><Relationship Id="rId67" Type="http://schemas.openxmlformats.org/officeDocument/2006/relationships/control" Target="../activeX/activeX58.xml"/><Relationship Id="rId20" Type="http://schemas.openxmlformats.org/officeDocument/2006/relationships/control" Target="../activeX/activeX13.xml"/><Relationship Id="rId41" Type="http://schemas.openxmlformats.org/officeDocument/2006/relationships/control" Target="../activeX/activeX34.xml"/><Relationship Id="rId54" Type="http://schemas.openxmlformats.org/officeDocument/2006/relationships/control" Target="../activeX/activeX45.xml"/><Relationship Id="rId62" Type="http://schemas.openxmlformats.org/officeDocument/2006/relationships/control" Target="../activeX/activeX53.xml"/><Relationship Id="rId70" Type="http://schemas.openxmlformats.org/officeDocument/2006/relationships/control" Target="../activeX/activeX61.xml"/><Relationship Id="rId75" Type="http://schemas.openxmlformats.org/officeDocument/2006/relationships/control" Target="../activeX/activeX66.xml"/><Relationship Id="rId83" Type="http://schemas.openxmlformats.org/officeDocument/2006/relationships/control" Target="../activeX/activeX74.xml"/><Relationship Id="rId88" Type="http://schemas.openxmlformats.org/officeDocument/2006/relationships/control" Target="../activeX/activeX79.xml"/><Relationship Id="rId91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9.xml"/><Relationship Id="rId49" Type="http://schemas.openxmlformats.org/officeDocument/2006/relationships/control" Target="../activeX/activeX40.xml"/><Relationship Id="rId57" Type="http://schemas.openxmlformats.org/officeDocument/2006/relationships/control" Target="../activeX/activeX48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4.xml"/><Relationship Id="rId44" Type="http://schemas.openxmlformats.org/officeDocument/2006/relationships/control" Target="../activeX/activeX37.xml"/><Relationship Id="rId52" Type="http://schemas.openxmlformats.org/officeDocument/2006/relationships/control" Target="../activeX/activeX43.xml"/><Relationship Id="rId60" Type="http://schemas.openxmlformats.org/officeDocument/2006/relationships/control" Target="../activeX/activeX51.xml"/><Relationship Id="rId65" Type="http://schemas.openxmlformats.org/officeDocument/2006/relationships/control" Target="../activeX/activeX56.xml"/><Relationship Id="rId73" Type="http://schemas.openxmlformats.org/officeDocument/2006/relationships/control" Target="../activeX/activeX64.xml"/><Relationship Id="rId78" Type="http://schemas.openxmlformats.org/officeDocument/2006/relationships/control" Target="../activeX/activeX69.xml"/><Relationship Id="rId81" Type="http://schemas.openxmlformats.org/officeDocument/2006/relationships/control" Target="../activeX/activeX72.xml"/><Relationship Id="rId86" Type="http://schemas.openxmlformats.org/officeDocument/2006/relationships/control" Target="../activeX/activeX7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image" Target="../media/image4.emf"/><Relationship Id="rId39" Type="http://schemas.openxmlformats.org/officeDocument/2006/relationships/control" Target="../activeX/activeX32.xml"/><Relationship Id="rId34" Type="http://schemas.openxmlformats.org/officeDocument/2006/relationships/control" Target="../activeX/activeX27.xml"/><Relationship Id="rId50" Type="http://schemas.openxmlformats.org/officeDocument/2006/relationships/control" Target="../activeX/activeX41.xml"/><Relationship Id="rId55" Type="http://schemas.openxmlformats.org/officeDocument/2006/relationships/control" Target="../activeX/activeX46.xml"/><Relationship Id="rId76" Type="http://schemas.openxmlformats.org/officeDocument/2006/relationships/control" Target="../activeX/activeX67.xml"/><Relationship Id="rId7" Type="http://schemas.openxmlformats.org/officeDocument/2006/relationships/image" Target="../media/image2.emf"/><Relationship Id="rId71" Type="http://schemas.openxmlformats.org/officeDocument/2006/relationships/control" Target="../activeX/activeX62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2.xml"/><Relationship Id="rId24" Type="http://schemas.openxmlformats.org/officeDocument/2006/relationships/control" Target="../activeX/activeX17.xml"/><Relationship Id="rId40" Type="http://schemas.openxmlformats.org/officeDocument/2006/relationships/control" Target="../activeX/activeX33.xml"/><Relationship Id="rId45" Type="http://schemas.openxmlformats.org/officeDocument/2006/relationships/image" Target="../media/image5.emf"/><Relationship Id="rId66" Type="http://schemas.openxmlformats.org/officeDocument/2006/relationships/control" Target="../activeX/activeX57.xml"/><Relationship Id="rId87" Type="http://schemas.openxmlformats.org/officeDocument/2006/relationships/control" Target="../activeX/activeX78.xml"/><Relationship Id="rId61" Type="http://schemas.openxmlformats.org/officeDocument/2006/relationships/control" Target="../activeX/activeX52.xml"/><Relationship Id="rId82" Type="http://schemas.openxmlformats.org/officeDocument/2006/relationships/control" Target="../activeX/activeX73.xml"/><Relationship Id="rId19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D31"/>
  <sheetViews>
    <sheetView tabSelected="1" zoomScale="70" zoomScaleNormal="70" workbookViewId="0">
      <selection activeCell="B3" sqref="B3"/>
    </sheetView>
  </sheetViews>
  <sheetFormatPr defaultColWidth="0" defaultRowHeight="36" customHeight="1" zeroHeight="1" x14ac:dyDescent="0.25"/>
  <cols>
    <col min="1" max="13" width="9.140625" style="1" customWidth="1"/>
    <col min="14" max="14" width="9.42578125" style="1" customWidth="1"/>
    <col min="15" max="16384" width="9.42578125" style="1" hidden="1"/>
  </cols>
  <sheetData>
    <row r="1" spans="1:71" s="2" customFormat="1" ht="36.950000000000003" customHeight="1" thickBot="1" x14ac:dyDescent="0.3">
      <c r="C1" s="25" t="b">
        <v>0</v>
      </c>
      <c r="D1" s="25"/>
      <c r="E1" s="27" t="s">
        <v>3</v>
      </c>
      <c r="F1" s="28"/>
      <c r="G1" s="29" t="str">
        <f>CONCATENATE( "Total ",AB13," Mines")</f>
        <v>Total 10 Mines</v>
      </c>
      <c r="H1" s="30"/>
      <c r="I1" s="30"/>
      <c r="J1" s="30"/>
    </row>
    <row r="2" spans="1:71" ht="36.950000000000003" customHeight="1" thickBot="1" x14ac:dyDescent="0.3">
      <c r="C2" s="26"/>
      <c r="D2" s="26"/>
      <c r="E2" s="31"/>
      <c r="F2" s="31"/>
      <c r="G2" s="31"/>
      <c r="H2" s="31"/>
      <c r="I2" s="31"/>
      <c r="J2" s="31"/>
      <c r="K2" s="31"/>
    </row>
    <row r="3" spans="1:71" ht="36.950000000000003" customHeight="1" thickBot="1" x14ac:dyDescent="0.3">
      <c r="C3" s="23" t="s">
        <v>1</v>
      </c>
      <c r="D3" s="23" t="s">
        <v>1</v>
      </c>
      <c r="E3" s="23" t="s">
        <v>1</v>
      </c>
      <c r="F3" s="23" t="s">
        <v>1</v>
      </c>
      <c r="G3" s="23" t="s">
        <v>1</v>
      </c>
      <c r="H3" s="23" t="s">
        <v>1</v>
      </c>
      <c r="I3" s="23">
        <v>1</v>
      </c>
      <c r="J3" s="24" t="s">
        <v>0</v>
      </c>
      <c r="K3" s="23">
        <v>1</v>
      </c>
      <c r="W3" s="3" t="str">
        <f>IF(AQ3=0,"",AQ3)</f>
        <v/>
      </c>
      <c r="X3" s="5" t="str">
        <f t="shared" ref="X3:AE3" si="0">IF(AR3=0,"",AR3)</f>
        <v/>
      </c>
      <c r="Y3" s="5" t="str">
        <f t="shared" si="0"/>
        <v/>
      </c>
      <c r="Z3" s="5" t="str">
        <f t="shared" si="0"/>
        <v/>
      </c>
      <c r="AA3" s="5" t="str">
        <f t="shared" si="0"/>
        <v/>
      </c>
      <c r="AB3" s="5" t="str">
        <f t="shared" si="0"/>
        <v/>
      </c>
      <c r="AC3" s="5">
        <f t="shared" si="0"/>
        <v>1</v>
      </c>
      <c r="AD3" s="5" t="str">
        <f t="shared" si="0"/>
        <v>M</v>
      </c>
      <c r="AE3" s="6">
        <f t="shared" si="0"/>
        <v>1</v>
      </c>
      <c r="AQ3" s="3">
        <f>IF(BK3="M","M",COUNTIF(BJ2:BL2,"M")+COUNTIF(BJ4:BL4,"M")+COUNTIF(BJ3,"M")+COUNTIF(BL3,"M"))</f>
        <v>0</v>
      </c>
      <c r="AR3" s="5">
        <f t="shared" ref="AR3:AY3" si="1">IF(BL3="M","M",COUNTIF(BK2:BM2,"M")+COUNTIF(BK4:BM4,"M")+COUNTIF(BK3,"M")+COUNTIF(BM3,"M"))</f>
        <v>0</v>
      </c>
      <c r="AS3" s="5">
        <f t="shared" si="1"/>
        <v>0</v>
      </c>
      <c r="AT3" s="5">
        <f t="shared" si="1"/>
        <v>0</v>
      </c>
      <c r="AU3" s="5">
        <f t="shared" si="1"/>
        <v>0</v>
      </c>
      <c r="AV3" s="5">
        <f t="shared" si="1"/>
        <v>0</v>
      </c>
      <c r="AW3" s="5">
        <f t="shared" si="1"/>
        <v>1</v>
      </c>
      <c r="AX3" s="5" t="str">
        <f t="shared" si="1"/>
        <v>M</v>
      </c>
      <c r="AY3" s="6">
        <f t="shared" si="1"/>
        <v>1</v>
      </c>
      <c r="BK3" s="12"/>
      <c r="BL3" s="13"/>
      <c r="BM3" s="13"/>
      <c r="BN3" s="13"/>
      <c r="BO3" s="13"/>
      <c r="BP3" s="13"/>
      <c r="BQ3" s="13"/>
      <c r="BR3" s="13" t="s">
        <v>0</v>
      </c>
      <c r="BS3" s="14"/>
    </row>
    <row r="4" spans="1:71" ht="36.950000000000003" customHeight="1" thickBot="1" x14ac:dyDescent="0.3">
      <c r="C4" s="23" t="s">
        <v>1</v>
      </c>
      <c r="D4" s="23" t="s">
        <v>1</v>
      </c>
      <c r="E4" s="23" t="s">
        <v>1</v>
      </c>
      <c r="F4" s="23" t="s">
        <v>1</v>
      </c>
      <c r="G4" s="23">
        <v>1</v>
      </c>
      <c r="H4" s="23">
        <v>1</v>
      </c>
      <c r="I4" s="23">
        <v>2</v>
      </c>
      <c r="J4" s="23">
        <v>1</v>
      </c>
      <c r="K4" s="23">
        <v>1</v>
      </c>
      <c r="W4" s="7" t="str">
        <f t="shared" ref="W4:W11" si="2">IF(AQ4=0,"",AQ4)</f>
        <v/>
      </c>
      <c r="X4" s="4" t="str">
        <f t="shared" ref="X4:X11" si="3">IF(AR4=0,"",AR4)</f>
        <v/>
      </c>
      <c r="Y4" s="4" t="str">
        <f t="shared" ref="Y4:Y11" si="4">IF(AS4=0,"",AS4)</f>
        <v/>
      </c>
      <c r="Z4" s="4" t="str">
        <f t="shared" ref="Z4:Z11" si="5">IF(AT4=0,"",AT4)</f>
        <v/>
      </c>
      <c r="AA4" s="4">
        <f t="shared" ref="AA4:AA11" si="6">IF(AU4=0,"",AU4)</f>
        <v>1</v>
      </c>
      <c r="AB4" s="4">
        <f t="shared" ref="AB4:AB11" si="7">IF(AV4=0,"",AV4)</f>
        <v>1</v>
      </c>
      <c r="AC4" s="4">
        <f t="shared" ref="AC4:AC11" si="8">IF(AW4=0,"",AW4)</f>
        <v>2</v>
      </c>
      <c r="AD4" s="4">
        <f t="shared" ref="AD4:AD11" si="9">IF(AX4=0,"",AX4)</f>
        <v>1</v>
      </c>
      <c r="AE4" s="8">
        <f t="shared" ref="AE4:AE11" si="10">IF(AY4=0,"",AY4)</f>
        <v>1</v>
      </c>
      <c r="AQ4" s="7">
        <f t="shared" ref="AQ4:AQ11" si="11">IF(BK4="M","M",COUNTIF(BJ3:BL3,"M")+COUNTIF(BJ5:BL5,"M")+COUNTIF(BJ4,"M")+COUNTIF(BL4,"M"))</f>
        <v>0</v>
      </c>
      <c r="AR4" s="4">
        <f t="shared" ref="AR4:AR11" si="12">IF(BL4="M","M",COUNTIF(BK3:BM3,"M")+COUNTIF(BK5:BM5,"M")+COUNTIF(BK4,"M")+COUNTIF(BM4,"M"))</f>
        <v>0</v>
      </c>
      <c r="AS4" s="4">
        <f t="shared" ref="AS4:AS11" si="13">IF(BM4="M","M",COUNTIF(BL3:BN3,"M")+COUNTIF(BL5:BN5,"M")+COUNTIF(BL4,"M")+COUNTIF(BN4,"M"))</f>
        <v>0</v>
      </c>
      <c r="AT4" s="4">
        <f t="shared" ref="AT4:AT11" si="14">IF(BN4="M","M",COUNTIF(BM3:BO3,"M")+COUNTIF(BM5:BO5,"M")+COUNTIF(BM4,"M")+COUNTIF(BO4,"M"))</f>
        <v>0</v>
      </c>
      <c r="AU4" s="4">
        <f t="shared" ref="AU4:AU11" si="15">IF(BO4="M","M",COUNTIF(BN3:BP3,"M")+COUNTIF(BN5:BP5,"M")+COUNTIF(BN4,"M")+COUNTIF(BP4,"M"))</f>
        <v>1</v>
      </c>
      <c r="AV4" s="4">
        <f t="shared" ref="AV4:AV11" si="16">IF(BP4="M","M",COUNTIF(BO3:BQ3,"M")+COUNTIF(BO5:BQ5,"M")+COUNTIF(BO4,"M")+COUNTIF(BQ4,"M"))</f>
        <v>1</v>
      </c>
      <c r="AW4" s="4">
        <f t="shared" ref="AW4:AW11" si="17">IF(BQ4="M","M",COUNTIF(BP3:BR3,"M")+COUNTIF(BP5:BR5,"M")+COUNTIF(BP4,"M")+COUNTIF(BR4,"M"))</f>
        <v>2</v>
      </c>
      <c r="AX4" s="4">
        <f t="shared" ref="AX4:AX11" si="18">IF(BR4="M","M",COUNTIF(BQ3:BS3,"M")+COUNTIF(BQ5:BS5,"M")+COUNTIF(BQ4,"M")+COUNTIF(BS4,"M"))</f>
        <v>1</v>
      </c>
      <c r="AY4" s="8">
        <f t="shared" ref="AY4:AY11" si="19">IF(BS4="M","M",COUNTIF(BR3:BT3,"M")+COUNTIF(BR5:BT5,"M")+COUNTIF(BR4,"M")+COUNTIF(BT4,"M"))</f>
        <v>1</v>
      </c>
      <c r="BK4" s="15"/>
      <c r="BL4" s="16"/>
      <c r="BM4" s="16"/>
      <c r="BN4" s="16"/>
      <c r="BO4" s="16"/>
      <c r="BP4" s="16"/>
      <c r="BQ4" s="16"/>
      <c r="BR4" s="16"/>
      <c r="BS4" s="17"/>
    </row>
    <row r="5" spans="1:71" ht="36.950000000000003" customHeight="1" thickBot="1" x14ac:dyDescent="0.3">
      <c r="C5" s="23">
        <v>1</v>
      </c>
      <c r="D5" s="23">
        <v>1</v>
      </c>
      <c r="E5" s="23" t="s">
        <v>1</v>
      </c>
      <c r="F5" s="23" t="s">
        <v>1</v>
      </c>
      <c r="G5" s="23">
        <v>1</v>
      </c>
      <c r="H5" s="24" t="s">
        <v>0</v>
      </c>
      <c r="I5" s="23">
        <v>1</v>
      </c>
      <c r="J5" s="23">
        <v>1</v>
      </c>
      <c r="K5" s="23">
        <v>1</v>
      </c>
      <c r="L5" s="32" t="s">
        <v>6</v>
      </c>
      <c r="M5" s="33"/>
      <c r="N5" s="47">
        <f>81-SUM(A30:CC30)</f>
        <v>81</v>
      </c>
      <c r="W5" s="7">
        <f t="shared" si="2"/>
        <v>1</v>
      </c>
      <c r="X5" s="4">
        <f t="shared" si="3"/>
        <v>1</v>
      </c>
      <c r="Y5" s="4" t="str">
        <f t="shared" si="4"/>
        <v/>
      </c>
      <c r="Z5" s="4" t="str">
        <f t="shared" si="5"/>
        <v/>
      </c>
      <c r="AA5" s="4">
        <f t="shared" si="6"/>
        <v>1</v>
      </c>
      <c r="AB5" s="4" t="str">
        <f t="shared" si="7"/>
        <v>M</v>
      </c>
      <c r="AC5" s="4">
        <f t="shared" si="8"/>
        <v>1</v>
      </c>
      <c r="AD5" s="4">
        <f t="shared" si="9"/>
        <v>1</v>
      </c>
      <c r="AE5" s="8">
        <f t="shared" si="10"/>
        <v>1</v>
      </c>
      <c r="AQ5" s="7">
        <f t="shared" si="11"/>
        <v>1</v>
      </c>
      <c r="AR5" s="4">
        <f t="shared" si="12"/>
        <v>1</v>
      </c>
      <c r="AS5" s="4">
        <f t="shared" si="13"/>
        <v>0</v>
      </c>
      <c r="AT5" s="4">
        <f t="shared" si="14"/>
        <v>0</v>
      </c>
      <c r="AU5" s="4">
        <f t="shared" si="15"/>
        <v>1</v>
      </c>
      <c r="AV5" s="4" t="str">
        <f t="shared" si="16"/>
        <v>M</v>
      </c>
      <c r="AW5" s="4">
        <f t="shared" si="17"/>
        <v>1</v>
      </c>
      <c r="AX5" s="4">
        <f t="shared" si="18"/>
        <v>1</v>
      </c>
      <c r="AY5" s="8">
        <f t="shared" si="19"/>
        <v>1</v>
      </c>
      <c r="BK5" s="15"/>
      <c r="BL5" s="16"/>
      <c r="BM5" s="16"/>
      <c r="BN5" s="16"/>
      <c r="BO5" s="16"/>
      <c r="BP5" s="16" t="s">
        <v>0</v>
      </c>
      <c r="BQ5" s="16"/>
      <c r="BR5" s="16"/>
      <c r="BS5" s="17"/>
    </row>
    <row r="6" spans="1:71" ht="36.950000000000003" customHeight="1" thickBot="1" x14ac:dyDescent="0.3">
      <c r="C6" s="24" t="s">
        <v>0</v>
      </c>
      <c r="D6" s="23">
        <v>1</v>
      </c>
      <c r="E6" s="23" t="s">
        <v>1</v>
      </c>
      <c r="F6" s="23" t="s">
        <v>1</v>
      </c>
      <c r="G6" s="23">
        <v>1</v>
      </c>
      <c r="H6" s="23">
        <v>2</v>
      </c>
      <c r="I6" s="23">
        <v>2</v>
      </c>
      <c r="J6" s="23">
        <v>2</v>
      </c>
      <c r="K6" s="24" t="s">
        <v>0</v>
      </c>
      <c r="L6" s="34" t="s">
        <v>7</v>
      </c>
      <c r="M6" s="35"/>
      <c r="W6" s="7" t="str">
        <f t="shared" si="2"/>
        <v>M</v>
      </c>
      <c r="X6" s="4">
        <f t="shared" si="3"/>
        <v>1</v>
      </c>
      <c r="Y6" s="4" t="str">
        <f t="shared" si="4"/>
        <v/>
      </c>
      <c r="Z6" s="4" t="str">
        <f t="shared" si="5"/>
        <v/>
      </c>
      <c r="AA6" s="4">
        <f t="shared" si="6"/>
        <v>1</v>
      </c>
      <c r="AB6" s="4">
        <f t="shared" si="7"/>
        <v>2</v>
      </c>
      <c r="AC6" s="4">
        <f t="shared" si="8"/>
        <v>2</v>
      </c>
      <c r="AD6" s="4">
        <f t="shared" si="9"/>
        <v>2</v>
      </c>
      <c r="AE6" s="8" t="str">
        <f t="shared" si="10"/>
        <v>M</v>
      </c>
      <c r="AQ6" s="7" t="str">
        <f t="shared" si="11"/>
        <v>M</v>
      </c>
      <c r="AR6" s="4">
        <f t="shared" si="12"/>
        <v>1</v>
      </c>
      <c r="AS6" s="4">
        <f t="shared" si="13"/>
        <v>0</v>
      </c>
      <c r="AT6" s="4">
        <f t="shared" si="14"/>
        <v>0</v>
      </c>
      <c r="AU6" s="4">
        <f t="shared" si="15"/>
        <v>1</v>
      </c>
      <c r="AV6" s="4">
        <f t="shared" si="16"/>
        <v>2</v>
      </c>
      <c r="AW6" s="4">
        <f t="shared" si="17"/>
        <v>2</v>
      </c>
      <c r="AX6" s="4">
        <f t="shared" si="18"/>
        <v>2</v>
      </c>
      <c r="AY6" s="8" t="str">
        <f t="shared" si="19"/>
        <v>M</v>
      </c>
      <c r="BK6" s="15" t="s">
        <v>0</v>
      </c>
      <c r="BL6" s="16"/>
      <c r="BM6" s="16"/>
      <c r="BN6" s="16"/>
      <c r="BO6" s="16"/>
      <c r="BP6" s="16"/>
      <c r="BQ6" s="16"/>
      <c r="BR6" s="16"/>
      <c r="BS6" s="17" t="s">
        <v>0</v>
      </c>
    </row>
    <row r="7" spans="1:71" ht="36.950000000000003" customHeight="1" thickBot="1" x14ac:dyDescent="0.3">
      <c r="C7" s="23">
        <v>1</v>
      </c>
      <c r="D7" s="23">
        <v>1</v>
      </c>
      <c r="E7" s="23" t="s">
        <v>1</v>
      </c>
      <c r="F7" s="23" t="s">
        <v>1</v>
      </c>
      <c r="G7" s="23" t="s">
        <v>1</v>
      </c>
      <c r="H7" s="23">
        <v>1</v>
      </c>
      <c r="I7" s="24" t="s">
        <v>0</v>
      </c>
      <c r="J7" s="23">
        <v>2</v>
      </c>
      <c r="K7" s="23">
        <v>1</v>
      </c>
      <c r="L7" s="38" t="s">
        <v>8</v>
      </c>
      <c r="M7" s="39"/>
      <c r="N7" s="39"/>
      <c r="W7" s="7">
        <f t="shared" si="2"/>
        <v>1</v>
      </c>
      <c r="X7" s="4">
        <f t="shared" si="3"/>
        <v>1</v>
      </c>
      <c r="Y7" s="4" t="str">
        <f t="shared" si="4"/>
        <v/>
      </c>
      <c r="Z7" s="4" t="str">
        <f t="shared" si="5"/>
        <v/>
      </c>
      <c r="AA7" s="4" t="str">
        <f t="shared" si="6"/>
        <v/>
      </c>
      <c r="AB7" s="4">
        <f t="shared" si="7"/>
        <v>1</v>
      </c>
      <c r="AC7" s="4" t="str">
        <f t="shared" si="8"/>
        <v>M</v>
      </c>
      <c r="AD7" s="4">
        <f t="shared" si="9"/>
        <v>2</v>
      </c>
      <c r="AE7" s="8">
        <f t="shared" si="10"/>
        <v>1</v>
      </c>
      <c r="AQ7" s="7">
        <f t="shared" si="11"/>
        <v>1</v>
      </c>
      <c r="AR7" s="4">
        <f t="shared" si="12"/>
        <v>1</v>
      </c>
      <c r="AS7" s="4">
        <f t="shared" si="13"/>
        <v>0</v>
      </c>
      <c r="AT7" s="4">
        <f t="shared" si="14"/>
        <v>0</v>
      </c>
      <c r="AU7" s="4">
        <f t="shared" si="15"/>
        <v>0</v>
      </c>
      <c r="AV7" s="4">
        <f t="shared" si="16"/>
        <v>1</v>
      </c>
      <c r="AW7" s="4" t="str">
        <f t="shared" si="17"/>
        <v>M</v>
      </c>
      <c r="AX7" s="4">
        <f t="shared" si="18"/>
        <v>2</v>
      </c>
      <c r="AY7" s="8">
        <f t="shared" si="19"/>
        <v>1</v>
      </c>
      <c r="BK7" s="15"/>
      <c r="BL7" s="16"/>
      <c r="BM7" s="16"/>
      <c r="BN7" s="16"/>
      <c r="BO7" s="16"/>
      <c r="BP7" s="16"/>
      <c r="BQ7" s="16" t="s">
        <v>0</v>
      </c>
      <c r="BR7" s="16"/>
      <c r="BS7" s="17"/>
    </row>
    <row r="8" spans="1:71" ht="36.950000000000003" customHeight="1" thickBot="1" x14ac:dyDescent="0.3">
      <c r="A8" s="40"/>
      <c r="C8" s="23">
        <v>1</v>
      </c>
      <c r="D8" s="23">
        <v>2</v>
      </c>
      <c r="E8" s="23">
        <v>1</v>
      </c>
      <c r="F8" s="23">
        <v>1</v>
      </c>
      <c r="G8" s="23" t="s">
        <v>1</v>
      </c>
      <c r="H8" s="23">
        <v>1</v>
      </c>
      <c r="I8" s="23">
        <v>2</v>
      </c>
      <c r="J8" s="23">
        <v>2</v>
      </c>
      <c r="K8" s="23">
        <v>1</v>
      </c>
      <c r="L8" s="37">
        <v>42864.734047569444</v>
      </c>
      <c r="M8" s="36"/>
      <c r="N8" s="36"/>
      <c r="W8" s="7">
        <f t="shared" si="2"/>
        <v>1</v>
      </c>
      <c r="X8" s="4">
        <f t="shared" si="3"/>
        <v>2</v>
      </c>
      <c r="Y8" s="4">
        <f t="shared" si="4"/>
        <v>1</v>
      </c>
      <c r="Z8" s="4">
        <f t="shared" si="5"/>
        <v>1</v>
      </c>
      <c r="AA8" s="4" t="str">
        <f t="shared" si="6"/>
        <v/>
      </c>
      <c r="AB8" s="4">
        <f t="shared" si="7"/>
        <v>1</v>
      </c>
      <c r="AC8" s="4">
        <f t="shared" si="8"/>
        <v>2</v>
      </c>
      <c r="AD8" s="4">
        <f t="shared" si="9"/>
        <v>2</v>
      </c>
      <c r="AE8" s="8">
        <f t="shared" si="10"/>
        <v>1</v>
      </c>
      <c r="AQ8" s="7">
        <f t="shared" si="11"/>
        <v>1</v>
      </c>
      <c r="AR8" s="4">
        <f t="shared" si="12"/>
        <v>2</v>
      </c>
      <c r="AS8" s="4">
        <f t="shared" si="13"/>
        <v>1</v>
      </c>
      <c r="AT8" s="4">
        <f t="shared" si="14"/>
        <v>1</v>
      </c>
      <c r="AU8" s="4">
        <f t="shared" si="15"/>
        <v>0</v>
      </c>
      <c r="AV8" s="4">
        <f t="shared" si="16"/>
        <v>1</v>
      </c>
      <c r="AW8" s="4">
        <f t="shared" si="17"/>
        <v>2</v>
      </c>
      <c r="AX8" s="4">
        <f t="shared" si="18"/>
        <v>2</v>
      </c>
      <c r="AY8" s="8">
        <f t="shared" si="19"/>
        <v>1</v>
      </c>
      <c r="BK8" s="15"/>
      <c r="BL8" s="16"/>
      <c r="BM8" s="16"/>
      <c r="BN8" s="16"/>
      <c r="BO8" s="16"/>
      <c r="BP8" s="16"/>
      <c r="BQ8" s="16"/>
      <c r="BR8" s="16"/>
      <c r="BS8" s="17"/>
    </row>
    <row r="9" spans="1:71" ht="36.950000000000003" customHeight="1" thickBot="1" x14ac:dyDescent="0.3">
      <c r="A9" s="45"/>
      <c r="C9" s="24" t="s">
        <v>0</v>
      </c>
      <c r="D9" s="23">
        <v>2</v>
      </c>
      <c r="E9" s="24" t="s">
        <v>0</v>
      </c>
      <c r="F9" s="23">
        <v>1</v>
      </c>
      <c r="G9" s="23" t="s">
        <v>1</v>
      </c>
      <c r="H9" s="23" t="s">
        <v>1</v>
      </c>
      <c r="I9" s="23">
        <v>2</v>
      </c>
      <c r="J9" s="24" t="s">
        <v>0</v>
      </c>
      <c r="K9" s="23">
        <v>2</v>
      </c>
      <c r="L9" s="41" t="s">
        <v>9</v>
      </c>
      <c r="M9" s="42"/>
      <c r="N9" s="42"/>
      <c r="W9" s="7" t="str">
        <f t="shared" si="2"/>
        <v>M</v>
      </c>
      <c r="X9" s="4">
        <f t="shared" si="3"/>
        <v>2</v>
      </c>
      <c r="Y9" s="4" t="str">
        <f t="shared" si="4"/>
        <v>M</v>
      </c>
      <c r="Z9" s="4">
        <f t="shared" si="5"/>
        <v>1</v>
      </c>
      <c r="AA9" s="4" t="str">
        <f t="shared" si="6"/>
        <v/>
      </c>
      <c r="AB9" s="4" t="str">
        <f t="shared" si="7"/>
        <v/>
      </c>
      <c r="AC9" s="4">
        <f t="shared" si="8"/>
        <v>2</v>
      </c>
      <c r="AD9" s="4" t="str">
        <f t="shared" si="9"/>
        <v>M</v>
      </c>
      <c r="AE9" s="8">
        <f t="shared" si="10"/>
        <v>2</v>
      </c>
      <c r="AQ9" s="7" t="str">
        <f t="shared" si="11"/>
        <v>M</v>
      </c>
      <c r="AR9" s="4">
        <f t="shared" si="12"/>
        <v>2</v>
      </c>
      <c r="AS9" s="4" t="str">
        <f t="shared" si="13"/>
        <v>M</v>
      </c>
      <c r="AT9" s="4">
        <f t="shared" si="14"/>
        <v>1</v>
      </c>
      <c r="AU9" s="4">
        <f t="shared" si="15"/>
        <v>0</v>
      </c>
      <c r="AV9" s="4">
        <f t="shared" si="16"/>
        <v>0</v>
      </c>
      <c r="AW9" s="4">
        <f t="shared" si="17"/>
        <v>2</v>
      </c>
      <c r="AX9" s="4" t="str">
        <f t="shared" si="18"/>
        <v>M</v>
      </c>
      <c r="AY9" s="8">
        <f t="shared" si="19"/>
        <v>2</v>
      </c>
      <c r="BK9" s="15" t="s">
        <v>0</v>
      </c>
      <c r="BL9" s="16"/>
      <c r="BM9" s="16" t="s">
        <v>0</v>
      </c>
      <c r="BN9" s="16"/>
      <c r="BO9" s="16"/>
      <c r="BP9" s="16"/>
      <c r="BQ9" s="16"/>
      <c r="BR9" s="16" t="s">
        <v>0</v>
      </c>
      <c r="BS9" s="17"/>
    </row>
    <row r="10" spans="1:71" ht="36.950000000000003" customHeight="1" thickBot="1" x14ac:dyDescent="0.3">
      <c r="C10" s="23">
        <v>1</v>
      </c>
      <c r="D10" s="23">
        <v>2</v>
      </c>
      <c r="E10" s="23">
        <v>2</v>
      </c>
      <c r="F10" s="23">
        <v>2</v>
      </c>
      <c r="G10" s="23">
        <v>1</v>
      </c>
      <c r="H10" s="23" t="s">
        <v>1</v>
      </c>
      <c r="I10" s="23">
        <v>2</v>
      </c>
      <c r="J10" s="24" t="s">
        <v>0</v>
      </c>
      <c r="K10" s="23">
        <v>2</v>
      </c>
      <c r="L10" s="43"/>
      <c r="M10" s="44"/>
      <c r="N10" s="44"/>
      <c r="W10" s="7">
        <f t="shared" si="2"/>
        <v>1</v>
      </c>
      <c r="X10" s="4">
        <f t="shared" si="3"/>
        <v>2</v>
      </c>
      <c r="Y10" s="4">
        <f t="shared" si="4"/>
        <v>2</v>
      </c>
      <c r="Z10" s="4">
        <f t="shared" si="5"/>
        <v>2</v>
      </c>
      <c r="AA10" s="4">
        <f t="shared" si="6"/>
        <v>1</v>
      </c>
      <c r="AB10" s="4" t="str">
        <f t="shared" si="7"/>
        <v/>
      </c>
      <c r="AC10" s="4">
        <f t="shared" si="8"/>
        <v>2</v>
      </c>
      <c r="AD10" s="4" t="str">
        <f t="shared" si="9"/>
        <v>M</v>
      </c>
      <c r="AE10" s="8">
        <f t="shared" si="10"/>
        <v>2</v>
      </c>
      <c r="AQ10" s="7">
        <f t="shared" si="11"/>
        <v>1</v>
      </c>
      <c r="AR10" s="4">
        <f t="shared" si="12"/>
        <v>2</v>
      </c>
      <c r="AS10" s="4">
        <f t="shared" si="13"/>
        <v>2</v>
      </c>
      <c r="AT10" s="4">
        <f t="shared" si="14"/>
        <v>2</v>
      </c>
      <c r="AU10" s="4">
        <f t="shared" si="15"/>
        <v>1</v>
      </c>
      <c r="AV10" s="4">
        <f t="shared" si="16"/>
        <v>0</v>
      </c>
      <c r="AW10" s="4">
        <f t="shared" si="17"/>
        <v>2</v>
      </c>
      <c r="AX10" s="4" t="str">
        <f t="shared" si="18"/>
        <v>M</v>
      </c>
      <c r="AY10" s="8">
        <f t="shared" si="19"/>
        <v>2</v>
      </c>
      <c r="BK10" s="15"/>
      <c r="BL10" s="16"/>
      <c r="BM10" s="16"/>
      <c r="BN10" s="16"/>
      <c r="BO10" s="16"/>
      <c r="BP10" s="16"/>
      <c r="BQ10" s="16"/>
      <c r="BR10" s="16" t="s">
        <v>0</v>
      </c>
      <c r="BS10" s="17"/>
    </row>
    <row r="11" spans="1:71" ht="36.950000000000003" customHeight="1" thickBot="1" x14ac:dyDescent="0.3">
      <c r="C11" s="23" t="s">
        <v>1</v>
      </c>
      <c r="D11" s="23" t="s">
        <v>1</v>
      </c>
      <c r="E11" s="23">
        <v>1</v>
      </c>
      <c r="F11" s="24" t="s">
        <v>0</v>
      </c>
      <c r="G11" s="23">
        <v>1</v>
      </c>
      <c r="H11" s="23" t="s">
        <v>1</v>
      </c>
      <c r="I11" s="23">
        <v>1</v>
      </c>
      <c r="J11" s="23">
        <v>1</v>
      </c>
      <c r="K11" s="23">
        <v>1</v>
      </c>
      <c r="M11" s="48" t="s">
        <v>10</v>
      </c>
      <c r="W11" s="9" t="str">
        <f t="shared" si="2"/>
        <v/>
      </c>
      <c r="X11" s="10" t="str">
        <f t="shared" si="3"/>
        <v/>
      </c>
      <c r="Y11" s="10">
        <f t="shared" si="4"/>
        <v>1</v>
      </c>
      <c r="Z11" s="10" t="str">
        <f t="shared" si="5"/>
        <v>M</v>
      </c>
      <c r="AA11" s="10">
        <f t="shared" si="6"/>
        <v>1</v>
      </c>
      <c r="AB11" s="10" t="str">
        <f t="shared" si="7"/>
        <v/>
      </c>
      <c r="AC11" s="10">
        <f t="shared" si="8"/>
        <v>1</v>
      </c>
      <c r="AD11" s="10">
        <f t="shared" si="9"/>
        <v>1</v>
      </c>
      <c r="AE11" s="11">
        <f t="shared" si="10"/>
        <v>1</v>
      </c>
      <c r="AQ11" s="9">
        <f t="shared" si="11"/>
        <v>0</v>
      </c>
      <c r="AR11" s="10">
        <f t="shared" si="12"/>
        <v>0</v>
      </c>
      <c r="AS11" s="10">
        <f t="shared" si="13"/>
        <v>1</v>
      </c>
      <c r="AT11" s="10" t="str">
        <f t="shared" si="14"/>
        <v>M</v>
      </c>
      <c r="AU11" s="10">
        <f t="shared" si="15"/>
        <v>1</v>
      </c>
      <c r="AV11" s="10">
        <f t="shared" si="16"/>
        <v>0</v>
      </c>
      <c r="AW11" s="10">
        <f t="shared" si="17"/>
        <v>1</v>
      </c>
      <c r="AX11" s="10">
        <f t="shared" si="18"/>
        <v>1</v>
      </c>
      <c r="AY11" s="11">
        <f t="shared" si="19"/>
        <v>1</v>
      </c>
      <c r="BK11" s="18"/>
      <c r="BL11" s="19"/>
      <c r="BM11" s="19"/>
      <c r="BN11" s="19" t="s">
        <v>0</v>
      </c>
      <c r="BO11" s="19"/>
      <c r="BP11" s="19"/>
      <c r="BQ11" s="19"/>
      <c r="BR11" s="19"/>
      <c r="BS11" s="20"/>
    </row>
    <row r="12" spans="1:71" ht="36.950000000000003" customHeight="1" x14ac:dyDescent="0.25"/>
    <row r="13" spans="1:71" ht="36.950000000000003" customHeight="1" x14ac:dyDescent="0.5">
      <c r="C13" s="22" t="s">
        <v>2</v>
      </c>
      <c r="W13" s="21" t="s">
        <v>3</v>
      </c>
      <c r="Z13" s="1">
        <v>10</v>
      </c>
      <c r="AB13" s="1">
        <f>INDEX(Z13:Z15,MATCH(E1,W13:W15,0))</f>
        <v>10</v>
      </c>
    </row>
    <row r="14" spans="1:71" ht="36.950000000000003" customHeight="1" x14ac:dyDescent="0.5">
      <c r="W14" s="21" t="s">
        <v>4</v>
      </c>
      <c r="Z14" s="1">
        <v>15</v>
      </c>
    </row>
    <row r="15" spans="1:71" ht="36.950000000000003" customHeight="1" x14ac:dyDescent="0.5">
      <c r="W15" s="21" t="s">
        <v>5</v>
      </c>
      <c r="Z15" s="1">
        <v>20</v>
      </c>
    </row>
    <row r="16" spans="1:71" ht="36" hidden="1" customHeight="1" x14ac:dyDescent="0.25"/>
    <row r="17" spans="1:82" ht="36" hidden="1" customHeight="1" x14ac:dyDescent="0.25"/>
    <row r="18" spans="1:82" ht="36" hidden="1" customHeight="1" x14ac:dyDescent="0.25"/>
    <row r="19" spans="1:82" ht="36" hidden="1" customHeight="1" x14ac:dyDescent="0.25"/>
    <row r="20" spans="1:82" ht="36" hidden="1" customHeight="1" x14ac:dyDescent="0.25"/>
    <row r="21" spans="1:82" ht="36" hidden="1" customHeight="1" x14ac:dyDescent="0.25"/>
    <row r="22" spans="1:82" ht="36" hidden="1" customHeight="1" x14ac:dyDescent="0.25"/>
    <row r="23" spans="1:82" ht="36" hidden="1" customHeight="1" x14ac:dyDescent="0.25"/>
    <row r="24" spans="1:82" ht="36" hidden="1" customHeight="1" x14ac:dyDescent="0.25"/>
    <row r="25" spans="1:82" ht="36" hidden="1" customHeight="1" x14ac:dyDescent="0.25"/>
    <row r="26" spans="1:82" ht="36" hidden="1" customHeight="1" x14ac:dyDescent="0.25"/>
    <row r="27" spans="1:82" ht="36" hidden="1" customHeight="1" x14ac:dyDescent="0.25"/>
    <row r="28" spans="1:82" ht="36" hidden="1" customHeight="1" x14ac:dyDescent="0.25"/>
    <row r="29" spans="1:82" ht="36" hidden="1" customHeight="1" x14ac:dyDescent="0.25"/>
    <row r="30" spans="1:82" ht="36" hidden="1" customHeight="1" x14ac:dyDescent="0.25">
      <c r="A30" s="46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</row>
    <row r="31" spans="1:82" ht="36" hidden="1" customHeight="1" x14ac:dyDescent="0.25">
      <c r="A31" s="40">
        <v>0</v>
      </c>
      <c r="B31" s="1">
        <v>1.6072916696430184E-3</v>
      </c>
    </row>
  </sheetData>
  <mergeCells count="10">
    <mergeCell ref="L6:M6"/>
    <mergeCell ref="L7:N7"/>
    <mergeCell ref="L8:N8"/>
    <mergeCell ref="L9:N9"/>
    <mergeCell ref="L10:N10"/>
    <mergeCell ref="C1:D2"/>
    <mergeCell ref="E1:F1"/>
    <mergeCell ref="G1:J1"/>
    <mergeCell ref="E2:K2"/>
    <mergeCell ref="L5:M5"/>
  </mergeCells>
  <conditionalFormatting sqref="C3:K11">
    <cfRule type="cellIs" dxfId="8" priority="2" operator="equal">
      <formula>8</formula>
    </cfRule>
    <cfRule type="cellIs" dxfId="7" priority="3" operator="equal">
      <formula>7</formula>
    </cfRule>
    <cfRule type="cellIs" dxfId="6" priority="4" operator="equal">
      <formula>6</formula>
    </cfRule>
    <cfRule type="cellIs" dxfId="5" priority="5" operator="equal">
      <formula>5</formula>
    </cfRule>
    <cfRule type="cellIs" dxfId="4" priority="6" operator="equal">
      <formula>4</formula>
    </cfRule>
    <cfRule type="cellIs" dxfId="3" priority="7" operator="equal">
      <formula>3</formula>
    </cfRule>
    <cfRule type="cellIs" dxfId="2" priority="8" operator="equal">
      <formula>2</formula>
    </cfRule>
    <cfRule type="cellIs" dxfId="1" priority="9" operator="equal">
      <formula>1</formula>
    </cfRule>
  </conditionalFormatting>
  <conditionalFormatting sqref="E2:K2">
    <cfRule type="containsText" dxfId="0" priority="1" operator="containsText" text="BOOM">
      <formula>NOT(ISERROR(SEARCH("BOOM",E2)))</formula>
    </cfRule>
  </conditionalFormatting>
  <dataValidations count="1">
    <dataValidation type="list" allowBlank="1" showInputMessage="1" showErrorMessage="1" sqref="E1:F1">
      <formula1>$W$13:$W$15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defaultSize="0" autoLine="0" r:id="rId5">
            <anchor moveWithCells="1">
              <from>
                <xdr:col>2</xdr:col>
                <xdr:colOff>0</xdr:colOff>
                <xdr:row>1</xdr:row>
                <xdr:rowOff>457200</xdr:rowOff>
              </from>
              <to>
                <xdr:col>2</xdr:col>
                <xdr:colOff>609600</xdr:colOff>
                <xdr:row>2</xdr:row>
                <xdr:rowOff>466725</xdr:rowOff>
              </to>
            </anchor>
          </controlPr>
        </control>
      </mc:Choice>
      <mc:Fallback>
        <control shapeId="1032" r:id="rId4" name="CommandButton1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3</xdr:col>
                <xdr:colOff>0</xdr:colOff>
                <xdr:row>1</xdr:row>
                <xdr:rowOff>457200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34" r:id="rId8" name="CommandButton3">
          <controlPr defaultSize="0" autoLine="0" r:id="rId7">
            <anchor moveWithCells="1">
              <from>
                <xdr:col>4</xdr:col>
                <xdr:colOff>0</xdr:colOff>
                <xdr:row>1</xdr:row>
                <xdr:rowOff>457200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4" r:id="rId8" name="CommandButton3"/>
      </mc:Fallback>
    </mc:AlternateContent>
    <mc:AlternateContent xmlns:mc="http://schemas.openxmlformats.org/markup-compatibility/2006">
      <mc:Choice Requires="x14">
        <control shapeId="1035" r:id="rId9" name="CommandButton4">
          <controlPr defaultSize="0" autoLine="0" r:id="rId7">
            <anchor moveWithCells="1">
              <from>
                <xdr:col>5</xdr:col>
                <xdr:colOff>0</xdr:colOff>
                <xdr:row>1</xdr:row>
                <xdr:rowOff>457200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5" r:id="rId9" name="CommandButton4"/>
      </mc:Fallback>
    </mc:AlternateContent>
    <mc:AlternateContent xmlns:mc="http://schemas.openxmlformats.org/markup-compatibility/2006">
      <mc:Choice Requires="x14">
        <control shapeId="1036" r:id="rId10" name="CommandButton5">
          <controlPr defaultSize="0" autoLine="0" r:id="rId7">
            <anchor moveWithCells="1">
              <from>
                <xdr:col>6</xdr:col>
                <xdr:colOff>0</xdr:colOff>
                <xdr:row>1</xdr:row>
                <xdr:rowOff>457200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6" r:id="rId10" name="CommandButton5"/>
      </mc:Fallback>
    </mc:AlternateContent>
    <mc:AlternateContent xmlns:mc="http://schemas.openxmlformats.org/markup-compatibility/2006">
      <mc:Choice Requires="x14">
        <control shapeId="1037" r:id="rId11" name="CommandButton6">
          <controlPr defaultSize="0" autoLine="0" r:id="rId7">
            <anchor moveWithCells="1">
              <from>
                <xdr:col>7</xdr:col>
                <xdr:colOff>0</xdr:colOff>
                <xdr:row>1</xdr:row>
                <xdr:rowOff>457200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7" r:id="rId11" name="CommandButton6"/>
      </mc:Fallback>
    </mc:AlternateContent>
    <mc:AlternateContent xmlns:mc="http://schemas.openxmlformats.org/markup-compatibility/2006">
      <mc:Choice Requires="x14">
        <control shapeId="1038" r:id="rId12" name="CommandButton7">
          <controlPr defaultSize="0" autoLine="0" r:id="rId7">
            <anchor moveWithCells="1">
              <from>
                <xdr:col>8</xdr:col>
                <xdr:colOff>0</xdr:colOff>
                <xdr:row>1</xdr:row>
                <xdr:rowOff>457200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8" r:id="rId12" name="CommandButton7"/>
      </mc:Fallback>
    </mc:AlternateContent>
    <mc:AlternateContent xmlns:mc="http://schemas.openxmlformats.org/markup-compatibility/2006">
      <mc:Choice Requires="x14">
        <control shapeId="1039" r:id="rId13" name="CommandButton8">
          <controlPr defaultSize="0" autoLine="0" r:id="rId7">
            <anchor moveWithCells="1">
              <from>
                <xdr:col>9</xdr:col>
                <xdr:colOff>0</xdr:colOff>
                <xdr:row>1</xdr:row>
                <xdr:rowOff>457200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9" r:id="rId13" name="CommandButton8"/>
      </mc:Fallback>
    </mc:AlternateContent>
    <mc:AlternateContent xmlns:mc="http://schemas.openxmlformats.org/markup-compatibility/2006">
      <mc:Choice Requires="x14">
        <control shapeId="1040" r:id="rId14" name="CommandButton9">
          <controlPr defaultSize="0" autoLine="0" r:id="rId7">
            <anchor moveWithCells="1">
              <from>
                <xdr:col>10</xdr:col>
                <xdr:colOff>0</xdr:colOff>
                <xdr:row>1</xdr:row>
                <xdr:rowOff>457200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4" name="CommandButton9"/>
      </mc:Fallback>
    </mc:AlternateContent>
    <mc:AlternateContent xmlns:mc="http://schemas.openxmlformats.org/markup-compatibility/2006">
      <mc:Choice Requires="x14">
        <control shapeId="1041" r:id="rId15" name="CommandButton10">
          <controlPr defaultSize="0" autoLine="0" r:id="rId16">
            <anchor moveWithCells="1">
              <from>
                <xdr:col>2</xdr:col>
                <xdr:colOff>0</xdr:colOff>
                <xdr:row>2</xdr:row>
                <xdr:rowOff>457200</xdr:rowOff>
              </from>
              <to>
                <xdr:col>2</xdr:col>
                <xdr:colOff>609600</xdr:colOff>
                <xdr:row>3</xdr:row>
                <xdr:rowOff>457200</xdr:rowOff>
              </to>
            </anchor>
          </controlPr>
        </control>
      </mc:Choice>
      <mc:Fallback>
        <control shapeId="1041" r:id="rId15" name="CommandButton10"/>
      </mc:Fallback>
    </mc:AlternateContent>
    <mc:AlternateContent xmlns:mc="http://schemas.openxmlformats.org/markup-compatibility/2006">
      <mc:Choice Requires="x14">
        <control shapeId="1042" r:id="rId17" name="CommandButton11">
          <controlPr defaultSize="0" autoLine="0" r:id="rId18">
            <anchor moveWithCells="1">
              <from>
                <xdr:col>3</xdr:col>
                <xdr:colOff>0</xdr:colOff>
                <xdr:row>2</xdr:row>
                <xdr:rowOff>457200</xdr:rowOff>
              </from>
              <to>
                <xdr:col>4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2" r:id="rId17" name="CommandButton11"/>
      </mc:Fallback>
    </mc:AlternateContent>
    <mc:AlternateContent xmlns:mc="http://schemas.openxmlformats.org/markup-compatibility/2006">
      <mc:Choice Requires="x14">
        <control shapeId="1043" r:id="rId19" name="CommandButton12">
          <controlPr defaultSize="0" autoLine="0" r:id="rId18">
            <anchor moveWithCells="1">
              <from>
                <xdr:col>4</xdr:col>
                <xdr:colOff>0</xdr:colOff>
                <xdr:row>2</xdr:row>
                <xdr:rowOff>457200</xdr:rowOff>
              </from>
              <to>
                <xdr:col>5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3" r:id="rId19" name="CommandButton12"/>
      </mc:Fallback>
    </mc:AlternateContent>
    <mc:AlternateContent xmlns:mc="http://schemas.openxmlformats.org/markup-compatibility/2006">
      <mc:Choice Requires="x14">
        <control shapeId="1044" r:id="rId20" name="CommandButton13">
          <controlPr defaultSize="0" autoLine="0" r:id="rId18">
            <anchor moveWithCells="1">
              <from>
                <xdr:col>5</xdr:col>
                <xdr:colOff>0</xdr:colOff>
                <xdr:row>2</xdr:row>
                <xdr:rowOff>457200</xdr:rowOff>
              </from>
              <to>
                <xdr:col>6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4" r:id="rId20" name="CommandButton13"/>
      </mc:Fallback>
    </mc:AlternateContent>
    <mc:AlternateContent xmlns:mc="http://schemas.openxmlformats.org/markup-compatibility/2006">
      <mc:Choice Requires="x14">
        <control shapeId="1045" r:id="rId21" name="CommandButton14">
          <controlPr defaultSize="0" autoLine="0" r:id="rId18">
            <anchor moveWithCells="1">
              <from>
                <xdr:col>6</xdr:col>
                <xdr:colOff>0</xdr:colOff>
                <xdr:row>2</xdr:row>
                <xdr:rowOff>457200</xdr:rowOff>
              </from>
              <to>
                <xdr:col>7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5" r:id="rId21" name="CommandButton14"/>
      </mc:Fallback>
    </mc:AlternateContent>
    <mc:AlternateContent xmlns:mc="http://schemas.openxmlformats.org/markup-compatibility/2006">
      <mc:Choice Requires="x14">
        <control shapeId="1046" r:id="rId22" name="CommandButton15">
          <controlPr defaultSize="0" autoLine="0" r:id="rId18">
            <anchor moveWithCells="1">
              <from>
                <xdr:col>7</xdr:col>
                <xdr:colOff>0</xdr:colOff>
                <xdr:row>2</xdr:row>
                <xdr:rowOff>457200</xdr:rowOff>
              </from>
              <to>
                <xdr:col>8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6" r:id="rId22" name="CommandButton15"/>
      </mc:Fallback>
    </mc:AlternateContent>
    <mc:AlternateContent xmlns:mc="http://schemas.openxmlformats.org/markup-compatibility/2006">
      <mc:Choice Requires="x14">
        <control shapeId="1047" r:id="rId23" name="CommandButton16">
          <controlPr defaultSize="0" autoLine="0" r:id="rId18">
            <anchor moveWithCells="1">
              <from>
                <xdr:col>8</xdr:col>
                <xdr:colOff>0</xdr:colOff>
                <xdr:row>2</xdr:row>
                <xdr:rowOff>457200</xdr:rowOff>
              </from>
              <to>
                <xdr:col>9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7" r:id="rId23" name="CommandButton16"/>
      </mc:Fallback>
    </mc:AlternateContent>
    <mc:AlternateContent xmlns:mc="http://schemas.openxmlformats.org/markup-compatibility/2006">
      <mc:Choice Requires="x14">
        <control shapeId="1048" r:id="rId24" name="CommandButton17">
          <controlPr defaultSize="0" autoLine="0" r:id="rId18">
            <anchor moveWithCells="1">
              <from>
                <xdr:col>9</xdr:col>
                <xdr:colOff>0</xdr:colOff>
                <xdr:row>2</xdr:row>
                <xdr:rowOff>457200</xdr:rowOff>
              </from>
              <to>
                <xdr:col>10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8" r:id="rId24" name="CommandButton17"/>
      </mc:Fallback>
    </mc:AlternateContent>
    <mc:AlternateContent xmlns:mc="http://schemas.openxmlformats.org/markup-compatibility/2006">
      <mc:Choice Requires="x14">
        <control shapeId="1049" r:id="rId25" name="CommandButton18">
          <controlPr defaultSize="0" autoLine="0" r:id="rId18">
            <anchor moveWithCells="1">
              <from>
                <xdr:col>10</xdr:col>
                <xdr:colOff>0</xdr:colOff>
                <xdr:row>2</xdr:row>
                <xdr:rowOff>457200</xdr:rowOff>
              </from>
              <to>
                <xdr:col>11</xdr:col>
                <xdr:colOff>0</xdr:colOff>
                <xdr:row>3</xdr:row>
                <xdr:rowOff>457200</xdr:rowOff>
              </to>
            </anchor>
          </controlPr>
        </control>
      </mc:Choice>
      <mc:Fallback>
        <control shapeId="1049" r:id="rId25" name="CommandButton18"/>
      </mc:Fallback>
    </mc:AlternateContent>
    <mc:AlternateContent xmlns:mc="http://schemas.openxmlformats.org/markup-compatibility/2006">
      <mc:Choice Requires="x14">
        <control shapeId="1050" r:id="rId26" name="CommandButton19">
          <controlPr defaultSize="0" autoLine="0" r:id="rId16">
            <anchor moveWithCells="1">
              <from>
                <xdr:col>2</xdr:col>
                <xdr:colOff>0</xdr:colOff>
                <xdr:row>3</xdr:row>
                <xdr:rowOff>457200</xdr:rowOff>
              </from>
              <to>
                <xdr:col>2</xdr:col>
                <xdr:colOff>609600</xdr:colOff>
                <xdr:row>4</xdr:row>
                <xdr:rowOff>457200</xdr:rowOff>
              </to>
            </anchor>
          </controlPr>
        </control>
      </mc:Choice>
      <mc:Fallback>
        <control shapeId="1050" r:id="rId26" name="CommandButton19"/>
      </mc:Fallback>
    </mc:AlternateContent>
    <mc:AlternateContent xmlns:mc="http://schemas.openxmlformats.org/markup-compatibility/2006">
      <mc:Choice Requires="x14">
        <control shapeId="1051" r:id="rId27" name="CommandButton20">
          <controlPr defaultSize="0" autoLine="0" r:id="rId18">
            <anchor moveWithCells="1">
              <from>
                <xdr:col>3</xdr:col>
                <xdr:colOff>0</xdr:colOff>
                <xdr:row>3</xdr:row>
                <xdr:rowOff>457200</xdr:rowOff>
              </from>
              <to>
                <xdr:col>4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1" r:id="rId27" name="CommandButton20"/>
      </mc:Fallback>
    </mc:AlternateContent>
    <mc:AlternateContent xmlns:mc="http://schemas.openxmlformats.org/markup-compatibility/2006">
      <mc:Choice Requires="x14">
        <control shapeId="1052" r:id="rId28" name="CommandButton21">
          <controlPr defaultSize="0" autoLine="0" r:id="rId18">
            <anchor moveWithCells="1">
              <from>
                <xdr:col>4</xdr:col>
                <xdr:colOff>0</xdr:colOff>
                <xdr:row>3</xdr:row>
                <xdr:rowOff>457200</xdr:rowOff>
              </from>
              <to>
                <xdr:col>5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2" r:id="rId28" name="CommandButton21"/>
      </mc:Fallback>
    </mc:AlternateContent>
    <mc:AlternateContent xmlns:mc="http://schemas.openxmlformats.org/markup-compatibility/2006">
      <mc:Choice Requires="x14">
        <control shapeId="1053" r:id="rId29" name="CommandButton22">
          <controlPr defaultSize="0" autoLine="0" r:id="rId18">
            <anchor moveWithCells="1">
              <from>
                <xdr:col>5</xdr:col>
                <xdr:colOff>0</xdr:colOff>
                <xdr:row>3</xdr:row>
                <xdr:rowOff>457200</xdr:rowOff>
              </from>
              <to>
                <xdr:col>6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3" r:id="rId29" name="CommandButton22"/>
      </mc:Fallback>
    </mc:AlternateContent>
    <mc:AlternateContent xmlns:mc="http://schemas.openxmlformats.org/markup-compatibility/2006">
      <mc:Choice Requires="x14">
        <control shapeId="1054" r:id="rId30" name="CommandButton23">
          <controlPr defaultSize="0" autoLine="0" r:id="rId18">
            <anchor moveWithCells="1">
              <from>
                <xdr:col>6</xdr:col>
                <xdr:colOff>0</xdr:colOff>
                <xdr:row>3</xdr:row>
                <xdr:rowOff>457200</xdr:rowOff>
              </from>
              <to>
                <xdr:col>7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4" r:id="rId30" name="CommandButton23"/>
      </mc:Fallback>
    </mc:AlternateContent>
    <mc:AlternateContent xmlns:mc="http://schemas.openxmlformats.org/markup-compatibility/2006">
      <mc:Choice Requires="x14">
        <control shapeId="1055" r:id="rId31" name="CommandButton24">
          <controlPr defaultSize="0" autoLine="0" r:id="rId18">
            <anchor moveWithCells="1">
              <from>
                <xdr:col>7</xdr:col>
                <xdr:colOff>0</xdr:colOff>
                <xdr:row>3</xdr:row>
                <xdr:rowOff>457200</xdr:rowOff>
              </from>
              <to>
                <xdr:col>8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5" r:id="rId31" name="CommandButton24"/>
      </mc:Fallback>
    </mc:AlternateContent>
    <mc:AlternateContent xmlns:mc="http://schemas.openxmlformats.org/markup-compatibility/2006">
      <mc:Choice Requires="x14">
        <control shapeId="1056" r:id="rId32" name="CommandButton25">
          <controlPr defaultSize="0" autoLine="0" r:id="rId18">
            <anchor moveWithCells="1">
              <from>
                <xdr:col>8</xdr:col>
                <xdr:colOff>0</xdr:colOff>
                <xdr:row>3</xdr:row>
                <xdr:rowOff>457200</xdr:rowOff>
              </from>
              <to>
                <xdr:col>9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6" r:id="rId32" name="CommandButton25"/>
      </mc:Fallback>
    </mc:AlternateContent>
    <mc:AlternateContent xmlns:mc="http://schemas.openxmlformats.org/markup-compatibility/2006">
      <mc:Choice Requires="x14">
        <control shapeId="1057" r:id="rId33" name="CommandButton26">
          <controlPr defaultSize="0" autoLine="0" r:id="rId18">
            <anchor moveWithCells="1">
              <from>
                <xdr:col>9</xdr:col>
                <xdr:colOff>0</xdr:colOff>
                <xdr:row>3</xdr:row>
                <xdr:rowOff>457200</xdr:rowOff>
              </from>
              <to>
                <xdr:col>10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7" r:id="rId33" name="CommandButton26"/>
      </mc:Fallback>
    </mc:AlternateContent>
    <mc:AlternateContent xmlns:mc="http://schemas.openxmlformats.org/markup-compatibility/2006">
      <mc:Choice Requires="x14">
        <control shapeId="1058" r:id="rId34" name="CommandButton27">
          <controlPr defaultSize="0" autoLine="0" r:id="rId18">
            <anchor moveWithCells="1">
              <from>
                <xdr:col>10</xdr:col>
                <xdr:colOff>0</xdr:colOff>
                <xdr:row>3</xdr:row>
                <xdr:rowOff>457200</xdr:rowOff>
              </from>
              <to>
                <xdr:col>11</xdr:col>
                <xdr:colOff>0</xdr:colOff>
                <xdr:row>4</xdr:row>
                <xdr:rowOff>457200</xdr:rowOff>
              </to>
            </anchor>
          </controlPr>
        </control>
      </mc:Choice>
      <mc:Fallback>
        <control shapeId="1058" r:id="rId34" name="CommandButton27"/>
      </mc:Fallback>
    </mc:AlternateContent>
    <mc:AlternateContent xmlns:mc="http://schemas.openxmlformats.org/markup-compatibility/2006">
      <mc:Choice Requires="x14">
        <control shapeId="1059" r:id="rId35" name="CommandButton28">
          <controlPr defaultSize="0" autoLine="0" r:id="rId16">
            <anchor moveWithCells="1">
              <from>
                <xdr:col>2</xdr:col>
                <xdr:colOff>0</xdr:colOff>
                <xdr:row>4</xdr:row>
                <xdr:rowOff>466725</xdr:rowOff>
              </from>
              <to>
                <xdr:col>2</xdr:col>
                <xdr:colOff>609600</xdr:colOff>
                <xdr:row>5</xdr:row>
                <xdr:rowOff>466725</xdr:rowOff>
              </to>
            </anchor>
          </controlPr>
        </control>
      </mc:Choice>
      <mc:Fallback>
        <control shapeId="1059" r:id="rId35" name="CommandButton28"/>
      </mc:Fallback>
    </mc:AlternateContent>
    <mc:AlternateContent xmlns:mc="http://schemas.openxmlformats.org/markup-compatibility/2006">
      <mc:Choice Requires="x14">
        <control shapeId="1060" r:id="rId36" name="CommandButton29">
          <controlPr defaultSize="0" autoLine="0" r:id="rId18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0" r:id="rId36" name="CommandButton29"/>
      </mc:Fallback>
    </mc:AlternateContent>
    <mc:AlternateContent xmlns:mc="http://schemas.openxmlformats.org/markup-compatibility/2006">
      <mc:Choice Requires="x14">
        <control shapeId="1061" r:id="rId37" name="CommandButton30">
          <controlPr defaultSize="0" autoLine="0" r:id="rId18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1" r:id="rId37" name="CommandButton30"/>
      </mc:Fallback>
    </mc:AlternateContent>
    <mc:AlternateContent xmlns:mc="http://schemas.openxmlformats.org/markup-compatibility/2006">
      <mc:Choice Requires="x14">
        <control shapeId="1062" r:id="rId38" name="CommandButton31">
          <controlPr defaultSize="0" autoLine="0" r:id="rId18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2" r:id="rId38" name="CommandButton31"/>
      </mc:Fallback>
    </mc:AlternateContent>
    <mc:AlternateContent xmlns:mc="http://schemas.openxmlformats.org/markup-compatibility/2006">
      <mc:Choice Requires="x14">
        <control shapeId="1063" r:id="rId39" name="CommandButton32">
          <controlPr defaultSize="0" autoLine="0" r:id="rId18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3" r:id="rId39" name="CommandButton32"/>
      </mc:Fallback>
    </mc:AlternateContent>
    <mc:AlternateContent xmlns:mc="http://schemas.openxmlformats.org/markup-compatibility/2006">
      <mc:Choice Requires="x14">
        <control shapeId="1064" r:id="rId40" name="CommandButton33">
          <controlPr defaultSize="0" autoLine="0" r:id="rId18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4" r:id="rId40" name="CommandButton33"/>
      </mc:Fallback>
    </mc:AlternateContent>
    <mc:AlternateContent xmlns:mc="http://schemas.openxmlformats.org/markup-compatibility/2006">
      <mc:Choice Requires="x14">
        <control shapeId="1065" r:id="rId41" name="CommandButton34">
          <controlPr defaultSize="0" autoLine="0" r:id="rId18">
            <anchor moveWithCells="1">
              <from>
                <xdr:col>8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5" r:id="rId41" name="CommandButton34"/>
      </mc:Fallback>
    </mc:AlternateContent>
    <mc:AlternateContent xmlns:mc="http://schemas.openxmlformats.org/markup-compatibility/2006">
      <mc:Choice Requires="x14">
        <control shapeId="1066" r:id="rId42" name="CommandButton35">
          <controlPr defaultSize="0" autoLine="0" r:id="rId18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10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6" r:id="rId42" name="CommandButton35"/>
      </mc:Fallback>
    </mc:AlternateContent>
    <mc:AlternateContent xmlns:mc="http://schemas.openxmlformats.org/markup-compatibility/2006">
      <mc:Choice Requires="x14">
        <control shapeId="1067" r:id="rId43" name="CommandButton36">
          <controlPr defaultSize="0" autoLine="0" r:id="rId18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67" r:id="rId43" name="CommandButton36"/>
      </mc:Fallback>
    </mc:AlternateContent>
    <mc:AlternateContent xmlns:mc="http://schemas.openxmlformats.org/markup-compatibility/2006">
      <mc:Choice Requires="x14">
        <control shapeId="1068" r:id="rId44" name="CommandButton37">
          <controlPr defaultSize="0" autoLine="0" r:id="rId45">
            <anchor moveWithCells="1">
              <from>
                <xdr:col>2</xdr:col>
                <xdr:colOff>0</xdr:colOff>
                <xdr:row>5</xdr:row>
                <xdr:rowOff>466725</xdr:rowOff>
              </from>
              <to>
                <xdr:col>2</xdr:col>
                <xdr:colOff>609600</xdr:colOff>
                <xdr:row>6</xdr:row>
                <xdr:rowOff>457200</xdr:rowOff>
              </to>
            </anchor>
          </controlPr>
        </control>
      </mc:Choice>
      <mc:Fallback>
        <control shapeId="1068" r:id="rId44" name="CommandButton37"/>
      </mc:Fallback>
    </mc:AlternateContent>
    <mc:AlternateContent xmlns:mc="http://schemas.openxmlformats.org/markup-compatibility/2006">
      <mc:Choice Requires="x14">
        <control shapeId="1069" r:id="rId46" name="CommandButton38">
          <controlPr defaultSize="0" autoLine="0" r:id="rId47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4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69" r:id="rId46" name="CommandButton38"/>
      </mc:Fallback>
    </mc:AlternateContent>
    <mc:AlternateContent xmlns:mc="http://schemas.openxmlformats.org/markup-compatibility/2006">
      <mc:Choice Requires="x14">
        <control shapeId="1070" r:id="rId48" name="CommandButton39">
          <controlPr defaultSize="0" autoLine="0" r:id="rId47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0" r:id="rId48" name="CommandButton39"/>
      </mc:Fallback>
    </mc:AlternateContent>
    <mc:AlternateContent xmlns:mc="http://schemas.openxmlformats.org/markup-compatibility/2006">
      <mc:Choice Requires="x14">
        <control shapeId="1071" r:id="rId49" name="CommandButton40">
          <controlPr defaultSize="0" autoLine="0" r:id="rId47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1" r:id="rId49" name="CommandButton40"/>
      </mc:Fallback>
    </mc:AlternateContent>
    <mc:AlternateContent xmlns:mc="http://schemas.openxmlformats.org/markup-compatibility/2006">
      <mc:Choice Requires="x14">
        <control shapeId="1072" r:id="rId50" name="CommandButton41">
          <controlPr defaultSize="0" autoLine="0" r:id="rId47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7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2" r:id="rId50" name="CommandButton41"/>
      </mc:Fallback>
    </mc:AlternateContent>
    <mc:AlternateContent xmlns:mc="http://schemas.openxmlformats.org/markup-compatibility/2006">
      <mc:Choice Requires="x14">
        <control shapeId="1073" r:id="rId51" name="CommandButton42">
          <controlPr defaultSize="0" autoLine="0" r:id="rId47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3" r:id="rId51" name="CommandButton42"/>
      </mc:Fallback>
    </mc:AlternateContent>
    <mc:AlternateContent xmlns:mc="http://schemas.openxmlformats.org/markup-compatibility/2006">
      <mc:Choice Requires="x14">
        <control shapeId="1074" r:id="rId52" name="CommandButton43">
          <controlPr defaultSize="0" autoLine="0" r:id="rId47">
            <anchor moveWithCells="1">
              <from>
                <xdr:col>8</xdr:col>
                <xdr:colOff>0</xdr:colOff>
                <xdr:row>6</xdr:row>
                <xdr:rowOff>0</xdr:rowOff>
              </from>
              <to>
                <xdr:col>9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4" r:id="rId52" name="CommandButton43"/>
      </mc:Fallback>
    </mc:AlternateContent>
    <mc:AlternateContent xmlns:mc="http://schemas.openxmlformats.org/markup-compatibility/2006">
      <mc:Choice Requires="x14">
        <control shapeId="1075" r:id="rId53" name="CommandButton44">
          <controlPr defaultSize="0" autoLine="0" r:id="rId47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10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5" r:id="rId53" name="CommandButton44"/>
      </mc:Fallback>
    </mc:AlternateContent>
    <mc:AlternateContent xmlns:mc="http://schemas.openxmlformats.org/markup-compatibility/2006">
      <mc:Choice Requires="x14">
        <control shapeId="1076" r:id="rId54" name="CommandButton45">
          <controlPr defaultSize="0" autoLine="0" r:id="rId47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11</xdr:col>
                <xdr:colOff>0</xdr:colOff>
                <xdr:row>6</xdr:row>
                <xdr:rowOff>457200</xdr:rowOff>
              </to>
            </anchor>
          </controlPr>
        </control>
      </mc:Choice>
      <mc:Fallback>
        <control shapeId="1076" r:id="rId54" name="CommandButton45"/>
      </mc:Fallback>
    </mc:AlternateContent>
    <mc:AlternateContent xmlns:mc="http://schemas.openxmlformats.org/markup-compatibility/2006">
      <mc:Choice Requires="x14">
        <control shapeId="1077" r:id="rId55" name="CommandButton46">
          <controlPr defaultSize="0" autoLine="0" r:id="rId45">
            <anchor moveWithCells="1">
              <from>
                <xdr:col>2</xdr:col>
                <xdr:colOff>0</xdr:colOff>
                <xdr:row>6</xdr:row>
                <xdr:rowOff>466725</xdr:rowOff>
              </from>
              <to>
                <xdr:col>2</xdr:col>
                <xdr:colOff>609600</xdr:colOff>
                <xdr:row>7</xdr:row>
                <xdr:rowOff>457200</xdr:rowOff>
              </to>
            </anchor>
          </controlPr>
        </control>
      </mc:Choice>
      <mc:Fallback>
        <control shapeId="1077" r:id="rId55" name="CommandButton46"/>
      </mc:Fallback>
    </mc:AlternateContent>
    <mc:AlternateContent xmlns:mc="http://schemas.openxmlformats.org/markup-compatibility/2006">
      <mc:Choice Requires="x14">
        <control shapeId="1078" r:id="rId56" name="CommandButton47">
          <controlPr defaultSize="0" autoLine="0" r:id="rId47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4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78" r:id="rId56" name="CommandButton47"/>
      </mc:Fallback>
    </mc:AlternateContent>
    <mc:AlternateContent xmlns:mc="http://schemas.openxmlformats.org/markup-compatibility/2006">
      <mc:Choice Requires="x14">
        <control shapeId="1079" r:id="rId57" name="CommandButton48">
          <controlPr defaultSize="0" autoLine="0" r:id="rId4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79" r:id="rId57" name="CommandButton48"/>
      </mc:Fallback>
    </mc:AlternateContent>
    <mc:AlternateContent xmlns:mc="http://schemas.openxmlformats.org/markup-compatibility/2006">
      <mc:Choice Requires="x14">
        <control shapeId="1080" r:id="rId58" name="CommandButton49">
          <controlPr defaultSize="0" autoLine="0" r:id="rId47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80" r:id="rId58" name="CommandButton49"/>
      </mc:Fallback>
    </mc:AlternateContent>
    <mc:AlternateContent xmlns:mc="http://schemas.openxmlformats.org/markup-compatibility/2006">
      <mc:Choice Requires="x14">
        <control shapeId="1081" r:id="rId59" name="CommandButton50">
          <controlPr defaultSize="0" autoLine="0" r:id="rId47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7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81" r:id="rId59" name="CommandButton50"/>
      </mc:Fallback>
    </mc:AlternateContent>
    <mc:AlternateContent xmlns:mc="http://schemas.openxmlformats.org/markup-compatibility/2006">
      <mc:Choice Requires="x14">
        <control shapeId="1082" r:id="rId60" name="CommandButton51">
          <controlPr defaultSize="0" autoLine="0" r:id="rId47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8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82" r:id="rId60" name="CommandButton51"/>
      </mc:Fallback>
    </mc:AlternateContent>
    <mc:AlternateContent xmlns:mc="http://schemas.openxmlformats.org/markup-compatibility/2006">
      <mc:Choice Requires="x14">
        <control shapeId="1083" r:id="rId61" name="CommandButton52">
          <controlPr defaultSize="0" autoLine="0" r:id="rId47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83" r:id="rId61" name="CommandButton52"/>
      </mc:Fallback>
    </mc:AlternateContent>
    <mc:AlternateContent xmlns:mc="http://schemas.openxmlformats.org/markup-compatibility/2006">
      <mc:Choice Requires="x14">
        <control shapeId="1084" r:id="rId62" name="CommandButton53">
          <controlPr defaultSize="0" autoLine="0" r:id="rId47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10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84" r:id="rId62" name="CommandButton53"/>
      </mc:Fallback>
    </mc:AlternateContent>
    <mc:AlternateContent xmlns:mc="http://schemas.openxmlformats.org/markup-compatibility/2006">
      <mc:Choice Requires="x14">
        <control shapeId="1085" r:id="rId63" name="CommandButton54">
          <controlPr defaultSize="0" autoLine="0" r:id="rId47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7</xdr:row>
                <xdr:rowOff>457200</xdr:rowOff>
              </to>
            </anchor>
          </controlPr>
        </control>
      </mc:Choice>
      <mc:Fallback>
        <control shapeId="1085" r:id="rId63" name="CommandButton54"/>
      </mc:Fallback>
    </mc:AlternateContent>
    <mc:AlternateContent xmlns:mc="http://schemas.openxmlformats.org/markup-compatibility/2006">
      <mc:Choice Requires="x14">
        <control shapeId="1086" r:id="rId64" name="CommandButton55">
          <controlPr defaultSize="0" autoLine="0" r:id="rId16">
            <anchor moveWithCells="1">
              <from>
                <xdr:col>2</xdr:col>
                <xdr:colOff>0</xdr:colOff>
                <xdr:row>7</xdr:row>
                <xdr:rowOff>466725</xdr:rowOff>
              </from>
              <to>
                <xdr:col>2</xdr:col>
                <xdr:colOff>609600</xdr:colOff>
                <xdr:row>9</xdr:row>
                <xdr:rowOff>0</xdr:rowOff>
              </to>
            </anchor>
          </controlPr>
        </control>
      </mc:Choice>
      <mc:Fallback>
        <control shapeId="1086" r:id="rId64" name="CommandButton55"/>
      </mc:Fallback>
    </mc:AlternateContent>
    <mc:AlternateContent xmlns:mc="http://schemas.openxmlformats.org/markup-compatibility/2006">
      <mc:Choice Requires="x14">
        <control shapeId="1087" r:id="rId65" name="CommandButton56">
          <controlPr defaultSize="0" autoLine="0" r:id="rId18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87" r:id="rId65" name="CommandButton56"/>
      </mc:Fallback>
    </mc:AlternateContent>
    <mc:AlternateContent xmlns:mc="http://schemas.openxmlformats.org/markup-compatibility/2006">
      <mc:Choice Requires="x14">
        <control shapeId="1088" r:id="rId66" name="CommandButton57">
          <controlPr defaultSize="0" autoLine="0" r:id="rId18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88" r:id="rId66" name="CommandButton57"/>
      </mc:Fallback>
    </mc:AlternateContent>
    <mc:AlternateContent xmlns:mc="http://schemas.openxmlformats.org/markup-compatibility/2006">
      <mc:Choice Requires="x14">
        <control shapeId="1089" r:id="rId67" name="CommandButton58">
          <controlPr defaultSize="0" autoLine="0" r:id="rId18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89" r:id="rId67" name="CommandButton58"/>
      </mc:Fallback>
    </mc:AlternateContent>
    <mc:AlternateContent xmlns:mc="http://schemas.openxmlformats.org/markup-compatibility/2006">
      <mc:Choice Requires="x14">
        <control shapeId="1090" r:id="rId68" name="CommandButton59">
          <controlPr defaultSize="0" autoLine="0" r:id="rId18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0" r:id="rId68" name="CommandButton59"/>
      </mc:Fallback>
    </mc:AlternateContent>
    <mc:AlternateContent xmlns:mc="http://schemas.openxmlformats.org/markup-compatibility/2006">
      <mc:Choice Requires="x14">
        <control shapeId="1091" r:id="rId69" name="CommandButton60">
          <controlPr defaultSize="0" autoLine="0" r:id="rId18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1" r:id="rId69" name="CommandButton60"/>
      </mc:Fallback>
    </mc:AlternateContent>
    <mc:AlternateContent xmlns:mc="http://schemas.openxmlformats.org/markup-compatibility/2006">
      <mc:Choice Requires="x14">
        <control shapeId="1092" r:id="rId70" name="CommandButton61">
          <controlPr defaultSize="0" autoLine="0" r:id="rId18">
            <anchor moveWithCells="1">
              <from>
                <xdr:col>8</xdr:col>
                <xdr:colOff>0</xdr:colOff>
                <xdr:row>8</xdr:row>
                <xdr:rowOff>0</xdr:rowOff>
              </from>
              <to>
                <xdr:col>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2" r:id="rId70" name="CommandButton61"/>
      </mc:Fallback>
    </mc:AlternateContent>
    <mc:AlternateContent xmlns:mc="http://schemas.openxmlformats.org/markup-compatibility/2006">
      <mc:Choice Requires="x14">
        <control shapeId="1093" r:id="rId71" name="CommandButton62">
          <controlPr defaultSize="0" autoLine="0" r:id="rId18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3" r:id="rId71" name="CommandButton62"/>
      </mc:Fallback>
    </mc:AlternateContent>
    <mc:AlternateContent xmlns:mc="http://schemas.openxmlformats.org/markup-compatibility/2006">
      <mc:Choice Requires="x14">
        <control shapeId="1094" r:id="rId72" name="CommandButton63">
          <controlPr defaultSize="0" autoLine="0" r:id="rId18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94" r:id="rId72" name="CommandButton63"/>
      </mc:Fallback>
    </mc:AlternateContent>
    <mc:AlternateContent xmlns:mc="http://schemas.openxmlformats.org/markup-compatibility/2006">
      <mc:Choice Requires="x14">
        <control shapeId="1095" r:id="rId73" name="CommandButton64">
          <controlPr defaultSize="0" autoLine="0" r:id="rId45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2</xdr:col>
                <xdr:colOff>609600</xdr:colOff>
                <xdr:row>9</xdr:row>
                <xdr:rowOff>457200</xdr:rowOff>
              </to>
            </anchor>
          </controlPr>
        </control>
      </mc:Choice>
      <mc:Fallback>
        <control shapeId="1095" r:id="rId73" name="CommandButton64"/>
      </mc:Fallback>
    </mc:AlternateContent>
    <mc:AlternateContent xmlns:mc="http://schemas.openxmlformats.org/markup-compatibility/2006">
      <mc:Choice Requires="x14">
        <control shapeId="1096" r:id="rId74" name="CommandButton65">
          <controlPr defaultSize="0" autoLine="0" r:id="rId47">
            <anchor moveWithCells="1">
              <from>
                <xdr:col>3</xdr:col>
                <xdr:colOff>0</xdr:colOff>
                <xdr:row>9</xdr:row>
                <xdr:rowOff>0</xdr:rowOff>
              </from>
              <to>
                <xdr:col>4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096" r:id="rId74" name="CommandButton65"/>
      </mc:Fallback>
    </mc:AlternateContent>
    <mc:AlternateContent xmlns:mc="http://schemas.openxmlformats.org/markup-compatibility/2006">
      <mc:Choice Requires="x14">
        <control shapeId="1097" r:id="rId75" name="CommandButton66">
          <controlPr defaultSize="0" autoLine="0" r:id="rId4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097" r:id="rId75" name="CommandButton66"/>
      </mc:Fallback>
    </mc:AlternateContent>
    <mc:AlternateContent xmlns:mc="http://schemas.openxmlformats.org/markup-compatibility/2006">
      <mc:Choice Requires="x14">
        <control shapeId="1098" r:id="rId76" name="CommandButton67">
          <controlPr defaultSize="0" autoLine="0" r:id="rId47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098" r:id="rId76" name="CommandButton67"/>
      </mc:Fallback>
    </mc:AlternateContent>
    <mc:AlternateContent xmlns:mc="http://schemas.openxmlformats.org/markup-compatibility/2006">
      <mc:Choice Requires="x14">
        <control shapeId="1099" r:id="rId77" name="CommandButton68">
          <controlPr defaultSize="0" autoLine="0" r:id="rId47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7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099" r:id="rId77" name="CommandButton68"/>
      </mc:Fallback>
    </mc:AlternateContent>
    <mc:AlternateContent xmlns:mc="http://schemas.openxmlformats.org/markup-compatibility/2006">
      <mc:Choice Requires="x14">
        <control shapeId="1100" r:id="rId78" name="CommandButton69">
          <controlPr defaultSize="0" autoLine="0" r:id="rId47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8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100" r:id="rId78" name="CommandButton69"/>
      </mc:Fallback>
    </mc:AlternateContent>
    <mc:AlternateContent xmlns:mc="http://schemas.openxmlformats.org/markup-compatibility/2006">
      <mc:Choice Requires="x14">
        <control shapeId="1101" r:id="rId79" name="CommandButton70">
          <controlPr defaultSize="0" autoLine="0" r:id="rId4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101" r:id="rId79" name="CommandButton70"/>
      </mc:Fallback>
    </mc:AlternateContent>
    <mc:AlternateContent xmlns:mc="http://schemas.openxmlformats.org/markup-compatibility/2006">
      <mc:Choice Requires="x14">
        <control shapeId="1102" r:id="rId80" name="CommandButton71">
          <controlPr defaultSize="0" autoLine="0" r:id="rId47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10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102" r:id="rId80" name="CommandButton71"/>
      </mc:Fallback>
    </mc:AlternateContent>
    <mc:AlternateContent xmlns:mc="http://schemas.openxmlformats.org/markup-compatibility/2006">
      <mc:Choice Requires="x14">
        <control shapeId="1103" r:id="rId81" name="CommandButton72">
          <controlPr defaultSize="0" autoLine="0" r:id="rId47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9</xdr:row>
                <xdr:rowOff>457200</xdr:rowOff>
              </to>
            </anchor>
          </controlPr>
        </control>
      </mc:Choice>
      <mc:Fallback>
        <control shapeId="1103" r:id="rId81" name="CommandButton72"/>
      </mc:Fallback>
    </mc:AlternateContent>
    <mc:AlternateContent xmlns:mc="http://schemas.openxmlformats.org/markup-compatibility/2006">
      <mc:Choice Requires="x14">
        <control shapeId="1104" r:id="rId82" name="CommandButton73">
          <controlPr defaultSize="0" autoLine="0" r:id="rId5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2</xdr:col>
                <xdr:colOff>609600</xdr:colOff>
                <xdr:row>11</xdr:row>
                <xdr:rowOff>9525</xdr:rowOff>
              </to>
            </anchor>
          </controlPr>
        </control>
      </mc:Choice>
      <mc:Fallback>
        <control shapeId="1104" r:id="rId82" name="CommandButton73"/>
      </mc:Fallback>
    </mc:AlternateContent>
    <mc:AlternateContent xmlns:mc="http://schemas.openxmlformats.org/markup-compatibility/2006">
      <mc:Choice Requires="x14">
        <control shapeId="1105" r:id="rId83" name="CommandButton74">
          <controlPr defaultSize="0" autoLine="0" r:id="rId7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4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05" r:id="rId83" name="CommandButton74"/>
      </mc:Fallback>
    </mc:AlternateContent>
    <mc:AlternateContent xmlns:mc="http://schemas.openxmlformats.org/markup-compatibility/2006">
      <mc:Choice Requires="x14">
        <control shapeId="1106" r:id="rId84" name="CommandButton75">
          <controlPr defaultSize="0" autoLine="0" r:id="rId7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5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06" r:id="rId84" name="CommandButton75"/>
      </mc:Fallback>
    </mc:AlternateContent>
    <mc:AlternateContent xmlns:mc="http://schemas.openxmlformats.org/markup-compatibility/2006">
      <mc:Choice Requires="x14">
        <control shapeId="1107" r:id="rId85" name="CommandButton76">
          <controlPr defaultSize="0" autoLine="0" r:id="rId7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07" r:id="rId85" name="CommandButton76"/>
      </mc:Fallback>
    </mc:AlternateContent>
    <mc:AlternateContent xmlns:mc="http://schemas.openxmlformats.org/markup-compatibility/2006">
      <mc:Choice Requires="x14">
        <control shapeId="1108" r:id="rId86" name="CommandButton77">
          <controlPr defaultSize="0" autoLine="0" r:id="rId7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7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08" r:id="rId86" name="CommandButton77"/>
      </mc:Fallback>
    </mc:AlternateContent>
    <mc:AlternateContent xmlns:mc="http://schemas.openxmlformats.org/markup-compatibility/2006">
      <mc:Choice Requires="x14">
        <control shapeId="1109" r:id="rId87" name="CommandButton78">
          <controlPr defaultSize="0" autoLine="0" r:id="rId7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8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09" r:id="rId87" name="CommandButton78"/>
      </mc:Fallback>
    </mc:AlternateContent>
    <mc:AlternateContent xmlns:mc="http://schemas.openxmlformats.org/markup-compatibility/2006">
      <mc:Choice Requires="x14">
        <control shapeId="1110" r:id="rId88" name="CommandButton79">
          <controlPr defaultSize="0" autoLine="0" r:id="rId7">
            <anchor moveWithCells="1">
              <from>
                <xdr:col>8</xdr:col>
                <xdr:colOff>0</xdr:colOff>
                <xdr:row>10</xdr:row>
                <xdr:rowOff>0</xdr:rowOff>
              </from>
              <to>
                <xdr:col>9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10" r:id="rId88" name="CommandButton79"/>
      </mc:Fallback>
    </mc:AlternateContent>
    <mc:AlternateContent xmlns:mc="http://schemas.openxmlformats.org/markup-compatibility/2006">
      <mc:Choice Requires="x14">
        <control shapeId="1111" r:id="rId89" name="CommandButton80">
          <controlPr defaultSize="0" autoLine="0" r:id="rId7">
            <anchor moveWithCells="1">
              <from>
                <xdr:col>9</xdr:col>
                <xdr:colOff>0</xdr:colOff>
                <xdr:row>10</xdr:row>
                <xdr:rowOff>0</xdr:rowOff>
              </from>
              <to>
                <xdr:col>10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11" r:id="rId89" name="CommandButton80"/>
      </mc:Fallback>
    </mc:AlternateContent>
    <mc:AlternateContent xmlns:mc="http://schemas.openxmlformats.org/markup-compatibility/2006">
      <mc:Choice Requires="x14">
        <control shapeId="1112" r:id="rId90" name="CommandButton81">
          <controlPr defaultSize="0" autoLine="0" r:id="rId7">
            <anchor moveWithCells="1">
              <from>
                <xdr:col>10</xdr:col>
                <xdr:colOff>0</xdr:colOff>
                <xdr:row>10</xdr:row>
                <xdr:rowOff>0</xdr:rowOff>
              </from>
              <to>
                <xdr:col>11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1112" r:id="rId90" name="CommandButton81"/>
      </mc:Fallback>
    </mc:AlternateContent>
    <mc:AlternateContent xmlns:mc="http://schemas.openxmlformats.org/markup-compatibility/2006">
      <mc:Choice Requires="x14">
        <control shapeId="1129" r:id="rId91" name="Check Box 105">
          <controlPr defaultSize="0" autoFill="0" autoLine="0" autoPict="0">
            <anchor moveWithCells="1">
              <from>
                <xdr:col>13</xdr:col>
                <xdr:colOff>133350</xdr:colOff>
                <xdr:row>5</xdr:row>
                <xdr:rowOff>38100</xdr:rowOff>
              </from>
              <to>
                <xdr:col>13</xdr:col>
                <xdr:colOff>390525</xdr:colOff>
                <xdr:row>5</xdr:row>
                <xdr:rowOff>381000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2017-05-08T05:51:53Z</dcterms:created>
  <dcterms:modified xsi:type="dcterms:W3CDTF">2017-05-09T09:37:28Z</dcterms:modified>
</cp:coreProperties>
</file>