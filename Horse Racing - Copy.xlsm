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emyl\Desktop\"/>
    </mc:Choice>
  </mc:AlternateContent>
  <bookViews>
    <workbookView xWindow="0" yWindow="0" windowWidth="9120" windowHeight="6705"/>
  </bookViews>
  <sheets>
    <sheet name="Main" sheetId="1" r:id="rId1"/>
    <sheet name="Database" sheetId="2" state="hidden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2" l="1"/>
  <c r="B11" i="2"/>
  <c r="B13" i="2" s="1"/>
  <c r="O4" i="2" s="1"/>
  <c r="B11" i="1"/>
  <c r="B2" i="2"/>
  <c r="B7" i="2" s="1"/>
  <c r="C2" i="2"/>
  <c r="C6" i="2" s="1"/>
  <c r="D2" i="2"/>
  <c r="D7" i="2" s="1"/>
  <c r="E2" i="2"/>
  <c r="E6" i="2" s="1"/>
  <c r="F2" i="2"/>
  <c r="F7" i="2" s="1"/>
  <c r="A2" i="2"/>
  <c r="A6" i="2" s="1"/>
  <c r="E60" i="2"/>
  <c r="E38" i="2"/>
  <c r="F22" i="2"/>
  <c r="E62" i="2" s="1"/>
  <c r="G22" i="2"/>
  <c r="E63" i="2" s="1"/>
  <c r="H22" i="2"/>
  <c r="E64" i="2" s="1"/>
  <c r="I22" i="2"/>
  <c r="E65" i="2" s="1"/>
  <c r="J22" i="2"/>
  <c r="F20" i="2"/>
  <c r="E57" i="2" s="1"/>
  <c r="G20" i="2"/>
  <c r="E58" i="2" s="1"/>
  <c r="H20" i="2"/>
  <c r="E59" i="2" s="1"/>
  <c r="I20" i="2"/>
  <c r="J20" i="2"/>
  <c r="F18" i="2"/>
  <c r="E52" i="2" s="1"/>
  <c r="G18" i="2"/>
  <c r="E53" i="2" s="1"/>
  <c r="H18" i="2"/>
  <c r="I18" i="2"/>
  <c r="E54" i="2" s="1"/>
  <c r="J18" i="2"/>
  <c r="E55" i="2" s="1"/>
  <c r="F16" i="2"/>
  <c r="E47" i="2" s="1"/>
  <c r="G16" i="2"/>
  <c r="H16" i="2"/>
  <c r="E48" i="2" s="1"/>
  <c r="I16" i="2"/>
  <c r="E49" i="2" s="1"/>
  <c r="J16" i="2"/>
  <c r="E50" i="2" s="1"/>
  <c r="E22" i="2"/>
  <c r="E61" i="2" s="1"/>
  <c r="E20" i="2"/>
  <c r="E56" i="2" s="1"/>
  <c r="E18" i="2"/>
  <c r="E51" i="2" s="1"/>
  <c r="E16" i="2"/>
  <c r="E46" i="2" s="1"/>
  <c r="F14" i="2"/>
  <c r="G14" i="2"/>
  <c r="E42" i="2" s="1"/>
  <c r="H14" i="2"/>
  <c r="E43" i="2" s="1"/>
  <c r="I14" i="2"/>
  <c r="E44" i="2" s="1"/>
  <c r="J14" i="2"/>
  <c r="E45" i="2" s="1"/>
  <c r="E14" i="2"/>
  <c r="E41" i="2" s="1"/>
  <c r="G12" i="2"/>
  <c r="E37" i="2" s="1"/>
  <c r="H12" i="2"/>
  <c r="I12" i="2"/>
  <c r="E39" i="2" s="1"/>
  <c r="J12" i="2"/>
  <c r="E40" i="2" s="1"/>
  <c r="F12" i="2"/>
  <c r="E36" i="2" s="1"/>
  <c r="E25" i="2"/>
  <c r="E31" i="2"/>
  <c r="E26" i="2"/>
  <c r="E32" i="2"/>
  <c r="E27" i="2"/>
  <c r="E33" i="2"/>
  <c r="E28" i="2"/>
  <c r="E34" i="2"/>
  <c r="E29" i="2"/>
  <c r="E35" i="2"/>
  <c r="E30" i="2"/>
  <c r="E24" i="2"/>
  <c r="I21" i="2"/>
  <c r="E21" i="2"/>
  <c r="F21" i="2"/>
  <c r="G21" i="2"/>
  <c r="H21" i="2"/>
  <c r="E13" i="2"/>
  <c r="G13" i="2"/>
  <c r="H13" i="2"/>
  <c r="I13" i="2"/>
  <c r="J13" i="2"/>
  <c r="E15" i="2"/>
  <c r="F15" i="2"/>
  <c r="H15" i="2"/>
  <c r="I15" i="2"/>
  <c r="J15" i="2"/>
  <c r="E17" i="2"/>
  <c r="F17" i="2"/>
  <c r="G17" i="2"/>
  <c r="I17" i="2"/>
  <c r="J17" i="2"/>
  <c r="E19" i="2"/>
  <c r="F19" i="2"/>
  <c r="G19" i="2"/>
  <c r="H19" i="2"/>
  <c r="J19" i="2"/>
  <c r="F11" i="2"/>
  <c r="G11" i="2"/>
  <c r="H11" i="2"/>
  <c r="I11" i="2"/>
  <c r="J11" i="2"/>
  <c r="G1" i="2"/>
  <c r="E67" i="2" l="1"/>
  <c r="B24" i="1" s="1"/>
  <c r="A5" i="2"/>
  <c r="C5" i="2"/>
  <c r="E7" i="2"/>
  <c r="E5" i="2"/>
  <c r="A7" i="2"/>
  <c r="C7" i="2"/>
  <c r="F4" i="2"/>
  <c r="D4" i="2"/>
  <c r="B4" i="2"/>
  <c r="F6" i="2"/>
  <c r="D6" i="2"/>
  <c r="B6" i="2"/>
  <c r="A4" i="2"/>
  <c r="E4" i="2"/>
  <c r="C4" i="2"/>
  <c r="F5" i="2"/>
  <c r="D5" i="2"/>
  <c r="B5" i="2"/>
  <c r="G7" i="2" l="1"/>
  <c r="M7" i="2" s="1"/>
  <c r="G5" i="2"/>
  <c r="G6" i="2"/>
  <c r="M6" i="2" s="1"/>
  <c r="G4" i="2"/>
  <c r="M4" i="2" s="1"/>
  <c r="N21" i="1" l="1"/>
  <c r="N4" i="2"/>
  <c r="N23" i="1"/>
  <c r="N6" i="2"/>
  <c r="N24" i="1"/>
  <c r="N7" i="2"/>
  <c r="J4" i="2"/>
  <c r="J5" i="2" s="1"/>
  <c r="M5" i="2"/>
  <c r="H4" i="2"/>
  <c r="H5" i="2" s="1"/>
  <c r="I4" i="2"/>
  <c r="I5" i="2" s="1"/>
  <c r="K4" i="2"/>
  <c r="N22" i="1" l="1"/>
  <c r="N5" i="2"/>
  <c r="O5" i="2" s="1"/>
  <c r="O6" i="2" s="1"/>
  <c r="O7" i="2" s="1"/>
  <c r="F32" i="2"/>
  <c r="G32" i="2" s="1"/>
  <c r="F34" i="2"/>
  <c r="G34" i="2" s="1"/>
  <c r="F30" i="2"/>
  <c r="G30" i="2" s="1"/>
  <c r="F31" i="2"/>
  <c r="G31" i="2" s="1"/>
  <c r="F33" i="2"/>
  <c r="G33" i="2" s="1"/>
  <c r="F35" i="2"/>
  <c r="G35" i="2" s="1"/>
  <c r="F38" i="2"/>
  <c r="G38" i="2" s="1"/>
  <c r="F40" i="2"/>
  <c r="G40" i="2" s="1"/>
  <c r="F42" i="2"/>
  <c r="G42" i="2" s="1"/>
  <c r="F44" i="2"/>
  <c r="G44" i="2" s="1"/>
  <c r="F46" i="2"/>
  <c r="G46" i="2" s="1"/>
  <c r="F48" i="2"/>
  <c r="G48" i="2" s="1"/>
  <c r="F50" i="2"/>
  <c r="G50" i="2" s="1"/>
  <c r="F52" i="2"/>
  <c r="G52" i="2" s="1"/>
  <c r="F54" i="2"/>
  <c r="G54" i="2" s="1"/>
  <c r="F56" i="2"/>
  <c r="G56" i="2" s="1"/>
  <c r="F58" i="2"/>
  <c r="G58" i="2" s="1"/>
  <c r="F60" i="2"/>
  <c r="G60" i="2" s="1"/>
  <c r="F62" i="2"/>
  <c r="G62" i="2" s="1"/>
  <c r="F64" i="2"/>
  <c r="G64" i="2" s="1"/>
  <c r="F36" i="2"/>
  <c r="G36" i="2" s="1"/>
  <c r="F37" i="2"/>
  <c r="G37" i="2" s="1"/>
  <c r="F39" i="2"/>
  <c r="G39" i="2" s="1"/>
  <c r="F41" i="2"/>
  <c r="G41" i="2" s="1"/>
  <c r="F43" i="2"/>
  <c r="G43" i="2" s="1"/>
  <c r="F45" i="2"/>
  <c r="G45" i="2" s="1"/>
  <c r="F47" i="2"/>
  <c r="G47" i="2" s="1"/>
  <c r="F49" i="2"/>
  <c r="G49" i="2" s="1"/>
  <c r="F51" i="2"/>
  <c r="G51" i="2" s="1"/>
  <c r="F53" i="2"/>
  <c r="G53" i="2" s="1"/>
  <c r="F55" i="2"/>
  <c r="G55" i="2" s="1"/>
  <c r="F57" i="2"/>
  <c r="G57" i="2" s="1"/>
  <c r="F59" i="2"/>
  <c r="G59" i="2" s="1"/>
  <c r="F61" i="2"/>
  <c r="G61" i="2" s="1"/>
  <c r="F63" i="2"/>
  <c r="G63" i="2" s="1"/>
  <c r="F65" i="2"/>
  <c r="G65" i="2" s="1"/>
  <c r="F25" i="2"/>
  <c r="G25" i="2" s="1"/>
  <c r="F27" i="2"/>
  <c r="G27" i="2" s="1"/>
  <c r="F24" i="2"/>
  <c r="G24" i="2" s="1"/>
  <c r="F29" i="2"/>
  <c r="G29" i="2" s="1"/>
  <c r="F28" i="2"/>
  <c r="G28" i="2" s="1"/>
  <c r="F26" i="2"/>
  <c r="G26" i="2" s="1"/>
  <c r="G67" i="2" l="1"/>
</calcChain>
</file>

<file path=xl/sharedStrings.xml><?xml version="1.0" encoding="utf-8"?>
<sst xmlns="http://schemas.openxmlformats.org/spreadsheetml/2006/main" count="158" uniqueCount="119">
  <si>
    <t>FINISH LINE</t>
  </si>
  <si>
    <t>Horse1</t>
  </si>
  <si>
    <t>Horse2</t>
  </si>
  <si>
    <t>Horse3</t>
  </si>
  <si>
    <t>Horse4</t>
  </si>
  <si>
    <t>Horse5</t>
  </si>
  <si>
    <t>Horse6</t>
  </si>
  <si>
    <t>Win</t>
  </si>
  <si>
    <t>Place</t>
  </si>
  <si>
    <t>Forecast</t>
  </si>
  <si>
    <t>Horse#1</t>
  </si>
  <si>
    <t>Horse#2</t>
  </si>
  <si>
    <t>Horse#3</t>
  </si>
  <si>
    <t>Horse#4</t>
  </si>
  <si>
    <t>Horse#5</t>
  </si>
  <si>
    <t>Horse#6</t>
  </si>
  <si>
    <t>1-2</t>
  </si>
  <si>
    <t>1-3</t>
  </si>
  <si>
    <t>1-4</t>
  </si>
  <si>
    <t>1-5</t>
  </si>
  <si>
    <t>1-6</t>
  </si>
  <si>
    <t>2-1</t>
  </si>
  <si>
    <t>2-3</t>
  </si>
  <si>
    <t>2-4</t>
  </si>
  <si>
    <t>2-5</t>
  </si>
  <si>
    <t>2-6</t>
  </si>
  <si>
    <t>3-1</t>
  </si>
  <si>
    <t>3-2</t>
  </si>
  <si>
    <t>3-4</t>
  </si>
  <si>
    <t>3-5</t>
  </si>
  <si>
    <t>3-6</t>
  </si>
  <si>
    <t>4-1</t>
  </si>
  <si>
    <t>4-2</t>
  </si>
  <si>
    <t>4-3</t>
  </si>
  <si>
    <t>4-5</t>
  </si>
  <si>
    <t>4-6</t>
  </si>
  <si>
    <t>5-1</t>
  </si>
  <si>
    <t>5-2</t>
  </si>
  <si>
    <t>5-3</t>
  </si>
  <si>
    <t>5-4</t>
  </si>
  <si>
    <t>5-6</t>
  </si>
  <si>
    <t>6-1</t>
  </si>
  <si>
    <t>6-2</t>
  </si>
  <si>
    <t>6-3</t>
  </si>
  <si>
    <t>6-4</t>
  </si>
  <si>
    <t>6-5</t>
  </si>
  <si>
    <t>Horse1- WIN</t>
  </si>
  <si>
    <t>Horse2- WIN</t>
  </si>
  <si>
    <t>Horse3- WIN</t>
  </si>
  <si>
    <t>Horse4- WIN</t>
  </si>
  <si>
    <t>Horse5- WIN</t>
  </si>
  <si>
    <t>Horse6- WIN</t>
  </si>
  <si>
    <t>Horse1- PLACE</t>
  </si>
  <si>
    <t>Horse2- PLACE</t>
  </si>
  <si>
    <t>Horse3- PLACE</t>
  </si>
  <si>
    <t>Horse4- PLACE</t>
  </si>
  <si>
    <t>Horse5- PLACE</t>
  </si>
  <si>
    <t>Horse6- PLACE</t>
  </si>
  <si>
    <t>Forecast  1-2</t>
  </si>
  <si>
    <t>Forecast  1-3</t>
  </si>
  <si>
    <t>Forecast  1-4</t>
  </si>
  <si>
    <t>Forecast  1-5</t>
  </si>
  <si>
    <t>Forecast  1-6</t>
  </si>
  <si>
    <t>Forecast  2-1</t>
  </si>
  <si>
    <t>Forecast  2-3</t>
  </si>
  <si>
    <t>Forecast  2-4</t>
  </si>
  <si>
    <t>Forecast  2-5</t>
  </si>
  <si>
    <t>Forecast  2-6</t>
  </si>
  <si>
    <t>Forecast  3-1</t>
  </si>
  <si>
    <t>Forecast  3-2</t>
  </si>
  <si>
    <t>Forecast  3-4</t>
  </si>
  <si>
    <t>Forecast  3-5</t>
  </si>
  <si>
    <t>Forecast  3-6</t>
  </si>
  <si>
    <t>Forecast  4-1</t>
  </si>
  <si>
    <t>Forecast  4-2</t>
  </si>
  <si>
    <t>Forecast  4-3</t>
  </si>
  <si>
    <t>Forecast  4-5</t>
  </si>
  <si>
    <t>Forecast  4-6</t>
  </si>
  <si>
    <t>Forecast  5-1</t>
  </si>
  <si>
    <t>Forecast  5-2</t>
  </si>
  <si>
    <t>Forecast  5-3</t>
  </si>
  <si>
    <t>Forecast  5-4</t>
  </si>
  <si>
    <t>Forecast  5-6</t>
  </si>
  <si>
    <t>Forecast  6-1</t>
  </si>
  <si>
    <t>Forecast  6-2</t>
  </si>
  <si>
    <t>Forecast  6-3</t>
  </si>
  <si>
    <t>Forecast  6-4</t>
  </si>
  <si>
    <t>Forecast  6-5</t>
  </si>
  <si>
    <t>Total</t>
  </si>
  <si>
    <t>Finish</t>
  </si>
  <si>
    <t>1st</t>
  </si>
  <si>
    <t>2nd</t>
  </si>
  <si>
    <t>3rd</t>
  </si>
  <si>
    <t>4th</t>
  </si>
  <si>
    <t>Bet Type</t>
  </si>
  <si>
    <t>Rate</t>
  </si>
  <si>
    <t>Cat</t>
  </si>
  <si>
    <t>Bet</t>
  </si>
  <si>
    <t>Result</t>
  </si>
  <si>
    <t>R</t>
  </si>
  <si>
    <t>C</t>
  </si>
  <si>
    <t>TR</t>
  </si>
  <si>
    <t>TC</t>
  </si>
  <si>
    <t>Credit</t>
  </si>
  <si>
    <t>Total Bet</t>
  </si>
  <si>
    <t>Forecast x25</t>
  </si>
  <si>
    <t>Win x4</t>
  </si>
  <si>
    <t>Place x2</t>
  </si>
  <si>
    <t>Horse Racing Programmed By Remy Lim 2017</t>
  </si>
  <si>
    <r>
      <t>1</t>
    </r>
    <r>
      <rPr>
        <vertAlign val="superscript"/>
        <sz val="11"/>
        <color theme="1"/>
        <rFont val="Calibri"/>
        <family val="2"/>
        <scheme val="minor"/>
      </rPr>
      <t>st</t>
    </r>
    <r>
      <rPr>
        <sz val="11"/>
        <color theme="1"/>
        <rFont val="Calibri"/>
        <family val="2"/>
        <scheme val="minor"/>
      </rPr>
      <t xml:space="preserve"> Place</t>
    </r>
  </si>
  <si>
    <r>
      <t>2</t>
    </r>
    <r>
      <rPr>
        <vertAlign val="superscript"/>
        <sz val="11"/>
        <color theme="1"/>
        <rFont val="Calibri"/>
        <family val="2"/>
        <scheme val="minor"/>
      </rPr>
      <t>nd</t>
    </r>
    <r>
      <rPr>
        <sz val="11"/>
        <color theme="1"/>
        <rFont val="Calibri"/>
        <family val="2"/>
        <scheme val="minor"/>
      </rPr>
      <t xml:space="preserve"> Place</t>
    </r>
  </si>
  <si>
    <r>
      <t>3</t>
    </r>
    <r>
      <rPr>
        <vertAlign val="superscript"/>
        <sz val="11"/>
        <color theme="1"/>
        <rFont val="Calibri"/>
        <family val="2"/>
        <scheme val="minor"/>
      </rPr>
      <t>rd</t>
    </r>
    <r>
      <rPr>
        <sz val="11"/>
        <color theme="1"/>
        <rFont val="Calibri"/>
        <family val="2"/>
        <scheme val="minor"/>
      </rPr>
      <t xml:space="preserve"> Place</t>
    </r>
  </si>
  <si>
    <r>
      <t>4</t>
    </r>
    <r>
      <rPr>
        <vertAlign val="superscript"/>
        <sz val="11"/>
        <color theme="1"/>
        <rFont val="Calibri"/>
        <family val="2"/>
        <scheme val="minor"/>
      </rPr>
      <t>th</t>
    </r>
    <r>
      <rPr>
        <sz val="11"/>
        <color theme="1"/>
        <rFont val="Calibri"/>
        <family val="2"/>
        <scheme val="minor"/>
      </rPr>
      <t xml:space="preserve"> Place</t>
    </r>
  </si>
  <si>
    <t>Race Result</t>
  </si>
  <si>
    <t xml:space="preserve">Forecast </t>
  </si>
  <si>
    <t>16.0s</t>
  </si>
  <si>
    <t>29.7s</t>
  </si>
  <si>
    <t>36.5s</t>
  </si>
  <si>
    <t>56.5s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</si>
</sst>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_(* #,##0_);_(* \(#,##0\);_(* &quot;-&quot;??_);_(@_)"/>
    <numFmt numFmtId="165" formatCode="[$-409]h:mm:ss\ AM/PM;@"/>
    <numFmt numFmtId="166" formatCode="mm:ss.0;@"/>
    <numFmt numFmtId="167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24"/>
      <color rgb="FFFF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1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3" borderId="1" xfId="0" applyFill="1" applyBorder="1"/>
    <xf numFmtId="16" fontId="0" fillId="0" borderId="0" xfId="0" applyNumberFormat="1"/>
    <xf numFmtId="16" fontId="0" fillId="0" borderId="0" xfId="0" quotePrefix="1" applyNumberFormat="1"/>
    <xf numFmtId="0" fontId="0" fillId="5" borderId="0" xfId="0" applyFill="1"/>
    <xf numFmtId="22" fontId="0" fillId="0" borderId="0" xfId="0" applyNumberFormat="1"/>
    <xf numFmtId="165" fontId="0" fillId="2" borderId="0" xfId="0" applyNumberFormat="1" applyFill="1"/>
    <xf numFmtId="166" fontId="0" fillId="2" borderId="0" xfId="0" applyNumberFormat="1" applyFill="1"/>
    <xf numFmtId="167" fontId="0" fillId="0" borderId="0" xfId="0" applyNumberFormat="1"/>
    <xf numFmtId="1" fontId="0" fillId="0" borderId="0" xfId="0" applyNumberFormat="1"/>
    <xf numFmtId="0" fontId="2" fillId="2" borderId="0" xfId="0" applyFont="1" applyFill="1" applyAlignment="1">
      <alignment horizontal="right"/>
    </xf>
    <xf numFmtId="0" fontId="3" fillId="2" borderId="0" xfId="0" applyFont="1" applyFill="1" applyAlignment="1">
      <alignment horizontal="center" vertical="center" textRotation="90" wrapText="1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0" applyFont="1" applyFill="1" applyAlignment="1">
      <alignment horizontal="center" vertical="center"/>
    </xf>
    <xf numFmtId="164" fontId="0" fillId="4" borderId="2" xfId="1" applyNumberFormat="1" applyFont="1" applyFill="1" applyBorder="1" applyAlignment="1">
      <alignment horizontal="center"/>
    </xf>
    <xf numFmtId="164" fontId="0" fillId="4" borderId="3" xfId="1" applyNumberFormat="1" applyFont="1" applyFill="1" applyBorder="1" applyAlignment="1">
      <alignment horizontal="center"/>
    </xf>
    <xf numFmtId="164" fontId="0" fillId="4" borderId="4" xfId="1" applyNumberFormat="1" applyFont="1" applyFill="1" applyBorder="1" applyAlignment="1">
      <alignment horizontal="center"/>
    </xf>
    <xf numFmtId="0" fontId="0" fillId="2" borderId="0" xfId="0" applyFill="1" applyAlignme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00FF"/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gif"/><Relationship Id="rId13" Type="http://schemas.openxmlformats.org/officeDocument/2006/relationships/image" Target="../media/image13.gif"/><Relationship Id="rId3" Type="http://schemas.openxmlformats.org/officeDocument/2006/relationships/image" Target="../media/image3.gif"/><Relationship Id="rId7" Type="http://schemas.openxmlformats.org/officeDocument/2006/relationships/image" Target="../media/image7.gif"/><Relationship Id="rId12" Type="http://schemas.openxmlformats.org/officeDocument/2006/relationships/image" Target="../media/image12.gif"/><Relationship Id="rId2" Type="http://schemas.openxmlformats.org/officeDocument/2006/relationships/image" Target="../media/image2.gif"/><Relationship Id="rId16" Type="http://schemas.openxmlformats.org/officeDocument/2006/relationships/image" Target="../media/image16.png"/><Relationship Id="rId1" Type="http://schemas.openxmlformats.org/officeDocument/2006/relationships/image" Target="../media/image1.gif"/><Relationship Id="rId6" Type="http://schemas.openxmlformats.org/officeDocument/2006/relationships/image" Target="../media/image6.gif"/><Relationship Id="rId11" Type="http://schemas.openxmlformats.org/officeDocument/2006/relationships/image" Target="../media/image11.gif"/><Relationship Id="rId5" Type="http://schemas.openxmlformats.org/officeDocument/2006/relationships/image" Target="../media/image5.gif"/><Relationship Id="rId15" Type="http://schemas.openxmlformats.org/officeDocument/2006/relationships/image" Target="../media/image15.gif"/><Relationship Id="rId10" Type="http://schemas.openxmlformats.org/officeDocument/2006/relationships/image" Target="../media/image10.gif"/><Relationship Id="rId4" Type="http://schemas.openxmlformats.org/officeDocument/2006/relationships/image" Target="../media/image4.gif"/><Relationship Id="rId9" Type="http://schemas.openxmlformats.org/officeDocument/2006/relationships/image" Target="../media/image9.gif"/><Relationship Id="rId14" Type="http://schemas.openxmlformats.org/officeDocument/2006/relationships/image" Target="../media/image1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533400</xdr:colOff>
      <xdr:row>0</xdr:row>
      <xdr:rowOff>0</xdr:rowOff>
    </xdr:from>
    <xdr:to>
      <xdr:col>16</xdr:col>
      <xdr:colOff>438150</xdr:colOff>
      <xdr:row>3</xdr:row>
      <xdr:rowOff>161925</xdr:rowOff>
    </xdr:to>
    <xdr:grpSp>
      <xdr:nvGrpSpPr>
        <xdr:cNvPr id="3" name="Group 2"/>
        <xdr:cNvGrpSpPr/>
      </xdr:nvGrpSpPr>
      <xdr:grpSpPr>
        <a:xfrm>
          <a:off x="1143000" y="0"/>
          <a:ext cx="9048750" cy="733425"/>
          <a:chOff x="1143000" y="0"/>
          <a:chExt cx="9048750" cy="733425"/>
        </a:xfrm>
      </xdr:grpSpPr>
      <xdr:pic>
        <xdr:nvPicPr>
          <xdr:cNvPr id="42" name="Picture 41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781800" y="9525"/>
            <a:ext cx="3409950" cy="723900"/>
          </a:xfrm>
          <a:prstGeom prst="rect">
            <a:avLst/>
          </a:prstGeom>
        </xdr:spPr>
      </xdr:pic>
      <xdr:pic>
        <xdr:nvPicPr>
          <xdr:cNvPr id="41" name="Picture 40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3962400" y="0"/>
            <a:ext cx="2819400" cy="723900"/>
          </a:xfrm>
          <a:prstGeom prst="rect">
            <a:avLst/>
          </a:prstGeom>
        </xdr:spPr>
      </xdr:pic>
      <xdr:pic>
        <xdr:nvPicPr>
          <xdr:cNvPr id="2" name="Picture 1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0" y="0"/>
            <a:ext cx="2819400" cy="7239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504826</xdr:colOff>
      <xdr:row>3</xdr:row>
      <xdr:rowOff>152401</xdr:rowOff>
    </xdr:from>
    <xdr:to>
      <xdr:col>16</xdr:col>
      <xdr:colOff>466726</xdr:colOff>
      <xdr:row>11</xdr:row>
      <xdr:rowOff>133351</xdr:rowOff>
    </xdr:to>
    <xdr:sp macro="" textlink="">
      <xdr:nvSpPr>
        <xdr:cNvPr id="35" name="Rectangle 34"/>
        <xdr:cNvSpPr/>
      </xdr:nvSpPr>
      <xdr:spPr>
        <a:xfrm>
          <a:off x="1114426" y="723901"/>
          <a:ext cx="9105900" cy="1504950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428626</xdr:colOff>
      <xdr:row>0</xdr:row>
      <xdr:rowOff>28575</xdr:rowOff>
    </xdr:from>
    <xdr:to>
      <xdr:col>16</xdr:col>
      <xdr:colOff>581026</xdr:colOff>
      <xdr:row>11</xdr:row>
      <xdr:rowOff>123825</xdr:rowOff>
    </xdr:to>
    <xdr:sp macro="" textlink="">
      <xdr:nvSpPr>
        <xdr:cNvPr id="36" name="Rectangle 35"/>
        <xdr:cNvSpPr/>
      </xdr:nvSpPr>
      <xdr:spPr>
        <a:xfrm>
          <a:off x="10182226" y="28575"/>
          <a:ext cx="152400" cy="2190750"/>
        </a:xfrm>
        <a:prstGeom prst="rect">
          <a:avLst/>
        </a:prstGeom>
        <a:pattFill prst="lgCheck">
          <a:fgClr>
            <a:schemeClr val="tx1"/>
          </a:fgClr>
          <a:bgClr>
            <a:schemeClr val="bg1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12700</xdr:colOff>
      <xdr:row>2</xdr:row>
      <xdr:rowOff>63500</xdr:rowOff>
    </xdr:from>
    <xdr:to>
      <xdr:col>1</xdr:col>
      <xdr:colOff>165100</xdr:colOff>
      <xdr:row>5</xdr:row>
      <xdr:rowOff>0</xdr:rowOff>
    </xdr:to>
    <xdr:pic>
      <xdr:nvPicPr>
        <xdr:cNvPr id="4" name="Horse1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444500"/>
          <a:ext cx="762000" cy="508000"/>
        </a:xfrm>
        <a:prstGeom prst="rect">
          <a:avLst/>
        </a:prstGeom>
      </xdr:spPr>
    </xdr:pic>
    <xdr:clientData/>
  </xdr:twoCellAnchor>
  <xdr:twoCellAnchor editAs="oneCell">
    <xdr:from>
      <xdr:col>15</xdr:col>
      <xdr:colOff>292100</xdr:colOff>
      <xdr:row>2</xdr:row>
      <xdr:rowOff>63500</xdr:rowOff>
    </xdr:from>
    <xdr:to>
      <xdr:col>16</xdr:col>
      <xdr:colOff>444500</xdr:colOff>
      <xdr:row>5</xdr:row>
      <xdr:rowOff>0</xdr:rowOff>
    </xdr:to>
    <xdr:pic>
      <xdr:nvPicPr>
        <xdr:cNvPr id="5" name="Horse11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444500"/>
          <a:ext cx="762000" cy="508000"/>
        </a:xfrm>
        <a:prstGeom prst="rect">
          <a:avLst/>
        </a:prstGeom>
      </xdr:spPr>
    </xdr:pic>
    <xdr:clientData/>
  </xdr:twoCellAnchor>
  <xdr:twoCellAnchor>
    <xdr:from>
      <xdr:col>0</xdr:col>
      <xdr:colOff>15875</xdr:colOff>
      <xdr:row>9</xdr:row>
      <xdr:rowOff>104775</xdr:rowOff>
    </xdr:from>
    <xdr:to>
      <xdr:col>0</xdr:col>
      <xdr:colOff>142875</xdr:colOff>
      <xdr:row>11</xdr:row>
      <xdr:rowOff>104775</xdr:rowOff>
    </xdr:to>
    <xdr:sp macro="" textlink="">
      <xdr:nvSpPr>
        <xdr:cNvPr id="7" name="Gate1"/>
        <xdr:cNvSpPr/>
      </xdr:nvSpPr>
      <xdr:spPr>
        <a:xfrm>
          <a:off x="15875" y="1819275"/>
          <a:ext cx="127000" cy="381000"/>
        </a:xfrm>
        <a:prstGeom prst="round2Same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38100" h="44450" prst="relaxedInset"/>
          <a:bevelB w="0" h="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295275</xdr:colOff>
      <xdr:row>12</xdr:row>
      <xdr:rowOff>19050</xdr:rowOff>
    </xdr:from>
    <xdr:to>
      <xdr:col>17</xdr:col>
      <xdr:colOff>9525</xdr:colOff>
      <xdr:row>14</xdr:row>
      <xdr:rowOff>123825</xdr:rowOff>
    </xdr:to>
    <xdr:sp macro="[0]!Start" textlink="">
      <xdr:nvSpPr>
        <xdr:cNvPr id="8" name="Rounded Rectangle 7"/>
        <xdr:cNvSpPr/>
      </xdr:nvSpPr>
      <xdr:spPr>
        <a:xfrm>
          <a:off x="8829675" y="2305050"/>
          <a:ext cx="1543050" cy="485775"/>
        </a:xfrm>
        <a:prstGeom prst="roundRect">
          <a:avLst/>
        </a:prstGeom>
        <a:solidFill>
          <a:srgbClr val="00B050"/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START</a:t>
          </a:r>
        </a:p>
      </xdr:txBody>
    </xdr:sp>
    <xdr:clientData/>
  </xdr:twoCellAnchor>
  <xdr:twoCellAnchor editAs="oneCell">
    <xdr:from>
      <xdr:col>0</xdr:col>
      <xdr:colOff>12700</xdr:colOff>
      <xdr:row>3</xdr:row>
      <xdr:rowOff>127000</xdr:rowOff>
    </xdr:from>
    <xdr:to>
      <xdr:col>1</xdr:col>
      <xdr:colOff>165100</xdr:colOff>
      <xdr:row>6</xdr:row>
      <xdr:rowOff>63500</xdr:rowOff>
    </xdr:to>
    <xdr:pic>
      <xdr:nvPicPr>
        <xdr:cNvPr id="9" name="Horse22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698500"/>
          <a:ext cx="762000" cy="508000"/>
        </a:xfrm>
        <a:prstGeom prst="rect">
          <a:avLst/>
        </a:prstGeom>
      </xdr:spPr>
    </xdr:pic>
    <xdr:clientData/>
  </xdr:twoCellAnchor>
  <xdr:twoCellAnchor editAs="oneCell">
    <xdr:from>
      <xdr:col>12</xdr:col>
      <xdr:colOff>558800</xdr:colOff>
      <xdr:row>3</xdr:row>
      <xdr:rowOff>127000</xdr:rowOff>
    </xdr:from>
    <xdr:to>
      <xdr:col>14</xdr:col>
      <xdr:colOff>101600</xdr:colOff>
      <xdr:row>6</xdr:row>
      <xdr:rowOff>63500</xdr:rowOff>
    </xdr:to>
    <xdr:pic>
      <xdr:nvPicPr>
        <xdr:cNvPr id="10" name="Horse21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0" y="698500"/>
          <a:ext cx="762000" cy="5080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5</xdr:row>
      <xdr:rowOff>0</xdr:rowOff>
    </xdr:from>
    <xdr:to>
      <xdr:col>1</xdr:col>
      <xdr:colOff>165100</xdr:colOff>
      <xdr:row>7</xdr:row>
      <xdr:rowOff>127000</xdr:rowOff>
    </xdr:to>
    <xdr:pic>
      <xdr:nvPicPr>
        <xdr:cNvPr id="11" name="Horse32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952500"/>
          <a:ext cx="762000" cy="508000"/>
        </a:xfrm>
        <a:prstGeom prst="rect">
          <a:avLst/>
        </a:prstGeom>
      </xdr:spPr>
    </xdr:pic>
    <xdr:clientData/>
  </xdr:twoCellAnchor>
  <xdr:twoCellAnchor editAs="oneCell">
    <xdr:from>
      <xdr:col>9</xdr:col>
      <xdr:colOff>393700</xdr:colOff>
      <xdr:row>5</xdr:row>
      <xdr:rowOff>0</xdr:rowOff>
    </xdr:from>
    <xdr:to>
      <xdr:col>10</xdr:col>
      <xdr:colOff>546100</xdr:colOff>
      <xdr:row>7</xdr:row>
      <xdr:rowOff>127000</xdr:rowOff>
    </xdr:to>
    <xdr:pic>
      <xdr:nvPicPr>
        <xdr:cNvPr id="12" name="Horse31"/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80100" y="952500"/>
          <a:ext cx="762000" cy="5080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6</xdr:row>
      <xdr:rowOff>63500</xdr:rowOff>
    </xdr:from>
    <xdr:to>
      <xdr:col>1</xdr:col>
      <xdr:colOff>165100</xdr:colOff>
      <xdr:row>9</xdr:row>
      <xdr:rowOff>0</xdr:rowOff>
    </xdr:to>
    <xdr:pic>
      <xdr:nvPicPr>
        <xdr:cNvPr id="13" name="Horse42"/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06500"/>
          <a:ext cx="762000" cy="508000"/>
        </a:xfrm>
        <a:prstGeom prst="rect">
          <a:avLst/>
        </a:prstGeom>
      </xdr:spPr>
    </xdr:pic>
    <xdr:clientData/>
  </xdr:twoCellAnchor>
  <xdr:twoCellAnchor editAs="oneCell">
    <xdr:from>
      <xdr:col>7</xdr:col>
      <xdr:colOff>558800</xdr:colOff>
      <xdr:row>6</xdr:row>
      <xdr:rowOff>63500</xdr:rowOff>
    </xdr:from>
    <xdr:to>
      <xdr:col>9</xdr:col>
      <xdr:colOff>101600</xdr:colOff>
      <xdr:row>9</xdr:row>
      <xdr:rowOff>0</xdr:rowOff>
    </xdr:to>
    <xdr:pic>
      <xdr:nvPicPr>
        <xdr:cNvPr id="14" name="Horse41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206500"/>
          <a:ext cx="762000" cy="508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469900</xdr:colOff>
      <xdr:row>7</xdr:row>
      <xdr:rowOff>127000</xdr:rowOff>
    </xdr:from>
    <xdr:to>
      <xdr:col>15</xdr:col>
      <xdr:colOff>12700</xdr:colOff>
      <xdr:row>10</xdr:row>
      <xdr:rowOff>63500</xdr:rowOff>
    </xdr:to>
    <xdr:pic>
      <xdr:nvPicPr>
        <xdr:cNvPr id="15" name="Horse52"/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94700" y="1460500"/>
          <a:ext cx="762000" cy="5080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7</xdr:row>
      <xdr:rowOff>127000</xdr:rowOff>
    </xdr:from>
    <xdr:to>
      <xdr:col>1</xdr:col>
      <xdr:colOff>165100</xdr:colOff>
      <xdr:row>10</xdr:row>
      <xdr:rowOff>63500</xdr:rowOff>
    </xdr:to>
    <xdr:pic>
      <xdr:nvPicPr>
        <xdr:cNvPr id="16" name="Horse51"/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460500"/>
          <a:ext cx="762000" cy="508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254000</xdr:colOff>
      <xdr:row>9</xdr:row>
      <xdr:rowOff>0</xdr:rowOff>
    </xdr:from>
    <xdr:to>
      <xdr:col>11</xdr:col>
      <xdr:colOff>406400</xdr:colOff>
      <xdr:row>11</xdr:row>
      <xdr:rowOff>127000</xdr:rowOff>
    </xdr:to>
    <xdr:pic>
      <xdr:nvPicPr>
        <xdr:cNvPr id="17" name="Horse62"/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00" y="1714500"/>
          <a:ext cx="762000" cy="5080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9</xdr:row>
      <xdr:rowOff>0</xdr:rowOff>
    </xdr:from>
    <xdr:to>
      <xdr:col>1</xdr:col>
      <xdr:colOff>165100</xdr:colOff>
      <xdr:row>11</xdr:row>
      <xdr:rowOff>127000</xdr:rowOff>
    </xdr:to>
    <xdr:pic>
      <xdr:nvPicPr>
        <xdr:cNvPr id="18" name="Horse61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714500"/>
          <a:ext cx="762000" cy="508000"/>
        </a:xfrm>
        <a:prstGeom prst="rect">
          <a:avLst/>
        </a:prstGeom>
      </xdr:spPr>
    </xdr:pic>
    <xdr:clientData/>
  </xdr:twoCellAnchor>
  <xdr:twoCellAnchor>
    <xdr:from>
      <xdr:col>0</xdr:col>
      <xdr:colOff>12700</xdr:colOff>
      <xdr:row>1</xdr:row>
      <xdr:rowOff>0</xdr:rowOff>
    </xdr:from>
    <xdr:to>
      <xdr:col>1</xdr:col>
      <xdr:colOff>546100</xdr:colOff>
      <xdr:row>11</xdr:row>
      <xdr:rowOff>127000</xdr:rowOff>
    </xdr:to>
    <xdr:grpSp>
      <xdr:nvGrpSpPr>
        <xdr:cNvPr id="33" name="AGate"/>
        <xdr:cNvGrpSpPr/>
      </xdr:nvGrpSpPr>
      <xdr:grpSpPr>
        <a:xfrm>
          <a:off x="12700" y="190500"/>
          <a:ext cx="1143000" cy="2032000"/>
          <a:chOff x="827247" y="171450"/>
          <a:chExt cx="763428" cy="2105025"/>
        </a:xfrm>
      </xdr:grpSpPr>
      <xdr:sp macro="" textlink="">
        <xdr:nvSpPr>
          <xdr:cNvPr id="6" name="Part1"/>
          <xdr:cNvSpPr/>
        </xdr:nvSpPr>
        <xdr:spPr>
          <a:xfrm>
            <a:off x="828675" y="428625"/>
            <a:ext cx="762000" cy="1847850"/>
          </a:xfrm>
          <a:prstGeom prst="rect">
            <a:avLst/>
          </a:prstGeom>
          <a:blipFill>
            <a:blip xmlns:r="http://schemas.openxmlformats.org/officeDocument/2006/relationships" r:embed="rId14"/>
            <a:tile tx="0" ty="0" sx="100000" sy="100000" flip="none" algn="tl"/>
          </a:blip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" name="Rectangle 18"/>
          <xdr:cNvSpPr/>
        </xdr:nvSpPr>
        <xdr:spPr>
          <a:xfrm>
            <a:off x="1276350" y="171450"/>
            <a:ext cx="304800" cy="247650"/>
          </a:xfrm>
          <a:prstGeom prst="rect">
            <a:avLst/>
          </a:prstGeom>
          <a:solidFill>
            <a:srgbClr val="99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1</a:t>
            </a:r>
          </a:p>
        </xdr:txBody>
      </xdr:sp>
      <xdr:sp macro="" textlink="">
        <xdr:nvSpPr>
          <xdr:cNvPr id="21" name="Rectangle 20"/>
          <xdr:cNvSpPr/>
        </xdr:nvSpPr>
        <xdr:spPr>
          <a:xfrm>
            <a:off x="1276350" y="438150"/>
            <a:ext cx="304800" cy="247650"/>
          </a:xfrm>
          <a:prstGeom prst="rect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2</a:t>
            </a:r>
          </a:p>
        </xdr:txBody>
      </xdr:sp>
      <xdr:sp macro="" textlink="">
        <xdr:nvSpPr>
          <xdr:cNvPr id="22" name="Rectangle 21"/>
          <xdr:cNvSpPr/>
        </xdr:nvSpPr>
        <xdr:spPr>
          <a:xfrm>
            <a:off x="1276350" y="695325"/>
            <a:ext cx="304800" cy="247650"/>
          </a:xfrm>
          <a:prstGeom prst="rect">
            <a:avLst/>
          </a:prstGeom>
          <a:solidFill>
            <a:schemeClr val="accent6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3</a:t>
            </a:r>
          </a:p>
        </xdr:txBody>
      </xdr:sp>
      <xdr:sp macro="" textlink="">
        <xdr:nvSpPr>
          <xdr:cNvPr id="24" name="Rectangle 23"/>
          <xdr:cNvSpPr/>
        </xdr:nvSpPr>
        <xdr:spPr>
          <a:xfrm>
            <a:off x="1276350" y="962025"/>
            <a:ext cx="304800" cy="247650"/>
          </a:xfrm>
          <a:prstGeom prst="rect">
            <a:avLst/>
          </a:prstGeom>
          <a:solidFill>
            <a:schemeClr val="accent1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4</a:t>
            </a:r>
          </a:p>
        </xdr:txBody>
      </xdr:sp>
      <xdr:sp macro="" textlink="">
        <xdr:nvSpPr>
          <xdr:cNvPr id="25" name="Rectangle 24"/>
          <xdr:cNvSpPr/>
        </xdr:nvSpPr>
        <xdr:spPr>
          <a:xfrm>
            <a:off x="1276350" y="1228725"/>
            <a:ext cx="304800" cy="247650"/>
          </a:xfrm>
          <a:prstGeom prst="rect">
            <a:avLst/>
          </a:prstGeom>
          <a:solidFill>
            <a:srgbClr val="FFFF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5</a:t>
            </a:r>
          </a:p>
        </xdr:txBody>
      </xdr:sp>
      <xdr:sp macro="" textlink="">
        <xdr:nvSpPr>
          <xdr:cNvPr id="26" name="Rectangle 25"/>
          <xdr:cNvSpPr/>
        </xdr:nvSpPr>
        <xdr:spPr>
          <a:xfrm>
            <a:off x="1276350" y="1485900"/>
            <a:ext cx="304800" cy="247650"/>
          </a:xfrm>
          <a:prstGeom prst="rect">
            <a:avLst/>
          </a:prstGeom>
          <a:solidFill>
            <a:srgbClr val="FF00FF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6</a:t>
            </a:r>
          </a:p>
        </xdr:txBody>
      </xdr:sp>
      <xdr:cxnSp macro="">
        <xdr:nvCxnSpPr>
          <xdr:cNvPr id="28" name="Straight Connector 27"/>
          <xdr:cNvCxnSpPr/>
        </xdr:nvCxnSpPr>
        <xdr:spPr>
          <a:xfrm flipH="1" flipV="1">
            <a:off x="838200" y="1743075"/>
            <a:ext cx="752475" cy="9525"/>
          </a:xfrm>
          <a:prstGeom prst="line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Straight Connector 28"/>
          <xdr:cNvCxnSpPr/>
        </xdr:nvCxnSpPr>
        <xdr:spPr>
          <a:xfrm flipH="1" flipV="1">
            <a:off x="838200" y="1476375"/>
            <a:ext cx="752475" cy="9525"/>
          </a:xfrm>
          <a:prstGeom prst="line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Straight Connector 29"/>
          <xdr:cNvCxnSpPr/>
        </xdr:nvCxnSpPr>
        <xdr:spPr>
          <a:xfrm flipH="1" flipV="1">
            <a:off x="827961" y="1228725"/>
            <a:ext cx="752475" cy="9525"/>
          </a:xfrm>
          <a:prstGeom prst="line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Straight Connector 30"/>
          <xdr:cNvCxnSpPr/>
        </xdr:nvCxnSpPr>
        <xdr:spPr>
          <a:xfrm flipH="1" flipV="1">
            <a:off x="827247" y="952500"/>
            <a:ext cx="752475" cy="9525"/>
          </a:xfrm>
          <a:prstGeom prst="line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" name="Straight Connector 31"/>
          <xdr:cNvCxnSpPr/>
        </xdr:nvCxnSpPr>
        <xdr:spPr>
          <a:xfrm flipH="1" flipV="1">
            <a:off x="828675" y="685800"/>
            <a:ext cx="752475" cy="9525"/>
          </a:xfrm>
          <a:prstGeom prst="line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50800</xdr:colOff>
      <xdr:row>0</xdr:row>
      <xdr:rowOff>127000</xdr:rowOff>
    </xdr:from>
    <xdr:to>
      <xdr:col>2</xdr:col>
      <xdr:colOff>241300</xdr:colOff>
      <xdr:row>1</xdr:row>
      <xdr:rowOff>127000</xdr:rowOff>
    </xdr:to>
    <xdr:sp macro="" textlink="">
      <xdr:nvSpPr>
        <xdr:cNvPr id="34" name="Signal"/>
        <xdr:cNvSpPr/>
      </xdr:nvSpPr>
      <xdr:spPr>
        <a:xfrm>
          <a:off x="1270000" y="127000"/>
          <a:ext cx="190500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123825</xdr:colOff>
      <xdr:row>12</xdr:row>
      <xdr:rowOff>57150</xdr:rowOff>
    </xdr:from>
    <xdr:to>
      <xdr:col>13</xdr:col>
      <xdr:colOff>238125</xdr:colOff>
      <xdr:row>14</xdr:row>
      <xdr:rowOff>104775</xdr:rowOff>
    </xdr:to>
    <xdr:sp macro="[0]!_xludf.Clear" textlink="">
      <xdr:nvSpPr>
        <xdr:cNvPr id="37" name="Rounded Rectangle 36"/>
        <xdr:cNvSpPr/>
      </xdr:nvSpPr>
      <xdr:spPr>
        <a:xfrm>
          <a:off x="6829425" y="2343150"/>
          <a:ext cx="1333500" cy="428625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Clear All</a:t>
          </a:r>
          <a:r>
            <a:rPr lang="en-US" sz="1600" baseline="0"/>
            <a:t> Bets</a:t>
          </a:r>
          <a:endParaRPr lang="en-US" sz="1600"/>
        </a:p>
      </xdr:txBody>
    </xdr:sp>
    <xdr:clientData/>
  </xdr:twoCellAnchor>
  <xdr:twoCellAnchor>
    <xdr:from>
      <xdr:col>17</xdr:col>
      <xdr:colOff>200025</xdr:colOff>
      <xdr:row>0</xdr:row>
      <xdr:rowOff>47625</xdr:rowOff>
    </xdr:from>
    <xdr:to>
      <xdr:col>19</xdr:col>
      <xdr:colOff>495300</xdr:colOff>
      <xdr:row>2</xdr:row>
      <xdr:rowOff>142875</xdr:rowOff>
    </xdr:to>
    <xdr:sp macro="[0]!Topup" textlink="">
      <xdr:nvSpPr>
        <xdr:cNvPr id="38" name="Bevel 37"/>
        <xdr:cNvSpPr/>
      </xdr:nvSpPr>
      <xdr:spPr>
        <a:xfrm>
          <a:off x="10563225" y="47625"/>
          <a:ext cx="1123950" cy="4762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ATM</a:t>
          </a:r>
        </a:p>
      </xdr:txBody>
    </xdr:sp>
    <xdr:clientData/>
  </xdr:twoCellAnchor>
  <xdr:twoCellAnchor editAs="oneCell">
    <xdr:from>
      <xdr:col>17</xdr:col>
      <xdr:colOff>161925</xdr:colOff>
      <xdr:row>3</xdr:row>
      <xdr:rowOff>28575</xdr:rowOff>
    </xdr:from>
    <xdr:to>
      <xdr:col>21</xdr:col>
      <xdr:colOff>0</xdr:colOff>
      <xdr:row>8</xdr:row>
      <xdr:rowOff>76200</xdr:rowOff>
    </xdr:to>
    <xdr:pic>
      <xdr:nvPicPr>
        <xdr:cNvPr id="39" name="Picture 38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25125" y="600075"/>
          <a:ext cx="1885950" cy="1000125"/>
        </a:xfrm>
        <a:prstGeom prst="rect">
          <a:avLst/>
        </a:prstGeom>
      </xdr:spPr>
    </xdr:pic>
    <xdr:clientData/>
  </xdr:twoCellAnchor>
  <xdr:twoCellAnchor editAs="oneCell">
    <xdr:from>
      <xdr:col>15</xdr:col>
      <xdr:colOff>333375</xdr:colOff>
      <xdr:row>20</xdr:row>
      <xdr:rowOff>200025</xdr:rowOff>
    </xdr:from>
    <xdr:to>
      <xdr:col>21</xdr:col>
      <xdr:colOff>0</xdr:colOff>
      <xdr:row>24</xdr:row>
      <xdr:rowOff>123825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9477375" y="4010025"/>
          <a:ext cx="2933700" cy="8667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27"/>
  <sheetViews>
    <sheetView tabSelected="1" workbookViewId="0">
      <selection activeCell="O24" sqref="O24"/>
    </sheetView>
  </sheetViews>
  <sheetFormatPr defaultColWidth="0" defaultRowHeight="15" zeroHeight="1" x14ac:dyDescent="0.25"/>
  <cols>
    <col min="1" max="17" width="9.140625" style="1" customWidth="1"/>
    <col min="18" max="18" width="3.28515625" style="1" customWidth="1"/>
    <col min="19" max="21" width="9.140625" style="1" customWidth="1"/>
    <col min="22" max="16384" width="9.140625" style="1" hidden="1"/>
  </cols>
  <sheetData>
    <row r="1" spans="1:21" x14ac:dyDescent="0.25">
      <c r="R1" s="13" t="s">
        <v>0</v>
      </c>
    </row>
    <row r="2" spans="1:21" x14ac:dyDescent="0.25">
      <c r="R2" s="13"/>
    </row>
    <row r="3" spans="1:21" x14ac:dyDescent="0.25">
      <c r="R3" s="13"/>
    </row>
    <row r="4" spans="1:21" x14ac:dyDescent="0.25">
      <c r="R4" s="13"/>
    </row>
    <row r="5" spans="1:21" x14ac:dyDescent="0.25">
      <c r="R5" s="13"/>
    </row>
    <row r="6" spans="1:21" x14ac:dyDescent="0.25">
      <c r="R6" s="13"/>
    </row>
    <row r="7" spans="1:21" x14ac:dyDescent="0.25">
      <c r="R7" s="13"/>
    </row>
    <row r="8" spans="1:21" x14ac:dyDescent="0.25">
      <c r="R8" s="13"/>
    </row>
    <row r="9" spans="1:21" x14ac:dyDescent="0.25">
      <c r="R9" s="13"/>
    </row>
    <row r="10" spans="1:21" x14ac:dyDescent="0.25">
      <c r="R10" s="13"/>
    </row>
    <row r="11" spans="1:21" x14ac:dyDescent="0.25">
      <c r="A11" s="9"/>
      <c r="B11" s="9">
        <f>SECOND(A11)+MINUTE(A11)*60</f>
        <v>0</v>
      </c>
      <c r="R11" s="13"/>
    </row>
    <row r="12" spans="1:21" x14ac:dyDescent="0.25">
      <c r="A12" s="9"/>
      <c r="R12" s="13"/>
    </row>
    <row r="13" spans="1:21" x14ac:dyDescent="0.25">
      <c r="A13" s="8"/>
      <c r="C13" s="6" t="s">
        <v>106</v>
      </c>
      <c r="D13" s="6" t="s">
        <v>107</v>
      </c>
      <c r="F13" s="14" t="s">
        <v>105</v>
      </c>
      <c r="G13" s="15"/>
      <c r="H13" s="15"/>
      <c r="I13" s="15"/>
      <c r="J13" s="15"/>
      <c r="K13" s="15"/>
    </row>
    <row r="14" spans="1:21" x14ac:dyDescent="0.25">
      <c r="B14" s="6" t="s">
        <v>10</v>
      </c>
      <c r="C14" s="3"/>
      <c r="D14" s="3"/>
      <c r="G14" s="1" t="s">
        <v>16</v>
      </c>
      <c r="H14" s="1" t="s">
        <v>17</v>
      </c>
      <c r="I14" s="1" t="s">
        <v>18</v>
      </c>
      <c r="J14" s="1" t="s">
        <v>19</v>
      </c>
      <c r="K14" s="1" t="s">
        <v>20</v>
      </c>
    </row>
    <row r="15" spans="1:21" x14ac:dyDescent="0.25">
      <c r="B15" s="6" t="s">
        <v>11</v>
      </c>
      <c r="C15" s="3"/>
      <c r="D15" s="3"/>
      <c r="G15" s="3"/>
      <c r="H15" s="3"/>
      <c r="I15" s="3"/>
      <c r="J15" s="3"/>
      <c r="K15" s="3"/>
    </row>
    <row r="16" spans="1:21" x14ac:dyDescent="0.25">
      <c r="B16" s="6" t="s">
        <v>12</v>
      </c>
      <c r="C16" s="3"/>
      <c r="D16" s="3"/>
      <c r="F16" s="1" t="s">
        <v>21</v>
      </c>
      <c r="H16" s="1" t="s">
        <v>22</v>
      </c>
      <c r="I16" s="1" t="s">
        <v>23</v>
      </c>
      <c r="J16" s="1" t="s">
        <v>24</v>
      </c>
      <c r="K16" s="1" t="s">
        <v>25</v>
      </c>
      <c r="M16" s="16"/>
      <c r="N16" s="16"/>
      <c r="O16" s="16"/>
      <c r="P16" s="16"/>
      <c r="Q16" s="16"/>
      <c r="R16" s="16"/>
      <c r="S16" s="16"/>
      <c r="T16" s="16"/>
      <c r="U16" s="16"/>
    </row>
    <row r="17" spans="2:21" x14ac:dyDescent="0.25">
      <c r="B17" s="6" t="s">
        <v>13</v>
      </c>
      <c r="C17" s="3"/>
      <c r="D17" s="3"/>
      <c r="F17" s="3"/>
      <c r="H17" s="3"/>
      <c r="I17" s="3"/>
      <c r="J17" s="3"/>
      <c r="K17" s="3"/>
      <c r="M17" s="16"/>
      <c r="N17" s="16"/>
      <c r="O17" s="16"/>
      <c r="P17" s="16"/>
      <c r="Q17" s="16"/>
      <c r="R17" s="16"/>
      <c r="S17" s="16"/>
      <c r="T17" s="16"/>
      <c r="U17" s="16"/>
    </row>
    <row r="18" spans="2:21" x14ac:dyDescent="0.25">
      <c r="B18" s="1" t="s">
        <v>14</v>
      </c>
      <c r="C18" s="3"/>
      <c r="D18" s="3"/>
      <c r="F18" s="1" t="s">
        <v>26</v>
      </c>
      <c r="G18" s="1" t="s">
        <v>27</v>
      </c>
      <c r="I18" s="1" t="s">
        <v>28</v>
      </c>
      <c r="J18" s="1" t="s">
        <v>29</v>
      </c>
      <c r="K18" s="1" t="s">
        <v>30</v>
      </c>
      <c r="M18" s="16"/>
      <c r="N18" s="16"/>
      <c r="O18" s="16"/>
      <c r="P18" s="16"/>
      <c r="Q18" s="16"/>
      <c r="R18" s="16"/>
      <c r="S18" s="16"/>
      <c r="T18" s="16"/>
      <c r="U18" s="16"/>
    </row>
    <row r="19" spans="2:21" x14ac:dyDescent="0.25">
      <c r="B19" s="1" t="s">
        <v>15</v>
      </c>
      <c r="C19" s="3"/>
      <c r="D19" s="3"/>
      <c r="F19" s="3"/>
      <c r="G19" s="3"/>
      <c r="I19" s="3"/>
      <c r="J19" s="3"/>
      <c r="K19" s="3"/>
      <c r="M19" s="16"/>
      <c r="N19" s="16"/>
      <c r="O19" s="16"/>
      <c r="P19" s="16"/>
      <c r="Q19" s="16"/>
      <c r="R19" s="16"/>
      <c r="S19" s="16"/>
      <c r="T19" s="16"/>
      <c r="U19" s="16"/>
    </row>
    <row r="20" spans="2:21" x14ac:dyDescent="0.25">
      <c r="F20" s="6" t="s">
        <v>31</v>
      </c>
      <c r="G20" s="1" t="s">
        <v>32</v>
      </c>
      <c r="H20" s="1" t="s">
        <v>33</v>
      </c>
      <c r="J20" s="1" t="s">
        <v>34</v>
      </c>
      <c r="K20" s="1" t="s">
        <v>35</v>
      </c>
      <c r="M20" s="15" t="s">
        <v>113</v>
      </c>
      <c r="N20" s="15"/>
      <c r="Q20" s="20"/>
      <c r="R20" s="20"/>
      <c r="S20" s="20"/>
      <c r="T20" s="20"/>
      <c r="U20" s="20"/>
    </row>
    <row r="21" spans="2:21" ht="18" thickBot="1" x14ac:dyDescent="0.3">
      <c r="B21" s="1" t="s">
        <v>103</v>
      </c>
      <c r="F21" s="3"/>
      <c r="G21" s="3"/>
      <c r="H21" s="3"/>
      <c r="J21" s="3"/>
      <c r="K21" s="3"/>
      <c r="L21" s="12" t="s">
        <v>115</v>
      </c>
      <c r="M21" s="1" t="s">
        <v>109</v>
      </c>
      <c r="N21" s="1" t="str">
        <f>Database!M4</f>
        <v>1</v>
      </c>
      <c r="O21" s="1" t="s">
        <v>114</v>
      </c>
      <c r="P21" s="1" t="s">
        <v>19</v>
      </c>
      <c r="Q21" s="20"/>
      <c r="R21" s="20"/>
      <c r="S21" s="20"/>
      <c r="T21" s="20"/>
      <c r="U21" s="20"/>
    </row>
    <row r="22" spans="2:21" ht="18.75" thickTop="1" thickBot="1" x14ac:dyDescent="0.3">
      <c r="B22" s="17">
        <v>2100</v>
      </c>
      <c r="C22" s="18"/>
      <c r="D22" s="19"/>
      <c r="F22" s="1" t="s">
        <v>36</v>
      </c>
      <c r="G22" s="1" t="s">
        <v>37</v>
      </c>
      <c r="H22" s="1" t="s">
        <v>38</v>
      </c>
      <c r="I22" s="1" t="s">
        <v>39</v>
      </c>
      <c r="K22" s="1" t="s">
        <v>40</v>
      </c>
      <c r="L22" s="12" t="s">
        <v>116</v>
      </c>
      <c r="M22" s="1" t="s">
        <v>110</v>
      </c>
      <c r="N22" s="1" t="str">
        <f>Database!M5</f>
        <v>5</v>
      </c>
      <c r="Q22" s="20"/>
      <c r="R22" s="20"/>
      <c r="S22" s="20"/>
      <c r="T22" s="20"/>
      <c r="U22" s="20"/>
    </row>
    <row r="23" spans="2:21" ht="18.75" thickTop="1" thickBot="1" x14ac:dyDescent="0.3">
      <c r="B23" s="1" t="s">
        <v>104</v>
      </c>
      <c r="F23" s="3"/>
      <c r="G23" s="3"/>
      <c r="H23" s="3"/>
      <c r="I23" s="3"/>
      <c r="K23" s="3"/>
      <c r="L23" s="12" t="s">
        <v>117</v>
      </c>
      <c r="M23" s="1" t="s">
        <v>111</v>
      </c>
      <c r="N23" s="1" t="str">
        <f>Database!M6</f>
        <v>2</v>
      </c>
      <c r="O23"/>
      <c r="Q23" s="20"/>
      <c r="R23" s="20"/>
      <c r="S23" s="20"/>
      <c r="T23" s="20"/>
      <c r="U23" s="20"/>
    </row>
    <row r="24" spans="2:21" ht="18.75" thickTop="1" thickBot="1" x14ac:dyDescent="0.3">
      <c r="B24" s="17">
        <f>Database!E67</f>
        <v>0</v>
      </c>
      <c r="C24" s="18"/>
      <c r="D24" s="19"/>
      <c r="F24" s="1" t="s">
        <v>41</v>
      </c>
      <c r="G24" s="1" t="s">
        <v>42</v>
      </c>
      <c r="H24" s="1" t="s">
        <v>43</v>
      </c>
      <c r="I24" s="1" t="s">
        <v>44</v>
      </c>
      <c r="J24" s="1" t="s">
        <v>45</v>
      </c>
      <c r="L24" s="12" t="s">
        <v>118</v>
      </c>
      <c r="M24" s="1" t="s">
        <v>112</v>
      </c>
      <c r="N24" s="1" t="str">
        <f>Database!M7</f>
        <v>6</v>
      </c>
      <c r="Q24" s="20"/>
      <c r="R24" s="20"/>
      <c r="S24" s="20"/>
      <c r="T24" s="20"/>
      <c r="U24" s="20"/>
    </row>
    <row r="25" spans="2:21" ht="15.75" thickTop="1" x14ac:dyDescent="0.25">
      <c r="F25" s="3"/>
      <c r="G25" s="3"/>
      <c r="H25" s="3"/>
      <c r="I25" s="3"/>
      <c r="J25" s="3"/>
      <c r="Q25" s="20"/>
      <c r="R25" s="20"/>
      <c r="S25" s="20"/>
      <c r="T25" s="20"/>
      <c r="U25" s="20"/>
    </row>
    <row r="26" spans="2:21" x14ac:dyDescent="0.25">
      <c r="P26" s="1" t="s">
        <v>108</v>
      </c>
    </row>
    <row r="27" spans="2:21" x14ac:dyDescent="0.25"/>
  </sheetData>
  <mergeCells count="6">
    <mergeCell ref="R1:R12"/>
    <mergeCell ref="F13:K13"/>
    <mergeCell ref="M16:U19"/>
    <mergeCell ref="B22:D22"/>
    <mergeCell ref="B24:D24"/>
    <mergeCell ref="M20:N2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67"/>
  <sheetViews>
    <sheetView workbookViewId="0">
      <selection activeCell="N9" sqref="N9"/>
    </sheetView>
  </sheetViews>
  <sheetFormatPr defaultRowHeight="15" x14ac:dyDescent="0.25"/>
  <sheetData>
    <row r="1" spans="1:15" x14ac:dyDescent="0.25">
      <c r="A1">
        <v>743</v>
      </c>
      <c r="B1">
        <v>620</v>
      </c>
      <c r="C1">
        <v>463</v>
      </c>
      <c r="D1">
        <v>380</v>
      </c>
      <c r="E1">
        <v>661</v>
      </c>
      <c r="F1">
        <v>500</v>
      </c>
      <c r="G1">
        <f>LARGE(A1:F1,1)</f>
        <v>743</v>
      </c>
    </row>
    <row r="2" spans="1:15" x14ac:dyDescent="0.25">
      <c r="A2">
        <f>RANK(A1,$A1:$F1,0)</f>
        <v>1</v>
      </c>
      <c r="B2">
        <f t="shared" ref="B2:F2" si="0">RANK(B1,$A1:$F1,0)</f>
        <v>3</v>
      </c>
      <c r="C2">
        <f t="shared" si="0"/>
        <v>5</v>
      </c>
      <c r="D2">
        <f t="shared" si="0"/>
        <v>6</v>
      </c>
      <c r="E2">
        <f t="shared" si="0"/>
        <v>2</v>
      </c>
      <c r="F2">
        <f t="shared" si="0"/>
        <v>4</v>
      </c>
    </row>
    <row r="3" spans="1:15" x14ac:dyDescent="0.25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H3" t="s">
        <v>7</v>
      </c>
      <c r="I3" t="s">
        <v>8</v>
      </c>
      <c r="J3" t="s">
        <v>8</v>
      </c>
      <c r="K3" t="s">
        <v>9</v>
      </c>
      <c r="M3" t="s">
        <v>89</v>
      </c>
    </row>
    <row r="4" spans="1:15" x14ac:dyDescent="0.25">
      <c r="A4">
        <f>IF(A2=1,A3,"")</f>
        <v>1</v>
      </c>
      <c r="B4" t="str">
        <f t="shared" ref="B4:F4" si="1">IF(B2=1,B3,"")</f>
        <v/>
      </c>
      <c r="C4" t="str">
        <f t="shared" si="1"/>
        <v/>
      </c>
      <c r="D4" t="str">
        <f t="shared" si="1"/>
        <v/>
      </c>
      <c r="E4" t="str">
        <f t="shared" si="1"/>
        <v/>
      </c>
      <c r="F4" t="str">
        <f t="shared" si="1"/>
        <v/>
      </c>
      <c r="G4" t="str">
        <f>CONCATENATE(A4,B4,C4,D4,E4,F4)</f>
        <v>1</v>
      </c>
      <c r="H4" s="2" t="str">
        <f>G4</f>
        <v>1</v>
      </c>
      <c r="I4" s="2" t="str">
        <f>G4</f>
        <v>1</v>
      </c>
      <c r="J4" s="2" t="str">
        <f>G5</f>
        <v>5</v>
      </c>
      <c r="K4" s="2" t="str">
        <f>CONCATENATE(G4,"-",G5)</f>
        <v>1-5</v>
      </c>
      <c r="L4" t="s">
        <v>90</v>
      </c>
      <c r="M4" t="str">
        <f>G4</f>
        <v>1</v>
      </c>
      <c r="N4">
        <f>INDEX(A$1:F$1,1,M4)</f>
        <v>743</v>
      </c>
      <c r="O4" s="10">
        <f>B13</f>
        <v>16</v>
      </c>
    </row>
    <row r="5" spans="1:15" x14ac:dyDescent="0.25">
      <c r="A5" t="str">
        <f>IF(A2=2,A3,"")</f>
        <v/>
      </c>
      <c r="B5" t="str">
        <f t="shared" ref="B5:F5" si="2">IF(B2=2,B3,"")</f>
        <v/>
      </c>
      <c r="C5" t="str">
        <f t="shared" si="2"/>
        <v/>
      </c>
      <c r="D5" t="str">
        <f t="shared" si="2"/>
        <v/>
      </c>
      <c r="E5">
        <f t="shared" si="2"/>
        <v>5</v>
      </c>
      <c r="F5" t="str">
        <f t="shared" si="2"/>
        <v/>
      </c>
      <c r="G5" t="str">
        <f>CONCATENATE(A5,B5,C5,D5,E5,F5)</f>
        <v>5</v>
      </c>
      <c r="H5" t="str">
        <f>CONCATENATE("Horse",H4)</f>
        <v>Horse1</v>
      </c>
      <c r="I5" t="str">
        <f t="shared" ref="I5:J5" si="3">CONCATENATE("Horse",I4)</f>
        <v>Horse1</v>
      </c>
      <c r="J5" t="str">
        <f t="shared" si="3"/>
        <v>Horse5</v>
      </c>
      <c r="L5" t="s">
        <v>91</v>
      </c>
      <c r="M5" t="str">
        <f t="shared" ref="M5:M7" si="4">G5</f>
        <v>5</v>
      </c>
      <c r="N5">
        <f t="shared" ref="N5:N7" si="5">INDEX(A$1:F$1,1,M5)</f>
        <v>661</v>
      </c>
      <c r="O5" s="10">
        <f>O4+(N4-N5)/6</f>
        <v>29.666666666666664</v>
      </c>
    </row>
    <row r="6" spans="1:15" x14ac:dyDescent="0.25">
      <c r="A6" t="str">
        <f>IF(A2=3,A3,"")</f>
        <v/>
      </c>
      <c r="B6">
        <f t="shared" ref="B6:F6" si="6">IF(B2=3,B3,"")</f>
        <v>2</v>
      </c>
      <c r="C6" t="str">
        <f t="shared" si="6"/>
        <v/>
      </c>
      <c r="D6" t="str">
        <f t="shared" si="6"/>
        <v/>
      </c>
      <c r="E6" t="str">
        <f t="shared" si="6"/>
        <v/>
      </c>
      <c r="F6" t="str">
        <f t="shared" si="6"/>
        <v/>
      </c>
      <c r="G6" t="str">
        <f>CONCATENATE(A6,B6,C6,D6,E6,F6)</f>
        <v>2</v>
      </c>
      <c r="L6" t="s">
        <v>92</v>
      </c>
      <c r="M6" t="str">
        <f t="shared" si="4"/>
        <v>2</v>
      </c>
      <c r="N6">
        <f t="shared" si="5"/>
        <v>620</v>
      </c>
      <c r="O6" s="10">
        <f t="shared" ref="O6:O7" si="7">O5+(N5-N6)/6</f>
        <v>36.5</v>
      </c>
    </row>
    <row r="7" spans="1:15" x14ac:dyDescent="0.25">
      <c r="A7" t="str">
        <f>IF(A2=4,A3,"")</f>
        <v/>
      </c>
      <c r="B7" t="str">
        <f t="shared" ref="B7:F7" si="8">IF(B2=4,B3,"")</f>
        <v/>
      </c>
      <c r="C7" t="str">
        <f t="shared" si="8"/>
        <v/>
      </c>
      <c r="D7" t="str">
        <f t="shared" si="8"/>
        <v/>
      </c>
      <c r="E7" t="str">
        <f t="shared" si="8"/>
        <v/>
      </c>
      <c r="F7">
        <f t="shared" si="8"/>
        <v>6</v>
      </c>
      <c r="G7" t="str">
        <f>CONCATENATE(A7,B7,C7,D7,E7,F7)</f>
        <v>6</v>
      </c>
      <c r="L7" t="s">
        <v>93</v>
      </c>
      <c r="M7" t="str">
        <f t="shared" si="4"/>
        <v>6</v>
      </c>
      <c r="N7">
        <f t="shared" si="5"/>
        <v>500</v>
      </c>
      <c r="O7" s="10">
        <f t="shared" si="7"/>
        <v>56.5</v>
      </c>
    </row>
    <row r="10" spans="1:15" x14ac:dyDescent="0.25">
      <c r="A10">
        <v>0</v>
      </c>
      <c r="D10" s="2"/>
      <c r="E10" s="2">
        <v>1</v>
      </c>
      <c r="F10" s="2">
        <v>2</v>
      </c>
      <c r="G10" s="2">
        <v>3</v>
      </c>
      <c r="H10" s="2">
        <v>4</v>
      </c>
      <c r="I10" s="2">
        <v>5</v>
      </c>
      <c r="J10" s="2">
        <v>6</v>
      </c>
    </row>
    <row r="11" spans="1:15" x14ac:dyDescent="0.25">
      <c r="A11" s="7">
        <v>42996.105833333335</v>
      </c>
      <c r="B11" s="11">
        <f>SECOND(A11)+(MINUTE(A11)*60)</f>
        <v>1944</v>
      </c>
      <c r="D11" s="2">
        <v>1</v>
      </c>
      <c r="E11" s="2"/>
      <c r="F11" s="2" t="str">
        <f t="shared" ref="F11:J11" si="9">CONCATENATE($D11,"-",F$10)</f>
        <v>1-2</v>
      </c>
      <c r="G11" s="2" t="str">
        <f t="shared" si="9"/>
        <v>1-3</v>
      </c>
      <c r="H11" s="2" t="str">
        <f t="shared" si="9"/>
        <v>1-4</v>
      </c>
      <c r="I11" s="2" t="str">
        <f t="shared" si="9"/>
        <v>1-5</v>
      </c>
      <c r="J11" s="2" t="str">
        <f t="shared" si="9"/>
        <v>1-6</v>
      </c>
    </row>
    <row r="12" spans="1:15" x14ac:dyDescent="0.25">
      <c r="A12" s="7">
        <v>42996.10601851852</v>
      </c>
      <c r="B12" s="11">
        <f>SECOND(A12)+(MINUTE(A12)*60)</f>
        <v>1960</v>
      </c>
      <c r="F12">
        <f>Main!G15</f>
        <v>0</v>
      </c>
      <c r="G12">
        <f>Main!H15</f>
        <v>0</v>
      </c>
      <c r="H12">
        <f>Main!I15</f>
        <v>0</v>
      </c>
      <c r="I12">
        <f>Main!J15</f>
        <v>0</v>
      </c>
      <c r="J12">
        <f>Main!K15</f>
        <v>0</v>
      </c>
    </row>
    <row r="13" spans="1:15" x14ac:dyDescent="0.25">
      <c r="B13" s="11">
        <f>B12-B11</f>
        <v>16</v>
      </c>
      <c r="D13" s="2">
        <v>2</v>
      </c>
      <c r="E13" s="2" t="str">
        <f>CONCATENATE($D13,"-",E$10)</f>
        <v>2-1</v>
      </c>
      <c r="F13" s="2"/>
      <c r="G13" s="2" t="str">
        <f>CONCATENATE($D13,"-",G$10)</f>
        <v>2-3</v>
      </c>
      <c r="H13" s="2" t="str">
        <f>CONCATENATE($D13,"-",H$10)</f>
        <v>2-4</v>
      </c>
      <c r="I13" s="2" t="str">
        <f>CONCATENATE($D13,"-",I$10)</f>
        <v>2-5</v>
      </c>
      <c r="J13" s="2" t="str">
        <f>CONCATENATE($D13,"-",J$10)</f>
        <v>2-6</v>
      </c>
    </row>
    <row r="14" spans="1:15" x14ac:dyDescent="0.25">
      <c r="E14">
        <f>Main!F17</f>
        <v>0</v>
      </c>
      <c r="F14">
        <f>Main!G17</f>
        <v>0</v>
      </c>
      <c r="G14">
        <f>Main!H17</f>
        <v>0</v>
      </c>
      <c r="H14">
        <f>Main!I17</f>
        <v>0</v>
      </c>
      <c r="I14">
        <f>Main!J17</f>
        <v>0</v>
      </c>
      <c r="J14">
        <f>Main!K17</f>
        <v>0</v>
      </c>
    </row>
    <row r="15" spans="1:15" x14ac:dyDescent="0.25">
      <c r="D15" s="2">
        <v>3</v>
      </c>
      <c r="E15" s="2" t="str">
        <f>CONCATENATE($D15,"-",E$10)</f>
        <v>3-1</v>
      </c>
      <c r="F15" s="2" t="str">
        <f>CONCATENATE($D15,"-",F$10)</f>
        <v>3-2</v>
      </c>
      <c r="G15" s="2"/>
      <c r="H15" s="2" t="str">
        <f>CONCATENATE($D15,"-",H$10)</f>
        <v>3-4</v>
      </c>
      <c r="I15" s="2" t="str">
        <f>CONCATENATE($D15,"-",I$10)</f>
        <v>3-5</v>
      </c>
      <c r="J15" s="2" t="str">
        <f>CONCATENATE($D15,"-",J$10)</f>
        <v>3-6</v>
      </c>
    </row>
    <row r="16" spans="1:15" x14ac:dyDescent="0.25">
      <c r="E16">
        <f>Main!F19</f>
        <v>0</v>
      </c>
      <c r="F16">
        <f>Main!G19</f>
        <v>0</v>
      </c>
      <c r="G16">
        <f>Main!H19</f>
        <v>0</v>
      </c>
      <c r="H16">
        <f>Main!I19</f>
        <v>0</v>
      </c>
      <c r="I16">
        <f>Main!J19</f>
        <v>0</v>
      </c>
      <c r="J16">
        <f>Main!K19</f>
        <v>0</v>
      </c>
    </row>
    <row r="17" spans="1:11" x14ac:dyDescent="0.25">
      <c r="D17" s="2">
        <v>4</v>
      </c>
      <c r="E17" s="2" t="str">
        <f>CONCATENATE($D17,"-",E$10)</f>
        <v>4-1</v>
      </c>
      <c r="F17" s="2" t="str">
        <f>CONCATENATE($D17,"-",F$10)</f>
        <v>4-2</v>
      </c>
      <c r="G17" s="2" t="str">
        <f>CONCATENATE($D17,"-",G$10)</f>
        <v>4-3</v>
      </c>
      <c r="H17" s="2"/>
      <c r="I17" s="2" t="str">
        <f>CONCATENATE($D17,"-",I$10)</f>
        <v>4-5</v>
      </c>
      <c r="J17" s="2" t="str">
        <f>CONCATENATE($D17,"-",J$10)</f>
        <v>4-6</v>
      </c>
    </row>
    <row r="18" spans="1:11" x14ac:dyDescent="0.25">
      <c r="E18">
        <f>Main!F21</f>
        <v>0</v>
      </c>
      <c r="F18">
        <f>Main!G21</f>
        <v>0</v>
      </c>
      <c r="G18">
        <f>Main!H21</f>
        <v>0</v>
      </c>
      <c r="H18">
        <f>Main!I21</f>
        <v>0</v>
      </c>
      <c r="I18">
        <f>Main!J21</f>
        <v>0</v>
      </c>
      <c r="J18">
        <f>Main!K21</f>
        <v>0</v>
      </c>
    </row>
    <row r="19" spans="1:11" x14ac:dyDescent="0.25">
      <c r="D19" s="2">
        <v>5</v>
      </c>
      <c r="E19" s="2" t="str">
        <f>CONCATENATE($D19,"-",E$10)</f>
        <v>5-1</v>
      </c>
      <c r="F19" s="2" t="str">
        <f>CONCATENATE($D19,"-",F$10)</f>
        <v>5-2</v>
      </c>
      <c r="G19" s="2" t="str">
        <f>CONCATENATE($D19,"-",G$10)</f>
        <v>5-3</v>
      </c>
      <c r="H19" s="2" t="str">
        <f>CONCATENATE($D19,"-",H$10)</f>
        <v>5-4</v>
      </c>
      <c r="I19" s="2"/>
      <c r="J19" s="2" t="str">
        <f>CONCATENATE($D19,"-",J$10)</f>
        <v>5-6</v>
      </c>
    </row>
    <row r="20" spans="1:11" x14ac:dyDescent="0.25">
      <c r="E20">
        <f>Main!F23</f>
        <v>0</v>
      </c>
      <c r="F20">
        <f>Main!G23</f>
        <v>0</v>
      </c>
      <c r="G20">
        <f>Main!H23</f>
        <v>0</v>
      </c>
      <c r="H20">
        <f>Main!I23</f>
        <v>0</v>
      </c>
      <c r="I20">
        <f>Main!J23</f>
        <v>0</v>
      </c>
      <c r="J20">
        <f>Main!K23</f>
        <v>0</v>
      </c>
    </row>
    <row r="21" spans="1:11" x14ac:dyDescent="0.25">
      <c r="D21" s="2">
        <v>6</v>
      </c>
      <c r="E21" s="2" t="str">
        <f>CONCATENATE($D21,"-",E$10)</f>
        <v>6-1</v>
      </c>
      <c r="F21" s="2" t="str">
        <f>CONCATENATE($D21,"-",F$10)</f>
        <v>6-2</v>
      </c>
      <c r="G21" s="2" t="str">
        <f>CONCATENATE($D21,"-",G$10)</f>
        <v>6-3</v>
      </c>
      <c r="H21" s="2" t="str">
        <f>CONCATENATE($D21,"-",H$10)</f>
        <v>6-4</v>
      </c>
      <c r="I21" s="2" t="str">
        <f>CONCATENATE($D21,"-",I$10)</f>
        <v>6-5</v>
      </c>
      <c r="J21" s="2"/>
    </row>
    <row r="22" spans="1:11" x14ac:dyDescent="0.25">
      <c r="E22">
        <f>Main!F25</f>
        <v>0</v>
      </c>
      <c r="F22">
        <f>Main!G25</f>
        <v>0</v>
      </c>
      <c r="G22">
        <f>Main!H25</f>
        <v>0</v>
      </c>
      <c r="H22">
        <f>Main!I25</f>
        <v>0</v>
      </c>
      <c r="I22">
        <f>Main!J25</f>
        <v>0</v>
      </c>
      <c r="J22">
        <f>Main!K25</f>
        <v>0</v>
      </c>
    </row>
    <row r="23" spans="1:11" x14ac:dyDescent="0.25">
      <c r="A23" t="s">
        <v>94</v>
      </c>
      <c r="C23" t="s">
        <v>95</v>
      </c>
      <c r="D23" t="s">
        <v>96</v>
      </c>
      <c r="E23" t="s">
        <v>97</v>
      </c>
      <c r="F23" t="s">
        <v>98</v>
      </c>
      <c r="G23" t="s">
        <v>7</v>
      </c>
      <c r="H23" t="s">
        <v>99</v>
      </c>
      <c r="I23" t="s">
        <v>100</v>
      </c>
      <c r="J23" t="s">
        <v>101</v>
      </c>
      <c r="K23" t="s">
        <v>102</v>
      </c>
    </row>
    <row r="24" spans="1:11" x14ac:dyDescent="0.25">
      <c r="A24" t="s">
        <v>46</v>
      </c>
      <c r="C24">
        <v>4</v>
      </c>
      <c r="D24" t="s">
        <v>1</v>
      </c>
      <c r="E24">
        <f>Main!C14</f>
        <v>0</v>
      </c>
      <c r="F24" t="b">
        <f>IF(D24=H$5,TRUE,FALSE)</f>
        <v>1</v>
      </c>
      <c r="G24">
        <f>IF(F24=TRUE,E24*C24,0)</f>
        <v>0</v>
      </c>
      <c r="H24">
        <v>14</v>
      </c>
      <c r="I24">
        <v>2</v>
      </c>
      <c r="J24">
        <v>13</v>
      </c>
      <c r="K24">
        <v>3</v>
      </c>
    </row>
    <row r="25" spans="1:11" x14ac:dyDescent="0.25">
      <c r="A25" t="s">
        <v>47</v>
      </c>
      <c r="C25">
        <v>4</v>
      </c>
      <c r="D25" t="s">
        <v>2</v>
      </c>
      <c r="E25">
        <f>Main!C15</f>
        <v>0</v>
      </c>
      <c r="F25" t="b">
        <f t="shared" ref="F25:F28" si="10">IF(D25=H$5,TRUE,FALSE)</f>
        <v>0</v>
      </c>
      <c r="G25">
        <f t="shared" ref="G25:G65" si="11">IF(F25=TRUE,E25*C25,0)</f>
        <v>0</v>
      </c>
      <c r="H25">
        <v>15</v>
      </c>
      <c r="I25">
        <v>2</v>
      </c>
      <c r="J25">
        <v>13</v>
      </c>
      <c r="K25">
        <v>3</v>
      </c>
    </row>
    <row r="26" spans="1:11" x14ac:dyDescent="0.25">
      <c r="A26" t="s">
        <v>48</v>
      </c>
      <c r="C26">
        <v>4</v>
      </c>
      <c r="D26" t="s">
        <v>3</v>
      </c>
      <c r="E26">
        <f>Main!C16</f>
        <v>0</v>
      </c>
      <c r="F26" t="b">
        <f t="shared" si="10"/>
        <v>0</v>
      </c>
      <c r="G26">
        <f t="shared" si="11"/>
        <v>0</v>
      </c>
      <c r="H26">
        <v>16</v>
      </c>
      <c r="I26">
        <v>2</v>
      </c>
      <c r="J26">
        <v>13</v>
      </c>
      <c r="K26">
        <v>3</v>
      </c>
    </row>
    <row r="27" spans="1:11" x14ac:dyDescent="0.25">
      <c r="A27" t="s">
        <v>49</v>
      </c>
      <c r="C27">
        <v>4</v>
      </c>
      <c r="D27" t="s">
        <v>4</v>
      </c>
      <c r="E27">
        <f>Main!C17</f>
        <v>0</v>
      </c>
      <c r="F27" t="b">
        <f t="shared" si="10"/>
        <v>0</v>
      </c>
      <c r="G27">
        <f t="shared" si="11"/>
        <v>0</v>
      </c>
      <c r="H27">
        <v>17</v>
      </c>
      <c r="I27">
        <v>2</v>
      </c>
      <c r="J27">
        <v>13</v>
      </c>
      <c r="K27">
        <v>3</v>
      </c>
    </row>
    <row r="28" spans="1:11" x14ac:dyDescent="0.25">
      <c r="A28" t="s">
        <v>50</v>
      </c>
      <c r="C28">
        <v>4</v>
      </c>
      <c r="D28" t="s">
        <v>5</v>
      </c>
      <c r="E28">
        <f>Main!C18</f>
        <v>0</v>
      </c>
      <c r="F28" t="b">
        <f t="shared" si="10"/>
        <v>0</v>
      </c>
      <c r="G28">
        <f t="shared" si="11"/>
        <v>0</v>
      </c>
      <c r="H28">
        <v>18</v>
      </c>
      <c r="I28">
        <v>2</v>
      </c>
      <c r="J28">
        <v>13</v>
      </c>
      <c r="K28">
        <v>3</v>
      </c>
    </row>
    <row r="29" spans="1:11" x14ac:dyDescent="0.25">
      <c r="A29" t="s">
        <v>51</v>
      </c>
      <c r="C29">
        <v>4</v>
      </c>
      <c r="D29" t="s">
        <v>6</v>
      </c>
      <c r="E29">
        <f>Main!C19</f>
        <v>0</v>
      </c>
      <c r="F29" t="b">
        <f>IF(D29=H$5,TRUE,FALSE)</f>
        <v>0</v>
      </c>
      <c r="G29">
        <f t="shared" si="11"/>
        <v>0</v>
      </c>
      <c r="H29">
        <v>19</v>
      </c>
      <c r="I29">
        <v>2</v>
      </c>
      <c r="J29">
        <v>13</v>
      </c>
      <c r="K29">
        <v>3</v>
      </c>
    </row>
    <row r="30" spans="1:11" x14ac:dyDescent="0.25">
      <c r="A30" t="s">
        <v>52</v>
      </c>
      <c r="C30">
        <v>2</v>
      </c>
      <c r="D30" t="s">
        <v>1</v>
      </c>
      <c r="E30">
        <f>Main!D14</f>
        <v>0</v>
      </c>
      <c r="F30" t="b">
        <f>IF(D30=I$5,TRUE,IF(D30=J$5,TRUE,FALSE))</f>
        <v>1</v>
      </c>
      <c r="G30">
        <f t="shared" si="11"/>
        <v>0</v>
      </c>
      <c r="H30">
        <v>14</v>
      </c>
      <c r="I30">
        <v>2</v>
      </c>
      <c r="J30">
        <v>13</v>
      </c>
      <c r="K30">
        <v>4</v>
      </c>
    </row>
    <row r="31" spans="1:11" x14ac:dyDescent="0.25">
      <c r="A31" t="s">
        <v>53</v>
      </c>
      <c r="C31">
        <v>2</v>
      </c>
      <c r="D31" t="s">
        <v>2</v>
      </c>
      <c r="E31">
        <f>Main!D15</f>
        <v>0</v>
      </c>
      <c r="F31" t="b">
        <f t="shared" ref="F31:F35" si="12">IF(D31=I$5,TRUE,IF(D31=J$5,TRUE,FALSE))</f>
        <v>0</v>
      </c>
      <c r="G31">
        <f t="shared" si="11"/>
        <v>0</v>
      </c>
      <c r="H31">
        <v>15</v>
      </c>
      <c r="I31">
        <v>2</v>
      </c>
      <c r="J31">
        <v>13</v>
      </c>
      <c r="K31">
        <v>4</v>
      </c>
    </row>
    <row r="32" spans="1:11" x14ac:dyDescent="0.25">
      <c r="A32" t="s">
        <v>54</v>
      </c>
      <c r="C32">
        <v>2</v>
      </c>
      <c r="D32" t="s">
        <v>3</v>
      </c>
      <c r="E32">
        <f>Main!D16</f>
        <v>0</v>
      </c>
      <c r="F32" t="b">
        <f t="shared" si="12"/>
        <v>0</v>
      </c>
      <c r="G32">
        <f t="shared" si="11"/>
        <v>0</v>
      </c>
      <c r="H32">
        <v>16</v>
      </c>
      <c r="I32">
        <v>2</v>
      </c>
      <c r="J32">
        <v>13</v>
      </c>
      <c r="K32">
        <v>4</v>
      </c>
    </row>
    <row r="33" spans="1:11" x14ac:dyDescent="0.25">
      <c r="A33" t="s">
        <v>55</v>
      </c>
      <c r="C33">
        <v>2</v>
      </c>
      <c r="D33" t="s">
        <v>4</v>
      </c>
      <c r="E33">
        <f>Main!D17</f>
        <v>0</v>
      </c>
      <c r="F33" t="b">
        <f t="shared" si="12"/>
        <v>0</v>
      </c>
      <c r="G33">
        <f t="shared" si="11"/>
        <v>0</v>
      </c>
      <c r="H33">
        <v>17</v>
      </c>
      <c r="I33">
        <v>2</v>
      </c>
      <c r="J33">
        <v>13</v>
      </c>
      <c r="K33">
        <v>4</v>
      </c>
    </row>
    <row r="34" spans="1:11" x14ac:dyDescent="0.25">
      <c r="A34" t="s">
        <v>56</v>
      </c>
      <c r="C34">
        <v>2</v>
      </c>
      <c r="D34" t="s">
        <v>5</v>
      </c>
      <c r="E34">
        <f>Main!D18</f>
        <v>0</v>
      </c>
      <c r="F34" t="b">
        <f t="shared" si="12"/>
        <v>1</v>
      </c>
      <c r="G34">
        <f t="shared" si="11"/>
        <v>0</v>
      </c>
      <c r="H34">
        <v>18</v>
      </c>
      <c r="I34">
        <v>2</v>
      </c>
      <c r="J34">
        <v>13</v>
      </c>
      <c r="K34">
        <v>4</v>
      </c>
    </row>
    <row r="35" spans="1:11" x14ac:dyDescent="0.25">
      <c r="A35" t="s">
        <v>57</v>
      </c>
      <c r="C35">
        <v>2</v>
      </c>
      <c r="D35" t="s">
        <v>6</v>
      </c>
      <c r="E35">
        <f>Main!D19</f>
        <v>0</v>
      </c>
      <c r="F35" t="b">
        <f t="shared" si="12"/>
        <v>0</v>
      </c>
      <c r="G35">
        <f t="shared" si="11"/>
        <v>0</v>
      </c>
      <c r="H35">
        <v>19</v>
      </c>
      <c r="I35">
        <v>2</v>
      </c>
      <c r="J35">
        <v>13</v>
      </c>
      <c r="K35">
        <v>4</v>
      </c>
    </row>
    <row r="36" spans="1:11" x14ac:dyDescent="0.25">
      <c r="A36" t="s">
        <v>58</v>
      </c>
      <c r="C36">
        <v>25</v>
      </c>
      <c r="D36" s="5" t="s">
        <v>16</v>
      </c>
      <c r="E36">
        <f>F12</f>
        <v>0</v>
      </c>
      <c r="F36" t="b">
        <f>IF(D36=K$4,TRUE,FALSE)</f>
        <v>0</v>
      </c>
      <c r="G36">
        <f t="shared" si="11"/>
        <v>0</v>
      </c>
      <c r="H36">
        <v>14</v>
      </c>
      <c r="I36">
        <v>7</v>
      </c>
      <c r="J36">
        <v>13</v>
      </c>
      <c r="K36">
        <v>6</v>
      </c>
    </row>
    <row r="37" spans="1:11" x14ac:dyDescent="0.25">
      <c r="A37" t="s">
        <v>59</v>
      </c>
      <c r="C37">
        <v>25</v>
      </c>
      <c r="D37" s="5" t="s">
        <v>17</v>
      </c>
      <c r="E37">
        <f>G12</f>
        <v>0</v>
      </c>
      <c r="F37" t="b">
        <f t="shared" ref="F37:F65" si="13">IF(D37=K$4,TRUE,FALSE)</f>
        <v>0</v>
      </c>
      <c r="G37">
        <f t="shared" si="11"/>
        <v>0</v>
      </c>
      <c r="H37">
        <v>14</v>
      </c>
      <c r="I37">
        <v>8</v>
      </c>
      <c r="J37">
        <v>13</v>
      </c>
      <c r="K37">
        <v>6</v>
      </c>
    </row>
    <row r="38" spans="1:11" x14ac:dyDescent="0.25">
      <c r="A38" t="s">
        <v>60</v>
      </c>
      <c r="C38">
        <v>25</v>
      </c>
      <c r="D38" s="5" t="s">
        <v>18</v>
      </c>
      <c r="E38">
        <f>H12</f>
        <v>0</v>
      </c>
      <c r="F38" t="b">
        <f t="shared" si="13"/>
        <v>0</v>
      </c>
      <c r="G38">
        <f t="shared" si="11"/>
        <v>0</v>
      </c>
      <c r="H38">
        <v>14</v>
      </c>
      <c r="I38">
        <v>9</v>
      </c>
      <c r="J38">
        <v>13</v>
      </c>
      <c r="K38">
        <v>6</v>
      </c>
    </row>
    <row r="39" spans="1:11" x14ac:dyDescent="0.25">
      <c r="A39" t="s">
        <v>61</v>
      </c>
      <c r="C39">
        <v>25</v>
      </c>
      <c r="D39" s="5" t="s">
        <v>19</v>
      </c>
      <c r="E39">
        <f>I12</f>
        <v>0</v>
      </c>
      <c r="F39" t="b">
        <f t="shared" si="13"/>
        <v>1</v>
      </c>
      <c r="G39">
        <f t="shared" si="11"/>
        <v>0</v>
      </c>
      <c r="H39">
        <v>14</v>
      </c>
      <c r="I39">
        <v>10</v>
      </c>
      <c r="J39">
        <v>13</v>
      </c>
      <c r="K39">
        <v>6</v>
      </c>
    </row>
    <row r="40" spans="1:11" x14ac:dyDescent="0.25">
      <c r="A40" t="s">
        <v>62</v>
      </c>
      <c r="C40">
        <v>25</v>
      </c>
      <c r="D40" s="5" t="s">
        <v>20</v>
      </c>
      <c r="E40">
        <f>J12</f>
        <v>0</v>
      </c>
      <c r="F40" t="b">
        <f t="shared" si="13"/>
        <v>0</v>
      </c>
      <c r="G40">
        <f t="shared" si="11"/>
        <v>0</v>
      </c>
      <c r="H40">
        <v>14</v>
      </c>
      <c r="I40">
        <v>11</v>
      </c>
      <c r="J40">
        <v>13</v>
      </c>
      <c r="K40">
        <v>6</v>
      </c>
    </row>
    <row r="41" spans="1:11" x14ac:dyDescent="0.25">
      <c r="A41" t="s">
        <v>63</v>
      </c>
      <c r="C41">
        <v>25</v>
      </c>
      <c r="D41" s="5" t="s">
        <v>21</v>
      </c>
      <c r="E41">
        <f>E14</f>
        <v>0</v>
      </c>
      <c r="F41" t="b">
        <f t="shared" si="13"/>
        <v>0</v>
      </c>
      <c r="G41">
        <f t="shared" si="11"/>
        <v>0</v>
      </c>
      <c r="H41">
        <v>16</v>
      </c>
      <c r="I41">
        <v>6</v>
      </c>
      <c r="J41">
        <v>13</v>
      </c>
      <c r="K41">
        <v>6</v>
      </c>
    </row>
    <row r="42" spans="1:11" x14ac:dyDescent="0.25">
      <c r="A42" t="s">
        <v>64</v>
      </c>
      <c r="C42">
        <v>25</v>
      </c>
      <c r="D42" s="5" t="s">
        <v>22</v>
      </c>
      <c r="E42">
        <f>G14</f>
        <v>0</v>
      </c>
      <c r="F42" t="b">
        <f t="shared" si="13"/>
        <v>0</v>
      </c>
      <c r="G42">
        <f t="shared" si="11"/>
        <v>0</v>
      </c>
      <c r="H42">
        <v>16</v>
      </c>
      <c r="I42">
        <v>8</v>
      </c>
      <c r="J42">
        <v>13</v>
      </c>
      <c r="K42">
        <v>6</v>
      </c>
    </row>
    <row r="43" spans="1:11" x14ac:dyDescent="0.25">
      <c r="A43" t="s">
        <v>65</v>
      </c>
      <c r="C43">
        <v>25</v>
      </c>
      <c r="D43" s="5" t="s">
        <v>23</v>
      </c>
      <c r="E43">
        <f>H14</f>
        <v>0</v>
      </c>
      <c r="F43" t="b">
        <f t="shared" si="13"/>
        <v>0</v>
      </c>
      <c r="G43">
        <f t="shared" si="11"/>
        <v>0</v>
      </c>
      <c r="H43">
        <v>16</v>
      </c>
      <c r="I43">
        <v>9</v>
      </c>
      <c r="J43">
        <v>13</v>
      </c>
      <c r="K43">
        <v>6</v>
      </c>
    </row>
    <row r="44" spans="1:11" x14ac:dyDescent="0.25">
      <c r="A44" t="s">
        <v>66</v>
      </c>
      <c r="C44">
        <v>25</v>
      </c>
      <c r="D44" s="5" t="s">
        <v>24</v>
      </c>
      <c r="E44">
        <f>I14</f>
        <v>0</v>
      </c>
      <c r="F44" t="b">
        <f t="shared" si="13"/>
        <v>0</v>
      </c>
      <c r="G44">
        <f t="shared" si="11"/>
        <v>0</v>
      </c>
      <c r="H44">
        <v>16</v>
      </c>
      <c r="I44">
        <v>10</v>
      </c>
      <c r="J44">
        <v>13</v>
      </c>
      <c r="K44">
        <v>6</v>
      </c>
    </row>
    <row r="45" spans="1:11" x14ac:dyDescent="0.25">
      <c r="A45" t="s">
        <v>67</v>
      </c>
      <c r="C45">
        <v>25</v>
      </c>
      <c r="D45" s="5" t="s">
        <v>25</v>
      </c>
      <c r="E45">
        <f>J14</f>
        <v>0</v>
      </c>
      <c r="F45" t="b">
        <f t="shared" si="13"/>
        <v>0</v>
      </c>
      <c r="G45">
        <f t="shared" si="11"/>
        <v>0</v>
      </c>
      <c r="H45">
        <v>16</v>
      </c>
      <c r="I45">
        <v>11</v>
      </c>
      <c r="J45">
        <v>13</v>
      </c>
      <c r="K45">
        <v>6</v>
      </c>
    </row>
    <row r="46" spans="1:11" x14ac:dyDescent="0.25">
      <c r="A46" t="s">
        <v>68</v>
      </c>
      <c r="C46">
        <v>25</v>
      </c>
      <c r="D46" s="5" t="s">
        <v>26</v>
      </c>
      <c r="E46">
        <f>E16</f>
        <v>0</v>
      </c>
      <c r="F46" t="b">
        <f t="shared" si="13"/>
        <v>0</v>
      </c>
      <c r="G46">
        <f t="shared" si="11"/>
        <v>0</v>
      </c>
      <c r="H46">
        <v>18</v>
      </c>
      <c r="I46">
        <v>6</v>
      </c>
      <c r="J46">
        <v>13</v>
      </c>
      <c r="K46">
        <v>6</v>
      </c>
    </row>
    <row r="47" spans="1:11" x14ac:dyDescent="0.25">
      <c r="A47" t="s">
        <v>69</v>
      </c>
      <c r="C47">
        <v>25</v>
      </c>
      <c r="D47" s="5" t="s">
        <v>27</v>
      </c>
      <c r="E47">
        <f>F16</f>
        <v>0</v>
      </c>
      <c r="F47" t="b">
        <f t="shared" si="13"/>
        <v>0</v>
      </c>
      <c r="G47">
        <f t="shared" si="11"/>
        <v>0</v>
      </c>
      <c r="H47">
        <v>18</v>
      </c>
      <c r="I47">
        <v>7</v>
      </c>
      <c r="J47">
        <v>13</v>
      </c>
      <c r="K47">
        <v>6</v>
      </c>
    </row>
    <row r="48" spans="1:11" x14ac:dyDescent="0.25">
      <c r="A48" t="s">
        <v>70</v>
      </c>
      <c r="C48">
        <v>25</v>
      </c>
      <c r="D48" s="5" t="s">
        <v>28</v>
      </c>
      <c r="E48">
        <f>H16</f>
        <v>0</v>
      </c>
      <c r="F48" t="b">
        <f t="shared" si="13"/>
        <v>0</v>
      </c>
      <c r="G48">
        <f t="shared" si="11"/>
        <v>0</v>
      </c>
      <c r="H48">
        <v>18</v>
      </c>
      <c r="I48">
        <v>9</v>
      </c>
      <c r="J48">
        <v>13</v>
      </c>
      <c r="K48">
        <v>6</v>
      </c>
    </row>
    <row r="49" spans="1:11" x14ac:dyDescent="0.25">
      <c r="A49" t="s">
        <v>71</v>
      </c>
      <c r="C49">
        <v>25</v>
      </c>
      <c r="D49" s="5" t="s">
        <v>29</v>
      </c>
      <c r="E49">
        <f>I16</f>
        <v>0</v>
      </c>
      <c r="F49" t="b">
        <f t="shared" si="13"/>
        <v>0</v>
      </c>
      <c r="G49">
        <f t="shared" si="11"/>
        <v>0</v>
      </c>
      <c r="H49">
        <v>18</v>
      </c>
      <c r="I49">
        <v>10</v>
      </c>
      <c r="J49">
        <v>13</v>
      </c>
      <c r="K49">
        <v>6</v>
      </c>
    </row>
    <row r="50" spans="1:11" x14ac:dyDescent="0.25">
      <c r="A50" t="s">
        <v>72</v>
      </c>
      <c r="C50">
        <v>25</v>
      </c>
      <c r="D50" s="5" t="s">
        <v>30</v>
      </c>
      <c r="E50">
        <f>J16</f>
        <v>0</v>
      </c>
      <c r="F50" t="b">
        <f t="shared" si="13"/>
        <v>0</v>
      </c>
      <c r="G50">
        <f t="shared" si="11"/>
        <v>0</v>
      </c>
      <c r="H50">
        <v>18</v>
      </c>
      <c r="I50">
        <v>11</v>
      </c>
      <c r="J50">
        <v>13</v>
      </c>
      <c r="K50">
        <v>6</v>
      </c>
    </row>
    <row r="51" spans="1:11" x14ac:dyDescent="0.25">
      <c r="A51" t="s">
        <v>73</v>
      </c>
      <c r="C51">
        <v>25</v>
      </c>
      <c r="D51" s="5" t="s">
        <v>31</v>
      </c>
      <c r="E51">
        <f>E18</f>
        <v>0</v>
      </c>
      <c r="F51" t="b">
        <f t="shared" si="13"/>
        <v>0</v>
      </c>
      <c r="G51">
        <f t="shared" si="11"/>
        <v>0</v>
      </c>
      <c r="H51">
        <v>20</v>
      </c>
      <c r="I51">
        <v>6</v>
      </c>
      <c r="J51">
        <v>13</v>
      </c>
      <c r="K51">
        <v>6</v>
      </c>
    </row>
    <row r="52" spans="1:11" x14ac:dyDescent="0.25">
      <c r="A52" t="s">
        <v>74</v>
      </c>
      <c r="C52">
        <v>25</v>
      </c>
      <c r="D52" s="5" t="s">
        <v>32</v>
      </c>
      <c r="E52">
        <f>F18</f>
        <v>0</v>
      </c>
      <c r="F52" t="b">
        <f t="shared" si="13"/>
        <v>0</v>
      </c>
      <c r="G52">
        <f t="shared" si="11"/>
        <v>0</v>
      </c>
      <c r="H52">
        <v>20</v>
      </c>
      <c r="I52">
        <v>7</v>
      </c>
      <c r="J52">
        <v>13</v>
      </c>
      <c r="K52">
        <v>6</v>
      </c>
    </row>
    <row r="53" spans="1:11" x14ac:dyDescent="0.25">
      <c r="A53" t="s">
        <v>75</v>
      </c>
      <c r="C53">
        <v>25</v>
      </c>
      <c r="D53" s="5" t="s">
        <v>33</v>
      </c>
      <c r="E53">
        <f>G18</f>
        <v>0</v>
      </c>
      <c r="F53" t="b">
        <f t="shared" si="13"/>
        <v>0</v>
      </c>
      <c r="G53">
        <f t="shared" si="11"/>
        <v>0</v>
      </c>
      <c r="H53">
        <v>20</v>
      </c>
      <c r="I53">
        <v>8</v>
      </c>
      <c r="J53">
        <v>13</v>
      </c>
      <c r="K53">
        <v>6</v>
      </c>
    </row>
    <row r="54" spans="1:11" x14ac:dyDescent="0.25">
      <c r="A54" t="s">
        <v>76</v>
      </c>
      <c r="C54">
        <v>25</v>
      </c>
      <c r="D54" s="5" t="s">
        <v>34</v>
      </c>
      <c r="E54">
        <f>I18</f>
        <v>0</v>
      </c>
      <c r="F54" t="b">
        <f t="shared" si="13"/>
        <v>0</v>
      </c>
      <c r="G54">
        <f t="shared" si="11"/>
        <v>0</v>
      </c>
      <c r="H54">
        <v>20</v>
      </c>
      <c r="I54">
        <v>10</v>
      </c>
      <c r="J54">
        <v>13</v>
      </c>
      <c r="K54">
        <v>6</v>
      </c>
    </row>
    <row r="55" spans="1:11" x14ac:dyDescent="0.25">
      <c r="A55" t="s">
        <v>77</v>
      </c>
      <c r="C55">
        <v>25</v>
      </c>
      <c r="D55" s="5" t="s">
        <v>35</v>
      </c>
      <c r="E55">
        <f>J18</f>
        <v>0</v>
      </c>
      <c r="F55" t="b">
        <f t="shared" si="13"/>
        <v>0</v>
      </c>
      <c r="G55">
        <f t="shared" si="11"/>
        <v>0</v>
      </c>
      <c r="H55">
        <v>20</v>
      </c>
      <c r="I55">
        <v>11</v>
      </c>
      <c r="J55">
        <v>13</v>
      </c>
      <c r="K55">
        <v>6</v>
      </c>
    </row>
    <row r="56" spans="1:11" x14ac:dyDescent="0.25">
      <c r="A56" t="s">
        <v>78</v>
      </c>
      <c r="C56">
        <v>25</v>
      </c>
      <c r="D56" s="5" t="s">
        <v>36</v>
      </c>
      <c r="E56">
        <f>E20</f>
        <v>0</v>
      </c>
      <c r="F56" t="b">
        <f t="shared" si="13"/>
        <v>0</v>
      </c>
      <c r="G56">
        <f t="shared" si="11"/>
        <v>0</v>
      </c>
      <c r="H56">
        <v>22</v>
      </c>
      <c r="I56">
        <v>6</v>
      </c>
      <c r="J56">
        <v>13</v>
      </c>
      <c r="K56">
        <v>6</v>
      </c>
    </row>
    <row r="57" spans="1:11" x14ac:dyDescent="0.25">
      <c r="A57" t="s">
        <v>79</v>
      </c>
      <c r="C57">
        <v>25</v>
      </c>
      <c r="D57" s="5" t="s">
        <v>37</v>
      </c>
      <c r="E57">
        <f>F20</f>
        <v>0</v>
      </c>
      <c r="F57" t="b">
        <f t="shared" si="13"/>
        <v>0</v>
      </c>
      <c r="G57">
        <f t="shared" si="11"/>
        <v>0</v>
      </c>
      <c r="H57">
        <v>22</v>
      </c>
      <c r="I57">
        <v>7</v>
      </c>
      <c r="J57">
        <v>13</v>
      </c>
      <c r="K57">
        <v>6</v>
      </c>
    </row>
    <row r="58" spans="1:11" x14ac:dyDescent="0.25">
      <c r="A58" t="s">
        <v>80</v>
      </c>
      <c r="C58">
        <v>25</v>
      </c>
      <c r="D58" s="5" t="s">
        <v>38</v>
      </c>
      <c r="E58">
        <f>G20</f>
        <v>0</v>
      </c>
      <c r="F58" t="b">
        <f t="shared" si="13"/>
        <v>0</v>
      </c>
      <c r="G58">
        <f t="shared" si="11"/>
        <v>0</v>
      </c>
      <c r="H58">
        <v>22</v>
      </c>
      <c r="I58">
        <v>8</v>
      </c>
      <c r="J58">
        <v>13</v>
      </c>
      <c r="K58">
        <v>6</v>
      </c>
    </row>
    <row r="59" spans="1:11" x14ac:dyDescent="0.25">
      <c r="A59" t="s">
        <v>81</v>
      </c>
      <c r="C59">
        <v>25</v>
      </c>
      <c r="D59" s="5" t="s">
        <v>39</v>
      </c>
      <c r="E59">
        <f>H20</f>
        <v>0</v>
      </c>
      <c r="F59" t="b">
        <f t="shared" si="13"/>
        <v>0</v>
      </c>
      <c r="G59">
        <f t="shared" si="11"/>
        <v>0</v>
      </c>
      <c r="H59">
        <v>22</v>
      </c>
      <c r="I59">
        <v>9</v>
      </c>
      <c r="J59">
        <v>13</v>
      </c>
      <c r="K59">
        <v>6</v>
      </c>
    </row>
    <row r="60" spans="1:11" x14ac:dyDescent="0.25">
      <c r="A60" t="s">
        <v>82</v>
      </c>
      <c r="C60">
        <v>25</v>
      </c>
      <c r="D60" s="5" t="s">
        <v>40</v>
      </c>
      <c r="E60">
        <f>J20</f>
        <v>0</v>
      </c>
      <c r="F60" t="b">
        <f t="shared" si="13"/>
        <v>0</v>
      </c>
      <c r="G60">
        <f t="shared" si="11"/>
        <v>0</v>
      </c>
      <c r="H60">
        <v>22</v>
      </c>
      <c r="I60">
        <v>11</v>
      </c>
      <c r="J60">
        <v>13</v>
      </c>
      <c r="K60">
        <v>6</v>
      </c>
    </row>
    <row r="61" spans="1:11" x14ac:dyDescent="0.25">
      <c r="A61" t="s">
        <v>83</v>
      </c>
      <c r="C61">
        <v>25</v>
      </c>
      <c r="D61" s="5" t="s">
        <v>41</v>
      </c>
      <c r="E61">
        <f>E22</f>
        <v>0</v>
      </c>
      <c r="F61" t="b">
        <f t="shared" si="13"/>
        <v>0</v>
      </c>
      <c r="G61">
        <f t="shared" si="11"/>
        <v>0</v>
      </c>
      <c r="H61">
        <v>24</v>
      </c>
      <c r="I61">
        <v>6</v>
      </c>
      <c r="J61">
        <v>13</v>
      </c>
      <c r="K61">
        <v>6</v>
      </c>
    </row>
    <row r="62" spans="1:11" x14ac:dyDescent="0.25">
      <c r="A62" t="s">
        <v>84</v>
      </c>
      <c r="C62">
        <v>25</v>
      </c>
      <c r="D62" s="5" t="s">
        <v>42</v>
      </c>
      <c r="E62">
        <f>F22</f>
        <v>0</v>
      </c>
      <c r="F62" t="b">
        <f t="shared" si="13"/>
        <v>0</v>
      </c>
      <c r="G62">
        <f t="shared" si="11"/>
        <v>0</v>
      </c>
      <c r="H62">
        <v>24</v>
      </c>
      <c r="I62">
        <v>7</v>
      </c>
      <c r="J62">
        <v>13</v>
      </c>
      <c r="K62">
        <v>6</v>
      </c>
    </row>
    <row r="63" spans="1:11" x14ac:dyDescent="0.25">
      <c r="A63" t="s">
        <v>85</v>
      </c>
      <c r="C63">
        <v>25</v>
      </c>
      <c r="D63" s="5" t="s">
        <v>43</v>
      </c>
      <c r="E63">
        <f>G22</f>
        <v>0</v>
      </c>
      <c r="F63" t="b">
        <f t="shared" si="13"/>
        <v>0</v>
      </c>
      <c r="G63">
        <f t="shared" si="11"/>
        <v>0</v>
      </c>
      <c r="H63">
        <v>24</v>
      </c>
      <c r="I63">
        <v>8</v>
      </c>
      <c r="J63">
        <v>13</v>
      </c>
      <c r="K63">
        <v>6</v>
      </c>
    </row>
    <row r="64" spans="1:11" x14ac:dyDescent="0.25">
      <c r="A64" t="s">
        <v>86</v>
      </c>
      <c r="C64">
        <v>25</v>
      </c>
      <c r="D64" s="5" t="s">
        <v>44</v>
      </c>
      <c r="E64">
        <f>H22</f>
        <v>0</v>
      </c>
      <c r="F64" t="b">
        <f t="shared" si="13"/>
        <v>0</v>
      </c>
      <c r="G64">
        <f t="shared" si="11"/>
        <v>0</v>
      </c>
      <c r="H64">
        <v>24</v>
      </c>
      <c r="I64">
        <v>9</v>
      </c>
      <c r="J64">
        <v>13</v>
      </c>
      <c r="K64">
        <v>6</v>
      </c>
    </row>
    <row r="65" spans="1:11" x14ac:dyDescent="0.25">
      <c r="A65" t="s">
        <v>87</v>
      </c>
      <c r="C65">
        <v>25</v>
      </c>
      <c r="D65" s="5" t="s">
        <v>45</v>
      </c>
      <c r="E65">
        <f>I22</f>
        <v>0</v>
      </c>
      <c r="F65" t="b">
        <f t="shared" si="13"/>
        <v>0</v>
      </c>
      <c r="G65">
        <f t="shared" si="11"/>
        <v>0</v>
      </c>
      <c r="H65">
        <v>24</v>
      </c>
      <c r="I65">
        <v>10</v>
      </c>
      <c r="J65">
        <v>13</v>
      </c>
      <c r="K65">
        <v>6</v>
      </c>
    </row>
    <row r="67" spans="1:11" x14ac:dyDescent="0.25">
      <c r="D67" s="4" t="s">
        <v>88</v>
      </c>
      <c r="E67">
        <f>SUM(E24:E65)</f>
        <v>0</v>
      </c>
      <c r="G67">
        <f t="shared" ref="G67" si="14">SUM(G24:G65)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Database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dcterms:created xsi:type="dcterms:W3CDTF">2017-09-17T13:26:35Z</dcterms:created>
  <dcterms:modified xsi:type="dcterms:W3CDTF">2017-09-17T18:37:26Z</dcterms:modified>
</cp:coreProperties>
</file>