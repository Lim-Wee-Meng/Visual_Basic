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19260" windowHeight="8580" firstSheet="3" activeTab="3"/>
  </bookViews>
  <sheets>
    <sheet name="Explain" sheetId="1" state="hidden" r:id="rId1"/>
    <sheet name="Cards" sheetId="4" state="hidden" r:id="rId2"/>
    <sheet name="Data" sheetId="2" state="hidden" r:id="rId3"/>
    <sheet name="Main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8" i="2" l="1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17" i="2"/>
  <c r="K51" i="2"/>
  <c r="K52" i="2" s="1"/>
  <c r="K53" i="2" s="1"/>
  <c r="K54" i="2" s="1"/>
  <c r="K55" i="2" s="1"/>
  <c r="K56" i="2" s="1"/>
  <c r="K57" i="2" s="1"/>
  <c r="M57" i="2" s="1"/>
  <c r="K50" i="2"/>
  <c r="M50" i="2" s="1"/>
  <c r="N48" i="2"/>
  <c r="N47" i="2"/>
  <c r="N41" i="2"/>
  <c r="N42" i="2"/>
  <c r="N43" i="2"/>
  <c r="N44" i="2"/>
  <c r="N45" i="2"/>
  <c r="N46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16" i="2"/>
  <c r="N17" i="2"/>
  <c r="N15" i="2"/>
  <c r="M51" i="2" l="1"/>
  <c r="N51" i="2" s="1"/>
  <c r="N50" i="2"/>
  <c r="M52" i="2"/>
  <c r="M54" i="2"/>
  <c r="N54" i="2" s="1"/>
  <c r="N57" i="2"/>
  <c r="M56" i="2"/>
  <c r="N56" i="2" s="1"/>
  <c r="N52" i="2"/>
  <c r="M55" i="2"/>
  <c r="N55" i="2" s="1"/>
  <c r="M53" i="2"/>
  <c r="N53" i="2" s="1"/>
  <c r="N14" i="2"/>
  <c r="N9" i="2"/>
  <c r="L10" i="2"/>
  <c r="L11" i="2" s="1"/>
  <c r="L9" i="2"/>
  <c r="M3" i="2"/>
  <c r="N3" i="2" s="1"/>
  <c r="M4" i="2"/>
  <c r="N4" i="2" s="1"/>
  <c r="M5" i="2"/>
  <c r="N5" i="2" s="1"/>
  <c r="M2" i="2"/>
  <c r="O2" i="2" s="1"/>
  <c r="L7" i="2"/>
  <c r="M1" i="2"/>
  <c r="O5" i="2" l="1"/>
  <c r="N2" i="2"/>
  <c r="O4" i="2"/>
  <c r="O3" i="2"/>
  <c r="D7" i="3"/>
  <c r="T8" i="2" s="1"/>
  <c r="A1" i="3" s="1"/>
  <c r="N65" i="2" l="1"/>
  <c r="R65" i="2" s="1"/>
  <c r="N70" i="2"/>
  <c r="R70" i="2" s="1"/>
  <c r="N68" i="2"/>
  <c r="R68" i="2" s="1"/>
  <c r="N66" i="2"/>
  <c r="R66" i="2" s="1"/>
  <c r="N10" i="2"/>
  <c r="M64" i="2"/>
  <c r="M65" i="2"/>
  <c r="Q65" i="2" s="1"/>
  <c r="M66" i="2"/>
  <c r="Q66" i="2" s="1"/>
  <c r="M67" i="2"/>
  <c r="Q67" i="2" s="1"/>
  <c r="M68" i="2"/>
  <c r="Q68" i="2" s="1"/>
  <c r="M69" i="2"/>
  <c r="Q69" i="2" s="1"/>
  <c r="M70" i="2"/>
  <c r="Q70" i="2" s="1"/>
  <c r="N64" i="2"/>
  <c r="N69" i="2"/>
  <c r="R69" i="2" s="1"/>
  <c r="N67" i="2"/>
  <c r="R67" i="2" s="1"/>
  <c r="O11" i="2"/>
  <c r="N13" i="2" l="1"/>
  <c r="N72" i="2"/>
  <c r="R64" i="2"/>
  <c r="M72" i="2"/>
  <c r="Q64" i="2"/>
  <c r="Q72" i="2" l="1"/>
  <c r="R72" i="2"/>
</calcChain>
</file>

<file path=xl/sharedStrings.xml><?xml version="1.0" encoding="utf-8"?>
<sst xmlns="http://schemas.openxmlformats.org/spreadsheetml/2006/main" count="545" uniqueCount="395">
  <si>
    <t>抽到这颗棋子等于拔得头筹，在各方面运势都非常顺利，尤其事业方面更是独当一面，尽情发挥你的才能，人气可以说是大红大紫，可以领导他人或者让众人佩服。是大放异彩的好运。</t>
  </si>
  <si>
    <t>对于事业方面有帮助，可能有升迁或晋级的机会。学业或考运也非常好，升级进修、完成毕业，考进学校，考中公职、考到证照或任何上榜，都很有可能。对于文书和契约方面，也很有助益。</t>
  </si>
  <si>
    <t>目前各方面都算四平八稳，事业工作和感情关系都很稳定。单身者比较有看头，有姻缘方面的运势来到，为你带来的是正缘，你也要按部就班进行，不能过于消极而不前进或表态。</t>
  </si>
  <si>
    <t>目前人际关系还不错，尤其对于人缘、人气方面特别有帮助，各种交流沟通表现绝佳，朋友和交际运势都看好，而异性缘或感情缘份、桃花运更不赖，受到很多人的青睐和欣赏。</t>
  </si>
  <si>
    <t>表示很有智慧和远见，对于学业完成或进修有帮助，也能发表作品。这是驿马星动，可能有远行或旅途迁移。感情上有特殊的机运，有骑士精神或「淑女特质」，桃花运不错，或许会有邂逅。</t>
  </si>
  <si>
    <t>急切地想要达成目标，然而缺乏耐性而显得太过激进。跳跃式地进行，时而有收获，也时而徒劳无功。真正需要的是小心谨慎安排布局，而不要因为高傲托大的心态使自己失误。</t>
  </si>
  <si>
    <t>表现普通平凡，需继续努力，一步一脚印、亦步亦趋的向前。等到突破限制，你就会更有能耐也更进步了。遇到机会要争取，虽然辛勤还是会得到代价，凭借无比的志气也能立大功。</t>
  </si>
  <si>
    <t>预示大成功的来临，你即将扬眉吐气、意气风发。将军代表你很有威望，也很有号召力和领导能力。并且也表示你很有决心，未来想要做的事情、心中的愿望和期待，都可以达成。</t>
  </si>
  <si>
    <t>对于工作岗位很负责尽职，也很有拼搏的精神，能为老板或团队带来最佳的利润。专业能力更是优异，也能获得赏识和晋升。目前较为低调而耿直，在人际和感情方面较不擅长。</t>
  </si>
  <si>
    <t>适合幕后工作，而不适合领导，更不宜开创。类似、继承、受到任命和责任，按部就班去做也很好。透过守成也是会有一番成绩，而财务上也很稳定，可以累积得十分丰盛。</t>
  </si>
  <si>
    <t>一般状况都还不错，尤其是关于通讯、运输、传递或是交通运会显得特别好。你的交游和人脉也特别广，整天啪啪走，也是很有收获，关于业务、业绩和财运这方面特别旺盛。</t>
  </si>
  <si>
    <t>代表将有成果，虽然终日奔波，也可能会有一段旅程或迁移或外居。然而经过一番里程，终于让人见识到你的实力，果然脱颖而出，最后一举成名，让事实证明你能够马到成功。</t>
  </si>
  <si>
    <t>目前运气很好而有收获，赢得许多战利品。储存很多金钱，或者收藏珍贵物资。目前非常丰盛富足，有能力买名牌包。关于所询问项目，可能会有飞跃的进展，甚至可以一举成功。</t>
  </si>
  <si>
    <t>你会勇往直前，因为这件事情已经箭在弦上，不得不发，你只能向前行而不能回头，跨越藩篱界线之后，你就能超越限制，虽然一步一脚印的迈进，还是能够到达终点的。</t>
  </si>
  <si>
    <r>
      <t>红</t>
    </r>
    <r>
      <rPr>
        <b/>
        <sz val="12"/>
        <color rgb="FF464646"/>
        <rFont val="SimSun"/>
      </rPr>
      <t>帅</t>
    </r>
  </si>
  <si>
    <r>
      <t>红</t>
    </r>
    <r>
      <rPr>
        <b/>
        <sz val="12"/>
        <color rgb="FF464646"/>
        <rFont val="SimSun"/>
      </rPr>
      <t>仕</t>
    </r>
  </si>
  <si>
    <r>
      <t>红</t>
    </r>
    <r>
      <rPr>
        <b/>
        <sz val="12"/>
        <color rgb="FF464646"/>
        <rFont val="SimSun"/>
      </rPr>
      <t>相</t>
    </r>
  </si>
  <si>
    <r>
      <t>红</t>
    </r>
    <r>
      <rPr>
        <b/>
        <sz val="12"/>
        <color rgb="FF464646"/>
        <rFont val="SimSun"/>
      </rPr>
      <t>俥</t>
    </r>
  </si>
  <si>
    <r>
      <t>红</t>
    </r>
    <r>
      <rPr>
        <b/>
        <sz val="12"/>
        <color rgb="FF464646"/>
        <rFont val="SimSun"/>
      </rPr>
      <t>傌</t>
    </r>
  </si>
  <si>
    <r>
      <t>红</t>
    </r>
    <r>
      <rPr>
        <b/>
        <sz val="12"/>
        <color rgb="FF464646"/>
        <rFont val="SimSun"/>
      </rPr>
      <t>炮</t>
    </r>
  </si>
  <si>
    <r>
      <t>红</t>
    </r>
    <r>
      <rPr>
        <b/>
        <sz val="12"/>
        <color rgb="FF464646"/>
        <rFont val="SimSun"/>
      </rPr>
      <t>兵</t>
    </r>
  </si>
  <si>
    <r>
      <t>黑</t>
    </r>
    <r>
      <rPr>
        <b/>
        <sz val="12"/>
        <color rgb="FF464646"/>
        <rFont val="SimSun"/>
      </rPr>
      <t>将</t>
    </r>
  </si>
  <si>
    <r>
      <t>黑</t>
    </r>
    <r>
      <rPr>
        <b/>
        <sz val="12"/>
        <color rgb="FF464646"/>
        <rFont val="SimSun"/>
      </rPr>
      <t>士</t>
    </r>
  </si>
  <si>
    <r>
      <t>黑</t>
    </r>
    <r>
      <rPr>
        <b/>
        <sz val="12"/>
        <color rgb="FF464646"/>
        <rFont val="SimSun"/>
      </rPr>
      <t>象</t>
    </r>
  </si>
  <si>
    <r>
      <t>黑</t>
    </r>
    <r>
      <rPr>
        <b/>
        <sz val="12"/>
        <color rgb="FF464646"/>
        <rFont val="SimSun"/>
      </rPr>
      <t>车</t>
    </r>
  </si>
  <si>
    <r>
      <t>黑</t>
    </r>
    <r>
      <rPr>
        <b/>
        <sz val="12"/>
        <color rgb="FF464646"/>
        <rFont val="SimSun"/>
      </rPr>
      <t>马</t>
    </r>
  </si>
  <si>
    <r>
      <t>黑</t>
    </r>
    <r>
      <rPr>
        <b/>
        <sz val="12"/>
        <color rgb="FF464646"/>
        <rFont val="SimSun"/>
      </rPr>
      <t>包</t>
    </r>
  </si>
  <si>
    <r>
      <t>黑</t>
    </r>
    <r>
      <rPr>
        <b/>
        <sz val="12"/>
        <color rgb="FF464646"/>
        <rFont val="SimSun"/>
      </rPr>
      <t>卒</t>
    </r>
  </si>
  <si>
    <t>帅</t>
  </si>
  <si>
    <t>红</t>
  </si>
  <si>
    <t>仕</t>
  </si>
  <si>
    <t>相</t>
  </si>
  <si>
    <t>俥</t>
  </si>
  <si>
    <t>傌</t>
  </si>
  <si>
    <t>炮</t>
  </si>
  <si>
    <t>兵</t>
  </si>
  <si>
    <t>黑</t>
  </si>
  <si>
    <t>将</t>
  </si>
  <si>
    <t>士</t>
  </si>
  <si>
    <t>象</t>
  </si>
  <si>
    <t>车</t>
  </si>
  <si>
    <t>马</t>
  </si>
  <si>
    <t>包</t>
  </si>
  <si>
    <t>卒</t>
  </si>
  <si>
    <t>一</t>
  </si>
  <si>
    <t>四</t>
  </si>
  <si>
    <t>五</t>
  </si>
  <si>
    <t>二</t>
  </si>
  <si>
    <t>三</t>
  </si>
  <si>
    <t>请选</t>
  </si>
  <si>
    <t>颗棋子</t>
  </si>
  <si>
    <t>选择完毕</t>
  </si>
  <si>
    <t>凶</t>
  </si>
  <si>
    <t>吉</t>
  </si>
  <si>
    <t>弱势</t>
  </si>
  <si>
    <t>强势</t>
  </si>
  <si>
    <r>
      <t>整體運勢：</t>
    </r>
    <r>
      <rPr>
        <sz val="11"/>
        <color rgb="FF800080"/>
        <rFont val="Arial"/>
        <family val="2"/>
      </rPr>
      <t>★★★★★  順遂的一周，保握時機衝刺</t>
    </r>
  </si>
  <si>
    <t>本周工作：</t>
  </si>
  <si>
    <t>好事成雙，運勢順利，能從事符合自己興趣的工作，自然諸事皆宜。</t>
  </si>
  <si>
    <r>
      <t>如何解決困境：</t>
    </r>
    <r>
      <rPr>
        <sz val="11"/>
        <color rgb="FF404040"/>
        <rFont val="Arial"/>
        <family val="2"/>
      </rPr>
      <t>運用智慧，循正道而行，尋求共事的朋友或同事協助。</t>
    </r>
  </si>
  <si>
    <r>
      <t>人際關係：</t>
    </r>
    <r>
      <rPr>
        <sz val="11"/>
        <color rgb="FF404040"/>
        <rFont val="Arial"/>
        <family val="2"/>
      </rPr>
      <t>發揮你照顧人的特質，用智慧與公平正義態度與人相處，尋求共識。</t>
    </r>
  </si>
  <si>
    <r>
      <t>與上司相處：</t>
    </r>
    <r>
      <rPr>
        <sz val="11"/>
        <color rgb="FF404040"/>
        <rFont val="Arial"/>
        <family val="2"/>
      </rPr>
      <t>謹守分寸，站在主管旁邊，做好主管上司的左右手吧。</t>
    </r>
  </si>
  <si>
    <r>
      <t>發展性：</t>
    </r>
    <r>
      <rPr>
        <sz val="11"/>
        <color rgb="FF404040"/>
        <rFont val="Arial"/>
        <family val="2"/>
      </rPr>
      <t>好，能找到興趣相符的工作，自然發展可以預期會比較好。</t>
    </r>
  </si>
  <si>
    <r>
      <t>換工作：</t>
    </r>
    <r>
      <rPr>
        <sz val="11"/>
        <color rgb="FF404040"/>
        <rFont val="Arial"/>
        <family val="2"/>
      </rPr>
      <t>可找到較適合的工作，適合轉職，可以從事公職！</t>
    </r>
  </si>
  <si>
    <t>本周愛情：</t>
  </si>
  <si>
    <t>個性速配的一對，以女方為重心，事事自然如意，男人要多照顧女人喔。</t>
  </si>
  <si>
    <r>
      <t>新戀情可能性：</t>
    </r>
    <r>
      <rPr>
        <sz val="11"/>
        <color rgb="FF404040"/>
        <rFont val="Arial"/>
        <family val="2"/>
      </rPr>
      <t>會有較適合的對象出現，以結婚為前提用心交往吧。</t>
    </r>
  </si>
  <si>
    <r>
      <t>性的吸引力：</t>
    </r>
    <r>
      <rPr>
        <sz val="11"/>
        <color rgb="FF404040"/>
        <rFont val="Arial"/>
        <family val="2"/>
      </rPr>
      <t>很強的性吸引力，互相適合的兩個人，能有恩愛夫妻般的表現。</t>
    </r>
  </si>
  <si>
    <r>
      <t>如何化解爭執：</t>
    </r>
    <r>
      <rPr>
        <sz val="11"/>
        <color rgb="FF404040"/>
        <rFont val="Arial"/>
        <family val="2"/>
      </rPr>
      <t>凡事講求公平是對的，只是愛情本來就很難公平，用智慧好好溝通吧。</t>
    </r>
  </si>
  <si>
    <r>
      <t>復合可能性：</t>
    </r>
    <r>
      <rPr>
        <sz val="11"/>
        <color rgb="FF404040"/>
        <rFont val="Arial"/>
        <family val="2"/>
      </rPr>
      <t>有復合可能性，或許當初只是小誤會，會不會復合端看女方的想法了。</t>
    </r>
  </si>
  <si>
    <t>本周學業：</t>
  </si>
  <si>
    <t>學而優則仕，你是一個聰明的人，考試學業都有好成績。</t>
  </si>
  <si>
    <r>
      <t>學習方法：</t>
    </r>
    <r>
      <rPr>
        <sz val="11"/>
        <color rgb="FF404040"/>
        <rFont val="Arial"/>
        <family val="2"/>
      </rPr>
      <t>學問就只能不斷用心才能累積出來，要唸到自己適合的科目自然會如魚得水。</t>
    </r>
  </si>
  <si>
    <r>
      <t>考試狀況：</t>
    </r>
    <r>
      <rPr>
        <sz val="11"/>
        <color rgb="FF404040"/>
        <rFont val="Arial"/>
        <family val="2"/>
      </rPr>
      <t>考試結果很不錯，有本事唸書，考運也佳喔！不容易出現意外失常狀況。</t>
    </r>
  </si>
  <si>
    <r>
      <t>與老師相處關係：</t>
    </r>
    <r>
      <rPr>
        <sz val="11"/>
        <color rgb="FF404040"/>
        <rFont val="Arial"/>
        <family val="2"/>
      </rPr>
      <t>做適宜的談話，在老師有需要的時候，提供你的協助。</t>
    </r>
  </si>
  <si>
    <r>
      <t>與同學相處關係：</t>
    </r>
    <r>
      <rPr>
        <sz val="11"/>
        <color rgb="FF404040"/>
        <rFont val="Arial"/>
        <family val="2"/>
      </rPr>
      <t>待人講求公平正義自然容易得人和，能夠照顧他人者更好。</t>
    </r>
  </si>
  <si>
    <t>本周財運：</t>
  </si>
  <si>
    <t>佳，做適宜理財規劃，行正道，財運自然豐足。</t>
  </si>
  <si>
    <r>
      <t>投資狀況：</t>
    </r>
    <r>
      <rPr>
        <sz val="11"/>
        <color rgb="FF404040"/>
        <rFont val="Arial"/>
        <family val="2"/>
      </rPr>
      <t>良好，注重公平性，穩定中成長，有賺要存起來。</t>
    </r>
  </si>
  <si>
    <r>
      <t>投資標的：</t>
    </r>
    <r>
      <rPr>
        <sz val="11"/>
        <color rgb="FF404040"/>
        <rFont val="Arial"/>
        <family val="2"/>
      </rPr>
      <t>可投資保全等相關產業，不適宜投機事業。</t>
    </r>
  </si>
  <si>
    <r>
      <t>樂透指數：</t>
    </r>
    <r>
      <rPr>
        <sz val="11"/>
        <color rgb="FF404040"/>
        <rFont val="Arial"/>
        <family val="2"/>
      </rPr>
      <t>正財永遠比偏財多，不過還是可以小試一下手氣囉！</t>
    </r>
  </si>
  <si>
    <r>
      <t>本周整體：</t>
    </r>
    <r>
      <rPr>
        <b/>
        <sz val="11"/>
        <color rgb="FF800080"/>
        <rFont val="Arial"/>
        <family val="2"/>
      </rPr>
      <t>★★★★☆  當自己的主人，率先出擊</t>
    </r>
  </si>
  <si>
    <t>狀況很好，如有神助，保持與主管良好關係，要有清楚目標，自然容易達成績效。</t>
  </si>
  <si>
    <r>
      <t>如何解決困境：</t>
    </r>
    <r>
      <rPr>
        <sz val="11"/>
        <color rgb="FF404040"/>
        <rFont val="Arial"/>
        <family val="2"/>
      </rPr>
      <t>靜思找出頭緒，尋求主管或工作上的前輩，老鳥協助或請教經驗。</t>
    </r>
  </si>
  <si>
    <r>
      <t>人際關係：</t>
    </r>
    <r>
      <rPr>
        <sz val="11"/>
        <color rgb="FF404040"/>
        <rFont val="Arial"/>
        <family val="2"/>
      </rPr>
      <t>優勢領導力，以身作則，親切待人，自能服人，與他人產生良好互動。</t>
    </r>
  </si>
  <si>
    <r>
      <t>與上司相處：</t>
    </r>
    <r>
      <rPr>
        <sz val="11"/>
        <color rgb="FF404040"/>
        <rFont val="Arial"/>
        <family val="2"/>
      </rPr>
      <t>雖然你很有自己想法，但是寄人籬下，對於上司就只能服從了。</t>
    </r>
  </si>
  <si>
    <r>
      <t>發展性：</t>
    </r>
    <r>
      <rPr>
        <sz val="11"/>
        <color rgb="FF404040"/>
        <rFont val="Arial"/>
        <family val="2"/>
      </rPr>
      <t>雖然有困難，但可觀察上司做事態度與狀況，當他為標竿，朝目標前進。</t>
    </r>
  </si>
  <si>
    <r>
      <t>換工作：</t>
    </r>
    <r>
      <rPr>
        <sz val="11"/>
        <color rgb="FF404040"/>
        <rFont val="Arial"/>
        <family val="2"/>
      </rPr>
      <t>佳，自己很有主見，或可開創自己的事業喔！</t>
    </r>
  </si>
  <si>
    <t>對方條件好，交往狀況不錯，但是情敵多些，個性不要太強勢，感情會更好。</t>
  </si>
  <si>
    <r>
      <t>新戀情可能性：</t>
    </r>
    <r>
      <rPr>
        <sz val="11"/>
        <color rgb="FF404040"/>
        <rFont val="Arial"/>
        <family val="2"/>
      </rPr>
      <t>可以期待有新戀情發生，或是感情要邁入下一個更親密的階段。</t>
    </r>
  </si>
  <si>
    <r>
      <t>性的吸引力：</t>
    </r>
    <r>
      <rPr>
        <sz val="11"/>
        <color rgb="FF404040"/>
        <rFont val="Arial"/>
        <family val="2"/>
      </rPr>
      <t>兩個人有很強的性吸引力，男的帥、女的美，當然容易一發不可收拾，外貌會影響性能力高低。</t>
    </r>
  </si>
  <si>
    <r>
      <t>如何化解爭執：</t>
    </r>
    <r>
      <rPr>
        <sz val="11"/>
        <color rgb="FF404040"/>
        <rFont val="Arial"/>
        <family val="2"/>
      </rPr>
      <t>學習當小女人或小男人，多包容，並主動率先道歉，給彼此的感情一個清楚的目標。</t>
    </r>
  </si>
  <si>
    <r>
      <t>復合可能性：</t>
    </r>
    <r>
      <rPr>
        <sz val="11"/>
        <color rgb="FF404040"/>
        <rFont val="Arial"/>
        <family val="2"/>
      </rPr>
      <t>有復合的可能，就看你怎麼運籌帷幄，坐陣指揮出擊了，主導權在男人身上。</t>
    </r>
  </si>
  <si>
    <t>狀況良好，指導教授與老師是你必須尊重服從的對象，多打好關係一定沒錯。</t>
  </si>
  <si>
    <r>
      <t>學習方法：</t>
    </r>
    <r>
      <rPr>
        <sz val="11"/>
        <color rgb="FF404040"/>
        <rFont val="Arial"/>
        <family val="2"/>
      </rPr>
      <t>建立讀書計畫，按表操課準沒錯，自然要用心朝目標前進。</t>
    </r>
  </si>
  <si>
    <r>
      <t>考試狀況：</t>
    </r>
    <r>
      <rPr>
        <sz val="11"/>
        <color rgb="FF404040"/>
        <rFont val="Arial"/>
        <family val="2"/>
      </rPr>
      <t>如有神助，記得去廟裡拜拜，絕對有幫助喔！</t>
    </r>
  </si>
  <si>
    <r>
      <t>與老師相處關係：</t>
    </r>
    <r>
      <rPr>
        <sz val="11"/>
        <color rgb="FF404040"/>
        <rFont val="Arial"/>
        <family val="2"/>
      </rPr>
      <t>尊重老師，服從老師，以免觸犯老師禁忌，得不償失。</t>
    </r>
  </si>
  <si>
    <r>
      <t>與同學相處關係：</t>
    </r>
    <r>
      <rPr>
        <sz val="11"/>
        <color rgb="FF404040"/>
        <rFont val="Arial"/>
        <family val="2"/>
      </rPr>
      <t>你有領導能力，自然容易突出，但人怕出名是非多，採取低調，待人和善就很重要了。</t>
    </r>
  </si>
  <si>
    <t>財運好，事業剛起步，需做理財規劃，可請教專家意見，財運穩定的發展中。</t>
  </si>
  <si>
    <r>
      <t>投資狀況：</t>
    </r>
    <r>
      <rPr>
        <sz val="11"/>
        <color rgb="FF404040"/>
        <rFont val="Arial"/>
        <family val="2"/>
      </rPr>
      <t>良好，跟著主業走或參考老闆投資理財內容，跟著做準沒錯。</t>
    </r>
  </si>
  <si>
    <r>
      <t>投資標的：</t>
    </r>
    <r>
      <rPr>
        <sz val="11"/>
        <color rgb="FF404040"/>
        <rFont val="Arial"/>
        <family val="2"/>
      </rPr>
      <t>努力在本業上工作，可投資目前公司或是自己的學習上面。</t>
    </r>
  </si>
  <si>
    <r>
      <t>樂透指數：</t>
    </r>
    <r>
      <rPr>
        <sz val="11"/>
        <color rgb="FF404040"/>
        <rFont val="Arial"/>
        <family val="2"/>
      </rPr>
      <t>平時多做善事，自然會有好運來臨！樂不樂透一切只能看老天決定了！</t>
    </r>
  </si>
  <si>
    <r>
      <t>整體運勢：</t>
    </r>
    <r>
      <rPr>
        <sz val="11"/>
        <color rgb="FF800080"/>
        <rFont val="Arial"/>
        <family val="2"/>
      </rPr>
      <t>★★★★☆  心想事成，三思而行準沒錯。</t>
    </r>
  </si>
  <si>
    <t>心想事成的一周，有堅定的信念自然順利，相信就是力量喔。</t>
  </si>
  <si>
    <r>
      <t>如何解決困境：</t>
    </r>
    <r>
      <rPr>
        <sz val="11"/>
        <color rgb="FF404040"/>
        <rFont val="Arial"/>
        <family val="2"/>
      </rPr>
      <t>深思熟慮，找出問題癥結，辦法是人想出來的，說清楚講明白囉！</t>
    </r>
  </si>
  <si>
    <r>
      <t>人際關係：</t>
    </r>
    <r>
      <rPr>
        <sz val="11"/>
        <color rgb="FF404040"/>
        <rFont val="Arial"/>
        <family val="2"/>
      </rPr>
      <t>觀察他人狀況，以同理心相處，好好把話說請楚。</t>
    </r>
  </si>
  <si>
    <r>
      <t>與上司相處：</t>
    </r>
    <r>
      <rPr>
        <sz val="11"/>
        <color rgb="FF404040"/>
        <rFont val="Arial"/>
        <family val="2"/>
      </rPr>
      <t>好的現象，遇事情要多溝通，讓上司明白你的想法。</t>
    </r>
  </si>
  <si>
    <r>
      <t>發展性：</t>
    </r>
    <r>
      <rPr>
        <sz val="11"/>
        <color rgb="FF404040"/>
        <rFont val="Arial"/>
        <family val="2"/>
      </rPr>
      <t>好現象，要有足夠的自信心，相信就能創造良好的未來遠景。</t>
    </r>
  </si>
  <si>
    <r>
      <t>換工作：</t>
    </r>
    <r>
      <rPr>
        <sz val="11"/>
        <color rgb="FF404040"/>
        <rFont val="Arial"/>
        <family val="2"/>
      </rPr>
      <t>仔細觀察機會，三思而後行，會有好的機會轉職！</t>
    </r>
  </si>
  <si>
    <t>多多溝通，相信對方，當與對方想法一致，自然每件事都可以相談甚歡。</t>
  </si>
  <si>
    <r>
      <t>新戀情可能性：</t>
    </r>
    <r>
      <rPr>
        <sz val="11"/>
        <color rgb="FF404040"/>
        <rFont val="Arial"/>
        <family val="2"/>
      </rPr>
      <t>心想事成，新戀情的機會很高，要仔細觀察好對象</t>
    </r>
  </si>
  <si>
    <r>
      <t>性的吸引力：</t>
    </r>
    <r>
      <rPr>
        <sz val="11"/>
        <color rgb="FF404040"/>
        <rFont val="Arial"/>
        <family val="2"/>
      </rPr>
      <t>兩個人有很強的性吸引力，自然而然跟對方配合的很好，</t>
    </r>
  </si>
  <si>
    <r>
      <t>如何化解爭執：</t>
    </r>
    <r>
      <rPr>
        <sz val="11"/>
        <color rgb="FF404040"/>
        <rFont val="Arial"/>
        <family val="2"/>
      </rPr>
      <t>小爭執，其實只要談開來就好，都是可以溝通的。</t>
    </r>
  </si>
  <si>
    <r>
      <t>復合可能性：</t>
    </r>
    <r>
      <rPr>
        <sz val="11"/>
        <color rgb="FF404040"/>
        <rFont val="Arial"/>
        <family val="2"/>
      </rPr>
      <t>心底都還有對方的影子，復合有機會，把自己的心意讓對方明白吧。</t>
    </r>
  </si>
  <si>
    <t>我思故我在，一切就掌握在你對學業的看法了！</t>
  </si>
  <si>
    <r>
      <t>學習方法：</t>
    </r>
    <r>
      <rPr>
        <sz val="11"/>
        <color rgb="FF404040"/>
        <rFont val="Arial"/>
        <family val="2"/>
      </rPr>
      <t>順著自己的想法做好規劃，遇到問題要好好思考一番，再做決定。</t>
    </r>
  </si>
  <si>
    <r>
      <t>考試狀況：</t>
    </r>
    <r>
      <rPr>
        <sz val="11"/>
        <color rgb="FF404040"/>
        <rFont val="Arial"/>
        <family val="2"/>
      </rPr>
      <t>考試結果很不錯，深思熟慮自然容易有好成績，放輕鬆應對。</t>
    </r>
  </si>
  <si>
    <r>
      <t>與老師相處關係：</t>
    </r>
    <r>
      <rPr>
        <sz val="11"/>
        <color rgb="FF404040"/>
        <rFont val="Arial"/>
        <family val="2"/>
      </rPr>
      <t>觀念跟老師都能溝通，如果有任何想法都可以提出來討論。</t>
    </r>
  </si>
  <si>
    <r>
      <t>與同學相處關係：</t>
    </r>
    <r>
      <rPr>
        <sz val="11"/>
        <color rgb="FF404040"/>
        <rFont val="Arial"/>
        <family val="2"/>
      </rPr>
      <t>你沒有心機自然容易得到朋友貴人的幫忙，無防人之心，要懂得拒絕他人不當的請求。</t>
    </r>
  </si>
  <si>
    <t>佳，不要隨便借他人錢，以免有去無回，投資策略需三思而後行，才是正確的喔!</t>
  </si>
  <si>
    <r>
      <t>投資狀況：</t>
    </r>
    <r>
      <rPr>
        <sz val="11"/>
        <color rgb="FF404040"/>
        <rFont val="Arial"/>
        <family val="2"/>
      </rPr>
      <t>良好，觀察過後出手，都能有不錯收穫，謹記財不露白，防人之心不可無。</t>
    </r>
  </si>
  <si>
    <r>
      <t>投資標的：</t>
    </r>
    <r>
      <rPr>
        <sz val="11"/>
        <color rgb="FF404040"/>
        <rFont val="Arial"/>
        <family val="2"/>
      </rPr>
      <t>可投資讓人美麗等相關行業、衣服、保養品等。</t>
    </r>
  </si>
  <si>
    <r>
      <t>樂透指數：</t>
    </r>
    <r>
      <rPr>
        <sz val="11"/>
        <color rgb="FF404040"/>
        <rFont val="Arial"/>
        <family val="2"/>
      </rPr>
      <t>心想事成的一個月，或許可放手一博喔！</t>
    </r>
  </si>
  <si>
    <t>本周整體：★★★☆☆  一勤天下無難事，累積人脈，諸事努力就對了。</t>
  </si>
  <si>
    <t>工作狀況好，時機還不錯，多努力打拼，容易得到他人賞識，累積好的工作成果。</t>
  </si>
  <si>
    <r>
      <t>如何解決困境：</t>
    </r>
    <r>
      <rPr>
        <sz val="11"/>
        <color rgb="FF404040"/>
        <rFont val="Arial"/>
        <family val="2"/>
      </rPr>
      <t>萬丈高樓平地起，勤勞認真發揮行動力一步步解決困難。</t>
    </r>
  </si>
  <si>
    <r>
      <t>人際關係：</t>
    </r>
    <r>
      <rPr>
        <sz val="11"/>
        <color rgb="FF404040"/>
        <rFont val="Arial"/>
        <family val="2"/>
      </rPr>
      <t>人緣佳，主動付出關懷，與人互動良好。</t>
    </r>
  </si>
  <si>
    <r>
      <t>與上司相處：</t>
    </r>
    <r>
      <rPr>
        <sz val="11"/>
        <color rgb="FF404040"/>
        <rFont val="Arial"/>
        <family val="2"/>
      </rPr>
      <t>要把工作績效與成果表現給主管知道，做事要讓人看的見。</t>
    </r>
  </si>
  <si>
    <r>
      <t>發展性：</t>
    </r>
    <r>
      <rPr>
        <sz val="11"/>
        <color rgb="FF404040"/>
        <rFont val="Arial"/>
        <family val="2"/>
      </rPr>
      <t>工作開心，又能夠自在努力付出，自然發展好。</t>
    </r>
  </si>
  <si>
    <r>
      <t>換工作：</t>
    </r>
    <r>
      <rPr>
        <sz val="11"/>
        <color rgb="FF404040"/>
        <rFont val="Arial"/>
        <family val="2"/>
      </rPr>
      <t>有機會換工作，若有興趣，可考慮嘗試業務性質工作！</t>
    </r>
  </si>
  <si>
    <t>好的緣分要多珍惜，努力追求愛情，主動積極創造自己的好緣份。</t>
  </si>
  <si>
    <r>
      <t>新戀情可能性：</t>
    </r>
    <r>
      <rPr>
        <sz val="11"/>
        <color rgb="FF404040"/>
        <rFont val="Arial"/>
        <family val="2"/>
      </rPr>
      <t>有新戀情的機會，主動去與異性交往，進行社交活動，掌握制勝先機囉。</t>
    </r>
  </si>
  <si>
    <r>
      <t>性的吸引力：</t>
    </r>
    <r>
      <rPr>
        <sz val="11"/>
        <color rgb="FF404040"/>
        <rFont val="Arial"/>
        <family val="2"/>
      </rPr>
      <t>性吸引力還不錯，順其自然，該積極表現時要展現主動性。</t>
    </r>
  </si>
  <si>
    <r>
      <t>如何化解爭執：</t>
    </r>
    <r>
      <rPr>
        <sz val="11"/>
        <color rgb="FF404040"/>
        <rFont val="Arial"/>
        <family val="2"/>
      </rPr>
      <t>一勤天下無難事，找出問題，以你強大的行動力去克服問題吧。</t>
    </r>
  </si>
  <si>
    <r>
      <t>復合可能性：</t>
    </r>
    <r>
      <rPr>
        <sz val="11"/>
        <color rgb="FF404040"/>
        <rFont val="Arial"/>
        <family val="2"/>
      </rPr>
      <t>有復合可能，展現你的誠意，主動付出關心，兩個人緣分畢竟頗深。</t>
    </r>
  </si>
  <si>
    <t>只要守住努力認真的根本，紮實有效率的讀書，學業考試都能有好的表現。</t>
  </si>
  <si>
    <r>
      <t>學習方法：</t>
    </r>
    <r>
      <rPr>
        <sz val="11"/>
        <color rgb="FF404040"/>
        <rFont val="Arial"/>
        <family val="2"/>
      </rPr>
      <t>有積極的心很好，但也要注意列出讀書計畫，而不只是死讀書。</t>
    </r>
  </si>
  <si>
    <r>
      <t>考試狀況：</t>
    </r>
    <r>
      <rPr>
        <sz val="11"/>
        <color rgb="FF404040"/>
        <rFont val="Arial"/>
        <family val="2"/>
      </rPr>
      <t>有努力所以表現還不至於太差，還是要堅持多努力一下囉。</t>
    </r>
  </si>
  <si>
    <r>
      <t>與老師相處關係：</t>
    </r>
    <r>
      <rPr>
        <sz val="11"/>
        <color rgb="FF404040"/>
        <rFont val="Arial"/>
        <family val="2"/>
      </rPr>
      <t>用自然不做作的方式，師生之間的緣分還不錯。</t>
    </r>
  </si>
  <si>
    <r>
      <t>與同學相處關係：</t>
    </r>
    <r>
      <rPr>
        <sz val="11"/>
        <color rgb="FF404040"/>
        <rFont val="Arial"/>
        <family val="2"/>
      </rPr>
      <t>遇事多積極主動，可以交到不錯同學，一起討論功課。</t>
    </r>
  </si>
  <si>
    <t>尚可，一切都是自己的努力付出而得來的，能從本業上的持續努力來逐漸累積財富。</t>
  </si>
  <si>
    <r>
      <t>投資狀況：</t>
    </r>
    <r>
      <rPr>
        <sz val="11"/>
        <color rgb="FF404040"/>
        <rFont val="Arial"/>
        <family val="2"/>
      </rPr>
      <t>有好投資機會，要懂得把握時機，可投資自己專業專精部份。</t>
    </r>
  </si>
  <si>
    <r>
      <t>投資標的：</t>
    </r>
    <r>
      <rPr>
        <sz val="11"/>
        <color rgb="FF404040"/>
        <rFont val="Arial"/>
        <family val="2"/>
      </rPr>
      <t>可從事股票或房地產投資，要慎選自己熟悉的產業。</t>
    </r>
  </si>
  <si>
    <r>
      <t>樂透指數：</t>
    </r>
    <r>
      <rPr>
        <sz val="11"/>
        <color rgb="FF404040"/>
        <rFont val="Arial"/>
        <family val="2"/>
      </rPr>
      <t>對於靠機率的運氣還算不錯，所以也許有機會樂透喔！</t>
    </r>
  </si>
  <si>
    <t>本周整體：★★★☆☆  能量飽滿，用理智戰勝一切。</t>
  </si>
  <si>
    <t>馬力十足，有充足的戰鬥力完成工作上的任務，在打拼經濟上面頗有收穫。</t>
  </si>
  <si>
    <r>
      <t>如何解決困境：</t>
    </r>
    <r>
      <rPr>
        <sz val="11"/>
        <color rgb="FF404040"/>
        <rFont val="Arial"/>
        <family val="2"/>
      </rPr>
      <t>方法是人想出來的，讓自己聚足好能量，不畏懼去面對問題。</t>
    </r>
  </si>
  <si>
    <r>
      <t>人際關係：</t>
    </r>
    <r>
      <rPr>
        <sz val="11"/>
        <color rgb="FF404040"/>
        <rFont val="Arial"/>
        <family val="2"/>
      </rPr>
      <t>有好康的記得要跟朋友一起分享，請客同歡是不錯的選擇喔。</t>
    </r>
  </si>
  <si>
    <r>
      <t>與上司相處：</t>
    </r>
    <r>
      <rPr>
        <sz val="11"/>
        <color rgb="FF404040"/>
        <rFont val="Arial"/>
        <family val="2"/>
      </rPr>
      <t>能力強更要保持低調，以免招上司妒忌。</t>
    </r>
  </si>
  <si>
    <r>
      <t>發展性：</t>
    </r>
    <r>
      <rPr>
        <sz val="11"/>
        <color rgb="FF404040"/>
        <rFont val="Arial"/>
        <family val="2"/>
      </rPr>
      <t>找對方法的去完成工作，工作收入良好，可以持續有利的發展。</t>
    </r>
  </si>
  <si>
    <r>
      <t>換工作：</t>
    </r>
    <r>
      <rPr>
        <sz val="11"/>
        <color rgb="FF404040"/>
        <rFont val="Arial"/>
        <family val="2"/>
      </rPr>
      <t>可找到收入較好的工作，自己也會有十足的動能！</t>
    </r>
  </si>
  <si>
    <t>現在應該把重心放在工作上面，因為當經濟狀況更穩定時，感情也會比較好喔。</t>
  </si>
  <si>
    <r>
      <t>新戀情可能性：</t>
    </r>
    <r>
      <rPr>
        <sz val="11"/>
        <color rgb="FF404040"/>
        <rFont val="Arial"/>
        <family val="2"/>
      </rPr>
      <t>專心在工作打拼經濟吧！新戀情可遇而不可求。</t>
    </r>
  </si>
  <si>
    <r>
      <t>性的吸引力：</t>
    </r>
    <r>
      <rPr>
        <sz val="11"/>
        <color rgb="FF404040"/>
        <rFont val="Arial"/>
        <family val="2"/>
      </rPr>
      <t>性吸引力還好，需要有情趣的互動，性能力才能被激發。</t>
    </r>
  </si>
  <si>
    <r>
      <t>如何化解爭執：</t>
    </r>
    <r>
      <rPr>
        <sz val="11"/>
        <color rgb="FF404040"/>
        <rFont val="Arial"/>
        <family val="2"/>
      </rPr>
      <t>出去吃ㄧ頓美食的或是精心安排個約會，送送禮物都會有幫助喔。</t>
    </r>
  </si>
  <si>
    <r>
      <t>復合可能性：</t>
    </r>
    <r>
      <rPr>
        <sz val="11"/>
        <color rgb="FF404040"/>
        <rFont val="Arial"/>
        <family val="2"/>
      </rPr>
      <t>有復合可能性，送個花，約對方出來吃個飯，好好聊聊吧。</t>
    </r>
  </si>
  <si>
    <t>讀書的能量不錯，按步就班務實的讀書就能得到最大收穫囉！</t>
  </si>
  <si>
    <r>
      <t>學習方法：</t>
    </r>
    <r>
      <rPr>
        <sz val="11"/>
        <color rgb="FF404040"/>
        <rFont val="Arial"/>
        <family val="2"/>
      </rPr>
      <t>現在的學習必須要有清楚的方法規劃與進度安排，才不會耗費唸書的能量。</t>
    </r>
  </si>
  <si>
    <r>
      <t>考試狀況：</t>
    </r>
    <r>
      <rPr>
        <sz val="11"/>
        <color rgb="FF404040"/>
        <rFont val="Arial"/>
        <family val="2"/>
      </rPr>
      <t>狀況還好，務實的唸書，雖然運氣還不錯，還是不可以大意。</t>
    </r>
  </si>
  <si>
    <r>
      <t>與老師相處關係：</t>
    </r>
    <r>
      <rPr>
        <sz val="11"/>
        <color rgb="FF404040"/>
        <rFont val="Arial"/>
        <family val="2"/>
      </rPr>
      <t>老師的想法比較實際，所以還是乖乖的，不要太放肆了。</t>
    </r>
  </si>
  <si>
    <r>
      <t>與同學相處關係：</t>
    </r>
    <r>
      <rPr>
        <sz val="11"/>
        <color rgb="FF404040"/>
        <rFont val="Arial"/>
        <family val="2"/>
      </rPr>
      <t>有錢的話記得要請客，好康的跟同學一起分享準沒錯。</t>
    </r>
  </si>
  <si>
    <t>很好，鴻運當頭，財運享樂的一周，多做佈施更可以累積福報喔！</t>
  </si>
  <si>
    <r>
      <t>投資狀況：</t>
    </r>
    <r>
      <rPr>
        <sz val="11"/>
        <color rgb="FF404040"/>
        <rFont val="Arial"/>
        <family val="2"/>
      </rPr>
      <t>本身財運已很好，任何投資應該都有獲利，前面的努力能有收成。</t>
    </r>
  </si>
  <si>
    <r>
      <t>投資標的：</t>
    </r>
    <r>
      <rPr>
        <sz val="11"/>
        <color rgb="FF404040"/>
        <rFont val="Arial"/>
        <family val="2"/>
      </rPr>
      <t>金融相關概念股都是可以參考的投資項目。</t>
    </r>
  </si>
  <si>
    <r>
      <t>樂透指數：</t>
    </r>
    <r>
      <rPr>
        <sz val="11"/>
        <color rgb="FF404040"/>
        <rFont val="Arial"/>
        <family val="2"/>
      </rPr>
      <t>剛好是財富能量俱足的時候，整個月就已經在樂透了阿！</t>
    </r>
  </si>
  <si>
    <t>本周整體：★★☆☆☆  目前是改變的時刻，唯有順應時勢轉變才是成功法則。</t>
  </si>
  <si>
    <t>工作遇到須要改變的狀況，這個時間點有任何改變都是好的，當然也要有持續的熱情喔。</t>
  </si>
  <si>
    <r>
      <t>如何解決困境：</t>
    </r>
    <r>
      <rPr>
        <sz val="11"/>
        <color rgb="FF404040"/>
        <rFont val="Arial"/>
        <family val="2"/>
      </rPr>
      <t>重新燃起自己的工作熱情吧，如果還是沒辦法或許要考慮轉職。</t>
    </r>
  </si>
  <si>
    <r>
      <t>人際關係：</t>
    </r>
    <r>
      <rPr>
        <sz val="11"/>
        <color rgb="FF404040"/>
        <rFont val="Arial"/>
        <family val="2"/>
      </rPr>
      <t>學習控制自己的脾氣，以免過於衝動而傷害彼此友誼。</t>
    </r>
  </si>
  <si>
    <r>
      <t>與上司相處：</t>
    </r>
    <r>
      <rPr>
        <sz val="11"/>
        <color rgb="FF404040"/>
        <rFont val="Arial"/>
        <family val="2"/>
      </rPr>
      <t>學習冷靜，改變自己的脾氣，上司終究是要遵從的。</t>
    </r>
  </si>
  <si>
    <r>
      <t>發展性：</t>
    </r>
    <r>
      <rPr>
        <sz val="11"/>
        <color rgb="FF404040"/>
        <rFont val="Arial"/>
        <family val="2"/>
      </rPr>
      <t>環境適應力強，有不同以往的作為更為有利，有變動都是好的。</t>
    </r>
  </si>
  <si>
    <r>
      <t>換工作：</t>
    </r>
    <r>
      <rPr>
        <sz val="11"/>
        <color rgb="FF404040"/>
        <rFont val="Arial"/>
        <family val="2"/>
      </rPr>
      <t>現在的確可以換工作了，不換很難有熱情繼續堅持下去了！</t>
    </r>
  </si>
  <si>
    <t>散發你天生的熱情與活力吧！自然容易吸引他人關注，愛情熱力十足喔！　</t>
  </si>
  <si>
    <r>
      <t>新戀情可能性：</t>
    </r>
    <r>
      <rPr>
        <sz val="11"/>
        <color rgb="FF404040"/>
        <rFont val="Arial"/>
        <family val="2"/>
      </rPr>
      <t>舊的不去，新的不來，可以有新的戀情機會。</t>
    </r>
  </si>
  <si>
    <r>
      <t>性的吸引力：</t>
    </r>
    <r>
      <rPr>
        <sz val="11"/>
        <color rgb="FF404040"/>
        <rFont val="Arial"/>
        <family val="2"/>
      </rPr>
      <t>性吸引力很強，你不容易克制自己的慾望，有新的刺激都能激發你的性能力。</t>
    </r>
  </si>
  <si>
    <r>
      <t>如何化解爭執：</t>
    </r>
    <r>
      <rPr>
        <sz val="11"/>
        <color rgb="FF404040"/>
        <rFont val="Arial"/>
        <family val="2"/>
      </rPr>
      <t>首先要學習冷靜，然後誠心的跟對方道歉，衝動的爭執之後其實最後悔的都是自己。</t>
    </r>
  </si>
  <si>
    <r>
      <t>復合可能性：</t>
    </r>
    <r>
      <rPr>
        <sz val="11"/>
        <color rgb="FF404040"/>
        <rFont val="Arial"/>
        <family val="2"/>
      </rPr>
      <t>不太容易，大家的心態都有些改變了，或許要讓自己先冷靜一下。</t>
    </r>
  </si>
  <si>
    <t>平常準備不佳，緊急時候只能祈禱臨時抱佛腳也有效果了。</t>
  </si>
  <si>
    <r>
      <t>學習方法：</t>
    </r>
    <r>
      <rPr>
        <sz val="11"/>
        <color rgb="FF404040"/>
        <rFont val="Arial"/>
        <family val="2"/>
      </rPr>
      <t>先快速的把重點全部瀏覽過，再求記憶，多參考考古題庫來閱讀。</t>
    </r>
  </si>
  <si>
    <r>
      <t>考試狀況：</t>
    </r>
    <r>
      <rPr>
        <sz val="11"/>
        <color rgb="FF404040"/>
        <rFont val="Arial"/>
        <family val="2"/>
      </rPr>
      <t>要嘛就低空飛過，不然就高分落榜，處在危機邊緣。</t>
    </r>
  </si>
  <si>
    <r>
      <t>與老師相處關係：</t>
    </r>
    <r>
      <rPr>
        <sz val="11"/>
        <color rgb="FF404040"/>
        <rFont val="Arial"/>
        <family val="2"/>
      </rPr>
      <t>維持熱情的關係，但是不能踰越分寸，尊師重道不可忘。</t>
    </r>
  </si>
  <si>
    <r>
      <t>與同學相處關係：</t>
    </r>
    <r>
      <rPr>
        <sz val="11"/>
        <color rgb="FF404040"/>
        <rFont val="Arial"/>
        <family val="2"/>
      </rPr>
      <t>以熱情的態度跟大家相處，可以打成一片，凡事不要衝動。</t>
    </r>
  </si>
  <si>
    <t>尚可，要小心守住財產，否則容易一眨眼就衝動消費花掉錢了，尤其要克制買名牌的慾望。</t>
  </si>
  <si>
    <r>
      <t>投資狀況：</t>
    </r>
    <r>
      <rPr>
        <sz val="11"/>
        <color rgb="FF404040"/>
        <rFont val="Arial"/>
        <family val="2"/>
      </rPr>
      <t>尚可，錢來的快也容易去的快，要謹慎些。</t>
    </r>
  </si>
  <si>
    <r>
      <t>投資標的：</t>
    </r>
    <r>
      <rPr>
        <sz val="11"/>
        <color rgb="FF404040"/>
        <rFont val="Arial"/>
        <family val="2"/>
      </rPr>
      <t>可投資在清潔產業上面，也適宜炒作短線交易。</t>
    </r>
  </si>
  <si>
    <r>
      <t>樂透指數：</t>
    </r>
    <r>
      <rPr>
        <sz val="11"/>
        <color rgb="FF404040"/>
        <rFont val="Arial"/>
        <family val="2"/>
      </rPr>
      <t>雷聲大雨點小，很多事情變化太快，還是腳踏實地好囉！</t>
    </r>
  </si>
  <si>
    <t>本周整體：★☆☆☆☆  用陰柔的能量克服一切的困難障礙吧。</t>
  </si>
  <si>
    <t>整體狀況平平，事在人為，好壞都在自己掌握中，須謹慎小心面對突發狀況。</t>
  </si>
  <si>
    <r>
      <t>如何解決困境：</t>
    </r>
    <r>
      <rPr>
        <sz val="11"/>
        <color rgb="FF404040"/>
        <rFont val="Arial"/>
        <family val="2"/>
      </rPr>
      <t>亦步亦趨，如履薄冰，小心的計畫行事方可解決。。</t>
    </r>
  </si>
  <si>
    <r>
      <t>人際關係：</t>
    </r>
    <r>
      <rPr>
        <sz val="11"/>
        <color rgb="FF404040"/>
        <rFont val="Arial"/>
        <family val="2"/>
      </rPr>
      <t>稍嫌冷漠，必須要站在對方角度思考，以防互動過於冷淡。</t>
    </r>
  </si>
  <si>
    <r>
      <t>與上司相處：</t>
    </r>
    <r>
      <rPr>
        <sz val="11"/>
        <color rgb="FF404040"/>
        <rFont val="Arial"/>
        <family val="2"/>
      </rPr>
      <t>小心關係趨近冰點，要以熱情去應對，設法破冰。</t>
    </r>
  </si>
  <si>
    <r>
      <t>發展性：</t>
    </r>
    <r>
      <rPr>
        <sz val="11"/>
        <color rgb="FF404040"/>
        <rFont val="Arial"/>
        <family val="2"/>
      </rPr>
      <t>平平不論好壞，差不多就是這樣了，或許只能先靜觀其變。</t>
    </r>
  </si>
  <si>
    <r>
      <t>換工作：</t>
    </r>
    <r>
      <rPr>
        <sz val="11"/>
        <color rgb="FF404040"/>
        <rFont val="Arial"/>
        <family val="2"/>
      </rPr>
      <t>看樣子目前換工作不是好時機，現況自己還是要多努力喔！</t>
    </r>
  </si>
  <si>
    <t>關係稍嫌冰冷，也可能有冷戰狀況，總之事在人為，就看你怎麼小心處理關係了</t>
  </si>
  <si>
    <r>
      <t>新戀情可能性：</t>
    </r>
    <r>
      <rPr>
        <sz val="11"/>
        <color rgb="FF404040"/>
        <rFont val="Arial"/>
        <family val="2"/>
      </rPr>
      <t>機率平平，想要新戀情，就多努力請朋友製造機會吧！</t>
    </r>
  </si>
  <si>
    <r>
      <t>性的吸引力：</t>
    </r>
    <r>
      <rPr>
        <sz val="11"/>
        <color rgb="FF404040"/>
        <rFont val="Arial"/>
        <family val="2"/>
      </rPr>
      <t>性吸引力陷入冷淡的狀況，性生活不是很美滿。</t>
    </r>
  </si>
  <si>
    <r>
      <t>如何化解爭執：</t>
    </r>
    <r>
      <rPr>
        <sz val="11"/>
        <color rgb="FF404040"/>
        <rFont val="Arial"/>
        <family val="2"/>
      </rPr>
      <t>如履薄冰，謹慎而行，要有同理心，為對方想。</t>
    </r>
  </si>
  <si>
    <r>
      <t>復合可能性：</t>
    </r>
    <r>
      <rPr>
        <sz val="11"/>
        <color rgb="FF404040"/>
        <rFont val="Arial"/>
        <family val="2"/>
      </rPr>
      <t>不太容易，女方擁有主導權，就看你怎麼與對方互動了。</t>
    </r>
  </si>
  <si>
    <t>運勢平平，不好也不壞，一切就看你自己怎麼作為，小心謹慎就對了。</t>
  </si>
  <si>
    <r>
      <t>學習方法：</t>
    </r>
    <r>
      <rPr>
        <sz val="11"/>
        <color rgb="FF404040"/>
        <rFont val="Arial"/>
        <family val="2"/>
      </rPr>
      <t>每一個細節重點都不能輕忽，多跟朋友請教，冷門內容也要閱讀。</t>
    </r>
  </si>
  <si>
    <r>
      <t>考試狀況：</t>
    </r>
    <r>
      <rPr>
        <sz val="11"/>
        <color rgb="FF404040"/>
        <rFont val="Arial"/>
        <family val="2"/>
      </rPr>
      <t>在危機邊緣，要多努力，該準備的文具准考證要先準備好，不要臨時需要手忙腳亂的。</t>
    </r>
  </si>
  <si>
    <r>
      <t>與老師相處關係：</t>
    </r>
    <r>
      <rPr>
        <sz val="11"/>
        <color rgb="FF404040"/>
        <rFont val="Arial"/>
        <family val="2"/>
      </rPr>
      <t>互動平平，沒有特別親疏關係，君子之交淡如水，兩人淡淡的。</t>
    </r>
  </si>
  <si>
    <r>
      <t>與同學相處關係：</t>
    </r>
    <r>
      <rPr>
        <sz val="11"/>
        <color rgb="FF404040"/>
        <rFont val="Arial"/>
        <family val="2"/>
      </rPr>
      <t>各守本分，各忙其事，缺乏熱情的互動。</t>
    </r>
  </si>
  <si>
    <t>狀況普通，必須靠自己自食其力的奮鬥，方能慢慢創造出自己財富的一片天。</t>
  </si>
  <si>
    <r>
      <t>投資狀況：</t>
    </r>
    <r>
      <rPr>
        <sz val="11"/>
        <color rgb="FF404040"/>
        <rFont val="Arial"/>
        <family val="2"/>
      </rPr>
      <t>如履薄冰，必須要十分謹慎，短期內不適合投資，多觀察先吧！</t>
    </r>
  </si>
  <si>
    <r>
      <t>投資標的：</t>
    </r>
    <r>
      <rPr>
        <sz val="11"/>
        <color rgb="FF404040"/>
        <rFont val="Arial"/>
        <family val="2"/>
      </rPr>
      <t>可投資在人力資源管理標的上。</t>
    </r>
  </si>
  <si>
    <r>
      <t>樂透指數：</t>
    </r>
    <r>
      <rPr>
        <sz val="11"/>
        <color rgb="FF404040"/>
        <rFont val="Arial"/>
        <family val="2"/>
      </rPr>
      <t>都跟妳說要靠自己了，還在想樂透幹嘛！</t>
    </r>
  </si>
  <si>
    <t>   </t>
  </si>
  <si>
    <t>  </t>
  </si>
  <si>
    <t>Picture 11</t>
  </si>
  <si>
    <t>Picture 12</t>
  </si>
  <si>
    <t>Picture 13</t>
  </si>
  <si>
    <t>Picture 14</t>
  </si>
  <si>
    <t>Picture 16</t>
  </si>
  <si>
    <t>Picture 17</t>
  </si>
  <si>
    <t>Picture 18</t>
  </si>
  <si>
    <t>Picture 19</t>
  </si>
  <si>
    <t>Picture 20</t>
  </si>
  <si>
    <t>Picture 21</t>
  </si>
  <si>
    <t>Picture 22</t>
  </si>
  <si>
    <t>Picture 23</t>
  </si>
  <si>
    <t>Picture 24</t>
  </si>
  <si>
    <t>Picture 25</t>
  </si>
  <si>
    <t>本周整體：★★★★☆  堅定的意志是成功根本，堅持到底才會知道鹿死誰手。</t>
  </si>
  <si>
    <t>意志力可戰勝一切，能夠朝目標堅持到底，聽他人意見勿過於固執更佳。</t>
  </si>
  <si>
    <r>
      <t>如何解決困境：</t>
    </r>
    <r>
      <rPr>
        <sz val="11"/>
        <color rgb="FF404040"/>
        <rFont val="Arial"/>
        <family val="2"/>
      </rPr>
      <t>多參考他人意見，不要太堅持自己的看法了。</t>
    </r>
  </si>
  <si>
    <r>
      <t>人際關係：</t>
    </r>
    <r>
      <rPr>
        <sz val="11"/>
        <color rgb="FF404040"/>
        <rFont val="Arial"/>
        <family val="2"/>
      </rPr>
      <t>本身個性過於固執，不夠平易近人。</t>
    </r>
  </si>
  <si>
    <r>
      <t>與上司相處：</t>
    </r>
    <r>
      <rPr>
        <sz val="11"/>
        <color rgb="FF404040"/>
        <rFont val="Arial"/>
        <family val="2"/>
      </rPr>
      <t>要多能體諒上司狀況，畢竟在公司服從還是很重要的。</t>
    </r>
  </si>
  <si>
    <r>
      <t>發展性：</t>
    </r>
    <r>
      <rPr>
        <sz val="11"/>
        <color rgb="FF404040"/>
        <rFont val="Arial"/>
        <family val="2"/>
      </rPr>
      <t>很多事情需要以自己的意志力去完成，甚至開創屬於自己的新局。</t>
    </r>
  </si>
  <si>
    <r>
      <t>換工作：</t>
    </r>
    <r>
      <rPr>
        <sz val="11"/>
        <color rgb="FF404040"/>
        <rFont val="Arial"/>
        <family val="2"/>
      </rPr>
      <t>你已經有想法了，就照自己決定去做吧！要朝目標前進喔！</t>
    </r>
  </si>
  <si>
    <t>自我主觀過強，對愛情控制慾大，喜歡對方以自己為重心！</t>
  </si>
  <si>
    <r>
      <t>新戀情可能性：</t>
    </r>
    <r>
      <rPr>
        <sz val="11"/>
        <color rgb="FF404040"/>
        <rFont val="Arial"/>
        <family val="2"/>
      </rPr>
      <t>一切都在你的信念中，你下定決心就會有機會。</t>
    </r>
  </si>
  <si>
    <r>
      <t>性的吸引力：</t>
    </r>
    <r>
      <rPr>
        <sz val="11"/>
        <color rgb="FF404040"/>
        <rFont val="Arial"/>
        <family val="2"/>
      </rPr>
      <t>兩人有很強的性吸引力，你的身材體魄是對方所喜歡的。</t>
    </r>
  </si>
  <si>
    <r>
      <t>如何化解爭執：</t>
    </r>
    <r>
      <rPr>
        <sz val="11"/>
        <color rgb="FF404040"/>
        <rFont val="Arial"/>
        <family val="2"/>
      </rPr>
      <t>沒有解決不了的事情，意志力堅定都可以想到辦法。</t>
    </r>
  </si>
  <si>
    <r>
      <t>復合可能性：</t>
    </r>
    <r>
      <rPr>
        <sz val="11"/>
        <color rgb="FF404040"/>
        <rFont val="Arial"/>
        <family val="2"/>
      </rPr>
      <t>在你的堅持之下，的確會有復合機會。</t>
    </r>
  </si>
  <si>
    <t>還不錯，有小聰明，只要能堅持都能有好成績。</t>
  </si>
  <si>
    <r>
      <t>學習方法：</t>
    </r>
    <r>
      <rPr>
        <sz val="11"/>
        <color rgb="FF404040"/>
        <rFont val="Arial"/>
        <family val="2"/>
      </rPr>
      <t>最後的贏家往往是能夠讀書堅持到最後的那個人。</t>
    </r>
  </si>
  <si>
    <r>
      <t>考試狀況：</t>
    </r>
    <r>
      <rPr>
        <sz val="11"/>
        <color rgb="FF404040"/>
        <rFont val="Arial"/>
        <family val="2"/>
      </rPr>
      <t>還不錯，能夠堅持努力，也容易得神明保佑。</t>
    </r>
  </si>
  <si>
    <r>
      <t>與老師相處關係：</t>
    </r>
    <r>
      <rPr>
        <sz val="11"/>
        <color rgb="FF404040"/>
        <rFont val="Arial"/>
        <family val="2"/>
      </rPr>
      <t>過於固執己見，不容易認同老師想法。</t>
    </r>
  </si>
  <si>
    <r>
      <t>與同學相處關係：</t>
    </r>
    <r>
      <rPr>
        <sz val="11"/>
        <color rgb="FF404040"/>
        <rFont val="Arial"/>
        <family val="2"/>
      </rPr>
      <t>自以為是，喜好領導他人，需更虛心與他人相處。</t>
    </r>
  </si>
  <si>
    <t>還不錯，理財有自己的一套看法，不要過於自大亂投資，都能有不錯收穫。</t>
  </si>
  <si>
    <r>
      <t>投資狀況：</t>
    </r>
    <r>
      <rPr>
        <sz val="11"/>
        <color rgb="FF404040"/>
        <rFont val="Arial"/>
        <family val="2"/>
      </rPr>
      <t>多參考專家的意見，做最好的規劃，不要過度堅持自己的眼光！</t>
    </r>
  </si>
  <si>
    <r>
      <t>投資標的：</t>
    </r>
    <r>
      <rPr>
        <sz val="11"/>
        <color rgb="FF404040"/>
        <rFont val="Arial"/>
        <family val="2"/>
      </rPr>
      <t>可投資在國防軍備相關產業上面。</t>
    </r>
  </si>
  <si>
    <r>
      <t>樂透指數：</t>
    </r>
    <r>
      <rPr>
        <sz val="11"/>
        <color rgb="FF404040"/>
        <rFont val="Arial"/>
        <family val="2"/>
      </rPr>
      <t>想要樂透，記得參考一下別人想法，一切冥冥之中自有定數喔！</t>
    </r>
  </si>
  <si>
    <t>本周整體：★★★☆☆  許多事情還未明朗，都還有努力機會！多動腦觀察吧！</t>
  </si>
  <si>
    <t>想太多會帶給自己困擾，練習注意力的轉移，用創意製造工作樂趣。</t>
  </si>
  <si>
    <r>
      <t>如何解決困境：</t>
    </r>
    <r>
      <rPr>
        <sz val="11"/>
        <color rgb="FF404040"/>
        <rFont val="Arial"/>
        <family val="2"/>
      </rPr>
      <t>動動腦筋，你常有很多創意與點子可以協助。</t>
    </r>
  </si>
  <si>
    <r>
      <t>人際關係：</t>
    </r>
    <r>
      <rPr>
        <sz val="11"/>
        <color rgb="FF404040"/>
        <rFont val="Arial"/>
        <family val="2"/>
      </rPr>
      <t>自己的想法與他人無法協調，只能順其自然了。</t>
    </r>
  </si>
  <si>
    <r>
      <t>與上司相處：</t>
    </r>
    <r>
      <rPr>
        <sz val="11"/>
        <color rgb="FF404040"/>
        <rFont val="Arial"/>
        <family val="2"/>
      </rPr>
      <t>兩人想法南轅北轍，先求顧好自己吧！。</t>
    </r>
  </si>
  <si>
    <r>
      <t>發展性：</t>
    </r>
    <r>
      <rPr>
        <sz val="11"/>
        <color rgb="FF404040"/>
        <rFont val="Arial"/>
        <family val="2"/>
      </rPr>
      <t>目前沒有什麼發展性，一切都是你一廂情願的想法罷了。</t>
    </r>
  </si>
  <si>
    <r>
      <t>換工作：</t>
    </r>
    <r>
      <rPr>
        <sz val="11"/>
        <color rgb="FF404040"/>
        <rFont val="Arial"/>
        <family val="2"/>
      </rPr>
      <t>有時候下一個工作真的不會比較好，還是務實點吧！</t>
    </r>
  </si>
  <si>
    <t>愛情在曖昧的階段，還有好多要學習的，或許一切都只是你一廂情願的想像！</t>
  </si>
  <si>
    <r>
      <t>新戀情可能性：</t>
    </r>
    <r>
      <rPr>
        <sz val="11"/>
        <color rgb="FF404040"/>
        <rFont val="Arial"/>
        <family val="2"/>
      </rPr>
      <t>看樣子你還是比較適合過自己一個人的生活，新戀情可遇而不可求。</t>
    </r>
  </si>
  <si>
    <r>
      <t>性的吸引力：</t>
    </r>
    <r>
      <rPr>
        <sz val="11"/>
        <color rgb="FF404040"/>
        <rFont val="Arial"/>
        <family val="2"/>
      </rPr>
      <t>兩人有很強的性吸引力，或許真的就是一種生物衝動的本能，叫人擋也擋不住。</t>
    </r>
  </si>
  <si>
    <r>
      <t>如何化解爭執：</t>
    </r>
    <r>
      <rPr>
        <sz val="11"/>
        <color rgb="FF404040"/>
        <rFont val="Arial"/>
        <family val="2"/>
      </rPr>
      <t>來個創意浪漫的燭光晚餐或是精心安排的驚奇約會都會有幫助的。</t>
    </r>
  </si>
  <si>
    <r>
      <t>復合可能性：</t>
    </r>
    <r>
      <rPr>
        <sz val="11"/>
        <color rgb="FF404040"/>
        <rFont val="Arial"/>
        <family val="2"/>
      </rPr>
      <t>其實你有沒有發現，你一個人的時候並沒有那麼糟，目前問復合的確機率不大。</t>
    </r>
  </si>
  <si>
    <t>不佳，雖然有小聰明，但整體表現時好時壞，很難捉摸，必須要更謹慎。</t>
  </si>
  <si>
    <r>
      <t>學習方法：</t>
    </r>
    <r>
      <rPr>
        <sz val="11"/>
        <color rgb="FF404040"/>
        <rFont val="Arial"/>
        <family val="2"/>
      </rPr>
      <t>靜下心思考，你可以找出自己的創意閱讀方法的。</t>
    </r>
  </si>
  <si>
    <r>
      <t>考試狀況：</t>
    </r>
    <r>
      <rPr>
        <sz val="11"/>
        <color rgb="FF404040"/>
        <rFont val="Arial"/>
        <family val="2"/>
      </rPr>
      <t>很難捉摸，時好時壞，不要緊張，以平常心去面對反而能有佳績喔！</t>
    </r>
  </si>
  <si>
    <r>
      <t>與老師相處關係：</t>
    </r>
    <r>
      <rPr>
        <sz val="11"/>
        <color rgb="FF404040"/>
        <rFont val="Arial"/>
        <family val="2"/>
      </rPr>
      <t>彼此關係談不上好壞親疏，自己不要想太多，還是把重點放在自己的成績上吧。</t>
    </r>
  </si>
  <si>
    <r>
      <t>與同學相處關係：</t>
    </r>
    <r>
      <rPr>
        <sz val="11"/>
        <color rgb="FF404040"/>
        <rFont val="Arial"/>
        <family val="2"/>
      </rPr>
      <t>不要過於猜疑別人，否則只會讓自己陷入孤獨的境界中。</t>
    </r>
  </si>
  <si>
    <t>不好，整體狀況不明，必需要更腳踏實地的進行理財規劃。</t>
  </si>
  <si>
    <r>
      <t>投資狀況：</t>
    </r>
    <r>
      <rPr>
        <sz val="11"/>
        <color rgb="FF404040"/>
        <rFont val="Arial"/>
        <family val="2"/>
      </rPr>
      <t>不明朗，很多訊息無法判斷清楚，這個時候不適宜進行投資！</t>
    </r>
  </si>
  <si>
    <r>
      <t>投資標的：</t>
    </r>
    <r>
      <rPr>
        <sz val="11"/>
        <color rgb="FF404040"/>
        <rFont val="Arial"/>
        <family val="2"/>
      </rPr>
      <t>可投資在設計相關產業上面。</t>
    </r>
  </si>
  <si>
    <r>
      <t>樂透指數：</t>
    </r>
    <r>
      <rPr>
        <sz val="11"/>
        <color rgb="FF404040"/>
        <rFont val="Arial"/>
        <family val="2"/>
      </rPr>
      <t>不要想太多，還是老實工作賺錢比較容易致富喔！</t>
    </r>
  </si>
  <si>
    <t>本周整體：★☆☆☆☆  不要被負面情緒影響，保持內心平靜才能遠離困境。</t>
  </si>
  <si>
    <t>工作運勢低落，情緒起伏大，許多事情提不起勁，這時候該保持冷靜思考下一步作為。</t>
  </si>
  <si>
    <r>
      <t>如何解決困境：</t>
    </r>
    <r>
      <rPr>
        <sz val="11"/>
        <color rgb="FF404040"/>
        <rFont val="Arial"/>
        <family val="2"/>
      </rPr>
      <t>學習小孩子，以赤子之心去面對一切考驗，多往戶外走走會有幫助喔。</t>
    </r>
  </si>
  <si>
    <r>
      <t>人際關係：</t>
    </r>
    <r>
      <rPr>
        <sz val="11"/>
        <color rgb="FF404040"/>
        <rFont val="Arial"/>
        <family val="2"/>
      </rPr>
      <t>很能與大家像小朋友一般打成一片，與人相處很開心。</t>
    </r>
  </si>
  <si>
    <r>
      <t>與上司相處：</t>
    </r>
    <r>
      <rPr>
        <sz val="11"/>
        <color rgb="FF404040"/>
        <rFont val="Arial"/>
        <family val="2"/>
      </rPr>
      <t>很多地方表現欠缺成熟思維，要加強成熟的一面。</t>
    </r>
  </si>
  <si>
    <r>
      <t>發展性：</t>
    </r>
    <r>
      <rPr>
        <sz val="11"/>
        <color rgb="FF404040"/>
        <rFont val="Arial"/>
        <family val="2"/>
      </rPr>
      <t>不好，前程不如自己預期般好，先把自己情緒管理好吧！</t>
    </r>
  </si>
  <si>
    <r>
      <t>換工作：</t>
    </r>
    <r>
      <rPr>
        <sz val="11"/>
        <color rgb="FF404040"/>
        <rFont val="Arial"/>
        <family val="2"/>
      </rPr>
      <t>不好，低落的情緒影響對工作的看法，要先學會管理自己的情緒！</t>
    </r>
  </si>
  <si>
    <t>想法需要溝通，易怒的情緒要調整好，否則容易有爭吵！</t>
  </si>
  <si>
    <r>
      <t>新戀情可能性：</t>
    </r>
    <r>
      <rPr>
        <sz val="11"/>
        <color rgb="FF404040"/>
        <rFont val="Arial"/>
        <family val="2"/>
      </rPr>
      <t>不高，沒有發現意中人，或許要調整自己的想法會比較好。</t>
    </r>
  </si>
  <si>
    <r>
      <t>性的吸引力：</t>
    </r>
    <r>
      <rPr>
        <sz val="11"/>
        <color rgb="FF404040"/>
        <rFont val="Arial"/>
        <family val="2"/>
      </rPr>
      <t>欠佳，兩個人彼此的配合度不好。</t>
    </r>
  </si>
  <si>
    <r>
      <t>如何化解爭執：</t>
    </r>
    <r>
      <rPr>
        <sz val="11"/>
        <color rgb="FF404040"/>
        <rFont val="Arial"/>
        <family val="2"/>
      </rPr>
      <t>先求自己冷靜，再與對方好好溝通，偶爾裝弱一下或是撒嬌都會有幫助的。</t>
    </r>
  </si>
  <si>
    <r>
      <t>復合可能性：</t>
    </r>
    <r>
      <rPr>
        <sz val="11"/>
        <color rgb="FF404040"/>
        <rFont val="Arial"/>
        <family val="2"/>
      </rPr>
      <t>兩個人的想法觀念差異太大，要復合難上加難，該認真面對緣分已到盡頭的事實。</t>
    </r>
  </si>
  <si>
    <t>不好，注意力不集中，致使學習效果打折扣，要能靜下心來學習。</t>
  </si>
  <si>
    <r>
      <t>學習方法：</t>
    </r>
    <r>
      <rPr>
        <sz val="11"/>
        <color rgb="FF404040"/>
        <rFont val="Arial"/>
        <family val="2"/>
      </rPr>
      <t>很多事先不要過度擔心，保持平常心看待學習這件事反而會有好表現。</t>
    </r>
  </si>
  <si>
    <r>
      <t>考試狀況：</t>
    </r>
    <r>
      <rPr>
        <sz val="11"/>
        <color rgb="FF404040"/>
        <rFont val="Arial"/>
        <family val="2"/>
      </rPr>
      <t>不好，真的要很努力準備，比別人花更多時間土法煉鋼吧！</t>
    </r>
  </si>
  <si>
    <r>
      <t>與老師相處關係：</t>
    </r>
    <r>
      <rPr>
        <sz val="11"/>
        <color rgb="FF404040"/>
        <rFont val="Arial"/>
        <family val="2"/>
      </rPr>
      <t>想法觀念不一樣，表現該要更成熟懂事些，否則易給人家幼稚的想法。</t>
    </r>
  </si>
  <si>
    <r>
      <t>與同學相處關係：</t>
    </r>
    <r>
      <rPr>
        <sz val="11"/>
        <color rgb="FF404040"/>
        <rFont val="Arial"/>
        <family val="2"/>
      </rPr>
      <t>同輩的總能了解你的想法，可以輕易玩在一起，關係不錯。</t>
    </r>
  </si>
  <si>
    <t>財運偏弱，不要心急，先努力充實自己本職學能與專業能力已累積日後奮起的本錢。</t>
  </si>
  <si>
    <r>
      <t>投資狀況：</t>
    </r>
    <r>
      <rPr>
        <sz val="11"/>
        <color rgb="FF404040"/>
        <rFont val="Arial"/>
        <family val="2"/>
      </rPr>
      <t>目前不宜，必須多冷靜判斷狀況再決定，現在先暫停投資或許是好事！</t>
    </r>
  </si>
  <si>
    <r>
      <t>投資標的：</t>
    </r>
    <r>
      <rPr>
        <sz val="11"/>
        <color rgb="FF404040"/>
        <rFont val="Arial"/>
        <family val="2"/>
      </rPr>
      <t>可投資在嬰幼兒、兒童相關產業上面。</t>
    </r>
  </si>
  <si>
    <r>
      <t>樂透指數：</t>
    </r>
    <r>
      <rPr>
        <sz val="11"/>
        <color rgb="FF404040"/>
        <rFont val="Arial"/>
        <family val="2"/>
      </rPr>
      <t>信心不足的一周，要樂透，小心樂極生悲，還是先調整好自己的心情吧！</t>
    </r>
  </si>
  <si>
    <t>本周整體：★☆☆☆☆  身處危機之中，先放空之後，再尋求轉機。</t>
  </si>
  <si>
    <t>處在空轉的狀況中，出現危機，此時須處處小心，以免工作不保。</t>
  </si>
  <si>
    <r>
      <t>如何解決困境：</t>
    </r>
    <r>
      <rPr>
        <sz val="11"/>
        <color rgb="FF404040"/>
        <rFont val="Arial"/>
        <family val="2"/>
      </rPr>
      <t>給自己安排一個放空的靜心之旅吧！先求放鬆，再來思考問題！</t>
    </r>
  </si>
  <si>
    <r>
      <t>人際關係：</t>
    </r>
    <r>
      <rPr>
        <sz val="11"/>
        <color rgb="FF404040"/>
        <rFont val="Arial"/>
        <family val="2"/>
      </rPr>
      <t>一個人的確比較自在，還要多多學習跟人相處與互動。</t>
    </r>
  </si>
  <si>
    <r>
      <t>與上司相處：</t>
    </r>
    <r>
      <rPr>
        <sz val="11"/>
        <color rgb="FF404040"/>
        <rFont val="Arial"/>
        <family val="2"/>
      </rPr>
      <t>彼此緣分不深，還是盡量在工作上力求好的表現吧。</t>
    </r>
  </si>
  <si>
    <r>
      <t>發展性：</t>
    </r>
    <r>
      <rPr>
        <sz val="11"/>
        <color rgb="FF404040"/>
        <rFont val="Arial"/>
        <family val="2"/>
      </rPr>
      <t>看樣子最終會有瓶頸，要再進一步，困難重重！</t>
    </r>
  </si>
  <si>
    <r>
      <t>換工作：</t>
    </r>
    <r>
      <rPr>
        <sz val="11"/>
        <color rgb="FF404040"/>
        <rFont val="Arial"/>
        <family val="2"/>
      </rPr>
      <t>不好，頂多只是一個臨時過渡，要慎重考慮，不建議更換！</t>
    </r>
  </si>
  <si>
    <t>緣起緣滅自有其定數，謹防爭吵過多，影響彼此感情，緣分欠佳的一個月！</t>
  </si>
  <si>
    <r>
      <t>新戀情可能性：</t>
    </r>
    <r>
      <rPr>
        <sz val="11"/>
        <color rgb="FF404040"/>
        <rFont val="Arial"/>
        <family val="2"/>
      </rPr>
      <t>老師建議你，把重心放在工作或是其他地方會比較容易得到開心喔。</t>
    </r>
  </si>
  <si>
    <r>
      <t>性的吸引力：</t>
    </r>
    <r>
      <rPr>
        <sz val="11"/>
        <color rgb="FF404040"/>
        <rFont val="Arial"/>
        <family val="2"/>
      </rPr>
      <t>很低，緣分不深，兩人契合不夠。</t>
    </r>
  </si>
  <si>
    <r>
      <t>如何化解爭執：</t>
    </r>
    <r>
      <rPr>
        <sz val="11"/>
        <color rgb="FF404040"/>
        <rFont val="Arial"/>
        <family val="2"/>
      </rPr>
      <t>先低頭認錯吧！這樣才有辦法跟對方談下去。</t>
    </r>
  </si>
  <si>
    <r>
      <t>復合可能性：</t>
    </r>
    <r>
      <rPr>
        <sz val="11"/>
        <color rgb="FF404040"/>
        <rFont val="Arial"/>
        <family val="2"/>
      </rPr>
      <t>緣分盡了，覆水難收，不要想太多了。</t>
    </r>
  </si>
  <si>
    <t>不好，沒辦法專心，即使念了很多，吸收有限。</t>
  </si>
  <si>
    <r>
      <t>學習方法：</t>
    </r>
    <r>
      <rPr>
        <sz val="11"/>
        <color rgb="FF404040"/>
        <rFont val="Arial"/>
        <family val="2"/>
      </rPr>
      <t>先好好去放鬆一下吧！旅遊、發呆、靜心，休息是為了走更長遠的路喔！</t>
    </r>
  </si>
  <si>
    <r>
      <t>考試狀況：</t>
    </r>
    <r>
      <rPr>
        <sz val="11"/>
        <color rgb="FF404040"/>
        <rFont val="Arial"/>
        <family val="2"/>
      </rPr>
      <t>不好，有危機，平日的努力與否？這時候就見真章了！趕快燒香拜拜或是禱告吧！</t>
    </r>
  </si>
  <si>
    <r>
      <t>與老師相處關係：</t>
    </r>
    <r>
      <rPr>
        <sz val="11"/>
        <color rgb="FF404040"/>
        <rFont val="Arial"/>
        <family val="2"/>
      </rPr>
      <t>關係欠佳，能不要繼續惡化就很阿彌陀佛，謝天謝地了。</t>
    </r>
  </si>
  <si>
    <r>
      <t>與同學相處關係：</t>
    </r>
    <r>
      <rPr>
        <sz val="11"/>
        <color rgb="FF404040"/>
        <rFont val="Arial"/>
        <family val="2"/>
      </rPr>
      <t>常無意間傷害到別的同學，人際互動還要加強學習適應。</t>
    </r>
  </si>
  <si>
    <t>在危機中，是財運空轉的狀況，能少花一塊就是賺到，此時該把錢鎖在保險箱，鑰匙給家人保管。</t>
  </si>
  <si>
    <r>
      <t>投資狀況：</t>
    </r>
    <r>
      <rPr>
        <sz val="11"/>
        <color rgb="FF404040"/>
        <rFont val="Arial"/>
        <family val="2"/>
      </rPr>
      <t>出現危機，要當機立斷止跌與止血，記住：「少賠就是賺」。</t>
    </r>
  </si>
  <si>
    <r>
      <t>投資標的：</t>
    </r>
    <r>
      <rPr>
        <sz val="11"/>
        <color rgb="FF404040"/>
        <rFont val="Arial"/>
        <family val="2"/>
      </rPr>
      <t>可投資在土地產業上面。</t>
    </r>
  </si>
  <si>
    <r>
      <t>樂透指數：</t>
    </r>
    <r>
      <rPr>
        <sz val="11"/>
        <color rgb="FF404040"/>
        <rFont val="Arial"/>
        <family val="2"/>
      </rPr>
      <t>看樣子這個月只能多求神拜佛，不要想樂透，能平順度過就要很開心了！</t>
    </r>
  </si>
  <si>
    <t>本周整體：★★☆☆☆ 順天而行，歡喜做，甘願受，不要抱怨。</t>
  </si>
  <si>
    <t>馬馬虎虎，還算過得去，但還是要多謹慎，以免犯錯被主管指責。</t>
  </si>
  <si>
    <r>
      <t>如何解決困境：</t>
    </r>
    <r>
      <rPr>
        <sz val="11"/>
        <color rgb="FF404040"/>
        <rFont val="Arial"/>
        <family val="2"/>
      </rPr>
      <t>不要害怕問題，土法煉鋼一步一腳印，該做的要努力！</t>
    </r>
  </si>
  <si>
    <r>
      <t>人際關係：</t>
    </r>
    <r>
      <rPr>
        <sz val="11"/>
        <color rgb="FF404040"/>
        <rFont val="Arial"/>
        <family val="2"/>
      </rPr>
      <t>自己的個性過於馬虎，人際關係自然也普普而已。</t>
    </r>
  </si>
  <si>
    <r>
      <t>與上司相處：</t>
    </r>
    <r>
      <rPr>
        <sz val="11"/>
        <color rgb="FF404040"/>
        <rFont val="Arial"/>
        <family val="2"/>
      </rPr>
      <t>互動還好，沒特別深的感情，小心做錯事被責備，要多謹慎。</t>
    </r>
  </si>
  <si>
    <r>
      <t>發展性：</t>
    </r>
    <r>
      <rPr>
        <sz val="11"/>
        <color rgb="FF404040"/>
        <rFont val="Arial"/>
        <family val="2"/>
      </rPr>
      <t>欠佳，目前重心應該放在手邊的事情上面！</t>
    </r>
  </si>
  <si>
    <r>
      <t>換工作：</t>
    </r>
    <r>
      <rPr>
        <sz val="11"/>
        <color rgb="FF404040"/>
        <rFont val="Arial"/>
        <family val="2"/>
      </rPr>
      <t>不好，還不到時間，要多仔細評估！</t>
    </r>
  </si>
  <si>
    <t>對愛情的態度不夠認真不夠，自然難以期待好的結果，要再多加油了！</t>
  </si>
  <si>
    <r>
      <t>新戀情可能性：</t>
    </r>
    <r>
      <rPr>
        <sz val="11"/>
        <color rgb="FF404040"/>
        <rFont val="Arial"/>
        <family val="2"/>
      </rPr>
      <t>對愛情的態度還需要認真點，做些調整與學習，會比較有機會喔！</t>
    </r>
  </si>
  <si>
    <r>
      <t>性的吸引力：</t>
    </r>
    <r>
      <rPr>
        <sz val="11"/>
        <color rgb="FF404040"/>
        <rFont val="Arial"/>
        <family val="2"/>
      </rPr>
      <t>不高，對性的態度要更積極些會比較好。</t>
    </r>
  </si>
  <si>
    <r>
      <t>如何化解爭執：</t>
    </r>
    <r>
      <rPr>
        <sz val="11"/>
        <color rgb="FF404040"/>
        <rFont val="Arial"/>
        <family val="2"/>
      </rPr>
      <t>主動低頭認錯，把自己的內心想法跟對方溝通。</t>
    </r>
  </si>
  <si>
    <r>
      <t>復合可能性：</t>
    </r>
    <r>
      <rPr>
        <sz val="11"/>
        <color rgb="FF404040"/>
        <rFont val="Arial"/>
        <family val="2"/>
      </rPr>
      <t>緣分散了，要復合不是很容易。</t>
    </r>
  </si>
  <si>
    <t>不好，學習的態度欠佳，要再積極些喔！</t>
  </si>
  <si>
    <r>
      <t>學習方法：</t>
    </r>
    <r>
      <rPr>
        <sz val="11"/>
        <color rgb="FF404040"/>
        <rFont val="Arial"/>
        <family val="2"/>
      </rPr>
      <t>要規劃好學習的進度，其次就只能土法煉鋼努力念書了！</t>
    </r>
  </si>
  <si>
    <r>
      <t>考試狀況：</t>
    </r>
    <r>
      <rPr>
        <sz val="11"/>
        <color rgb="FF404040"/>
        <rFont val="Arial"/>
        <family val="2"/>
      </rPr>
      <t>高分落榜，或是低空飛過，就是你了！最後一刻更須堅持喔！</t>
    </r>
  </si>
  <si>
    <r>
      <t>與老師相處關係：</t>
    </r>
    <r>
      <rPr>
        <sz val="11"/>
        <color rgb="FF404040"/>
        <rFont val="Arial"/>
        <family val="2"/>
      </rPr>
      <t>關係普通，沒有好壞，小心交代功課沒做好被責罵喔。</t>
    </r>
  </si>
  <si>
    <r>
      <t>與同學相處關係：</t>
    </r>
    <r>
      <rPr>
        <sz val="11"/>
        <color rgb="FF404040"/>
        <rFont val="Arial"/>
        <family val="2"/>
      </rPr>
      <t>馬馬虎虎，看你怎麼付出自然就有怎麼收穫。</t>
    </r>
  </si>
  <si>
    <t>有破財風險，花錢要謹慎，不要衝動消費，當用才花，當省一定要省。</t>
  </si>
  <si>
    <r>
      <t>投資狀況：</t>
    </r>
    <r>
      <rPr>
        <sz val="11"/>
        <color rgb="FF404040"/>
        <rFont val="Arial"/>
        <family val="2"/>
      </rPr>
      <t>虧錢機率很大，想辦法止血吧。</t>
    </r>
  </si>
  <si>
    <r>
      <t>投資標的：</t>
    </r>
    <r>
      <rPr>
        <sz val="11"/>
        <color rgb="FF404040"/>
        <rFont val="Arial"/>
        <family val="2"/>
      </rPr>
      <t>可投資在寵物相關產業上面。</t>
    </r>
  </si>
  <si>
    <r>
      <t>樂透指數：</t>
    </r>
    <r>
      <rPr>
        <sz val="11"/>
        <color rgb="FF404040"/>
        <rFont val="Arial"/>
        <family val="2"/>
      </rPr>
      <t>俗話說，花錢消災，抱著這種想法面對損失會比較愉快吧！</t>
    </r>
  </si>
  <si>
    <t>本周整體：★★☆☆☆   宜守不宜動，多練習口才表達，講話要得體適當，學習包容。</t>
  </si>
  <si>
    <t>守時以待，目前不適宜任何變動，多做事少說話就對了，小心是非伴隨！</t>
  </si>
  <si>
    <r>
      <t>如何解決困境：</t>
    </r>
    <r>
      <rPr>
        <sz val="11"/>
        <color rgb="FF404040"/>
        <rFont val="Arial"/>
        <family val="2"/>
      </rPr>
      <t>該說清楚講明白的地方還是要說，不開口誰知道你需要協助咧！</t>
    </r>
  </si>
  <si>
    <r>
      <t>人際關係：</t>
    </r>
    <r>
      <rPr>
        <sz val="11"/>
        <color rgb="FF404040"/>
        <rFont val="Arial"/>
        <family val="2"/>
      </rPr>
      <t>說話不要太直或是太急太快，以免傷害他人而不自知</t>
    </r>
  </si>
  <si>
    <r>
      <t>與上司相處：</t>
    </r>
    <r>
      <rPr>
        <sz val="11"/>
        <color rgb="FF404040"/>
        <rFont val="Arial"/>
        <family val="2"/>
      </rPr>
      <t>謹言慎行，不該你發言的就學習閉嘴吧。</t>
    </r>
  </si>
  <si>
    <r>
      <t>發展性：</t>
    </r>
    <r>
      <rPr>
        <sz val="11"/>
        <color rgb="FF404040"/>
        <rFont val="Arial"/>
        <family val="2"/>
      </rPr>
      <t>不好，保守等待機會，再好好觀察狀況吧！</t>
    </r>
  </si>
  <si>
    <r>
      <t>換工作：</t>
    </r>
    <r>
      <rPr>
        <sz val="11"/>
        <color rgb="FF404040"/>
        <rFont val="Arial"/>
        <family val="2"/>
      </rPr>
      <t>不好，守時以待，等待更好的機會再異動！</t>
    </r>
  </si>
  <si>
    <t>兩人關係中，小心口角衝突，記得學會包容很重要喔！</t>
  </si>
  <si>
    <r>
      <t>新戀情可能性：</t>
    </r>
    <r>
      <rPr>
        <sz val="11"/>
        <color rgb="FF404040"/>
        <rFont val="Arial"/>
        <family val="2"/>
      </rPr>
      <t>機率不高，還要一些時間的等待，多開口請人家介紹吧！</t>
    </r>
  </si>
  <si>
    <r>
      <t>性的吸引力：</t>
    </r>
    <r>
      <rPr>
        <sz val="11"/>
        <color rgb="FF404040"/>
        <rFont val="Arial"/>
        <family val="2"/>
      </rPr>
      <t>高，對性的興趣遠高過於愛情本身。</t>
    </r>
  </si>
  <si>
    <r>
      <t>如何化解爭執：</t>
    </r>
    <r>
      <rPr>
        <sz val="11"/>
        <color rgb="FF404040"/>
        <rFont val="Arial"/>
        <family val="2"/>
      </rPr>
      <t>除了包容還是包容，學習有容乃大的精神，多多包容對方。</t>
    </r>
  </si>
  <si>
    <r>
      <t>復合可能性：</t>
    </r>
    <r>
      <rPr>
        <sz val="11"/>
        <color rgb="FF404040"/>
        <rFont val="Arial"/>
        <family val="2"/>
      </rPr>
      <t>真的想復合，還需要一些時間，先被動的靜觀其變，看對方心意如何！</t>
    </r>
  </si>
  <si>
    <r>
      <t>本周學業</t>
    </r>
    <r>
      <rPr>
        <sz val="11"/>
        <color rgb="FF404040"/>
        <rFont val="Arial"/>
        <family val="2"/>
      </rPr>
      <t>：</t>
    </r>
  </si>
  <si>
    <t>不好，容易出包，在學習上要更用心，並且仔細閱讀問題與解答！</t>
  </si>
  <si>
    <r>
      <t>學習方法：</t>
    </r>
    <r>
      <rPr>
        <sz val="11"/>
        <color rgb="FF404040"/>
        <rFont val="Arial"/>
        <family val="2"/>
      </rPr>
      <t>能夠與別人多多討論對於學習會很有幫助喔！有問題一定要問清楚明白。</t>
    </r>
  </si>
  <si>
    <r>
      <t>考試狀況：</t>
    </r>
    <r>
      <rPr>
        <sz val="11"/>
        <color rgb="FF404040"/>
        <rFont val="Arial"/>
        <family val="2"/>
      </rPr>
      <t>有被當風險，必須要加把勁使力，想通過測驗的念力要很強。！</t>
    </r>
  </si>
  <si>
    <r>
      <t>與老師相處關係：</t>
    </r>
    <r>
      <rPr>
        <sz val="11"/>
        <color rgb="FF404040"/>
        <rFont val="Arial"/>
        <family val="2"/>
      </rPr>
      <t>切忌尊師重道很重要，言多必失，不要逾越分寸。</t>
    </r>
  </si>
  <si>
    <r>
      <t>與同學相處關係：</t>
    </r>
    <r>
      <rPr>
        <sz val="11"/>
        <color rgb="FF404040"/>
        <rFont val="Arial"/>
        <family val="2"/>
      </rPr>
      <t>說話不要太直，說者無心，聽者有意，以免傷到彼此關係而不知道。</t>
    </r>
  </si>
  <si>
    <t>有漏財危機，財運能量不足，稍嫌停滯，目前理財狀況要採取比較保守的作為。</t>
  </si>
  <si>
    <r>
      <t>投資狀況：</t>
    </r>
    <r>
      <rPr>
        <sz val="11"/>
        <color rgb="FF404040"/>
        <rFont val="Arial"/>
        <family val="2"/>
      </rPr>
      <t>虧錢機率大，現在要保守一點，守時以待，目前不適合做任何投資</t>
    </r>
  </si>
  <si>
    <r>
      <t>投資標的：</t>
    </r>
    <r>
      <rPr>
        <sz val="11"/>
        <color rgb="FF404040"/>
        <rFont val="Arial"/>
        <family val="2"/>
      </rPr>
      <t>可投資在皮件包包相關產業上面。</t>
    </r>
  </si>
  <si>
    <r>
      <t>樂透指數：</t>
    </r>
    <r>
      <rPr>
        <sz val="11"/>
        <color rgb="FF404040"/>
        <rFont val="Arial"/>
        <family val="2"/>
      </rPr>
      <t>等待時機，現在離樂透有點遠，先好好學習當個宅男宅女吧！</t>
    </r>
  </si>
  <si>
    <t>本周整體：★☆☆☆☆   事在人為，全看自己作為，小卒也是能變英雄的。</t>
  </si>
  <si>
    <t>目前狀況平平，好壞都在自己掌握中，須謹慎小心面對突發狀況，一切就看你怎麼努力了！</t>
  </si>
  <si>
    <r>
      <t>如何解決困境：</t>
    </r>
    <r>
      <rPr>
        <sz val="11"/>
        <color rgb="FF404040"/>
        <rFont val="Arial"/>
        <family val="2"/>
      </rPr>
      <t>要有男人的魄力與勇氣，有自信，小卒可以變英雄。。</t>
    </r>
  </si>
  <si>
    <r>
      <t>人際關係：</t>
    </r>
    <r>
      <rPr>
        <sz val="11"/>
        <color rgb="FF404040"/>
        <rFont val="Arial"/>
        <family val="2"/>
      </rPr>
      <t>必須要站在對方角度思考，主動與人相處。</t>
    </r>
  </si>
  <si>
    <r>
      <t>與上司相處：</t>
    </r>
    <r>
      <rPr>
        <sz val="11"/>
        <color rgb="FF404040"/>
        <rFont val="Arial"/>
        <family val="2"/>
      </rPr>
      <t>關係持平，認真做事力求表現。</t>
    </r>
  </si>
  <si>
    <t>兩人的關係不好不壞，事在人為，你如何用心表現自然會有不同結果！</t>
  </si>
  <si>
    <r>
      <t>性的吸引力：</t>
    </r>
    <r>
      <rPr>
        <sz val="11"/>
        <color rgb="FF404040"/>
        <rFont val="Arial"/>
        <family val="2"/>
      </rPr>
      <t>性吸引力還好，性生活中等。</t>
    </r>
  </si>
  <si>
    <r>
      <t>如何化解爭執：</t>
    </r>
    <r>
      <rPr>
        <sz val="11"/>
        <color rgb="FF404040"/>
        <rFont val="Arial"/>
        <family val="2"/>
      </rPr>
      <t>如人飲水，冷暖自知，要有同理心，為對方想。</t>
    </r>
  </si>
  <si>
    <r>
      <t>復合可能性：</t>
    </r>
    <r>
      <rPr>
        <sz val="11"/>
        <color rgb="FF404040"/>
        <rFont val="Arial"/>
        <family val="2"/>
      </rPr>
      <t>男方必須主動才有機會，現在得分是50分。</t>
    </r>
  </si>
  <si>
    <t>學業成績狀況屬於中平成積，但是一切未必是定論，還是有機會可以努力！</t>
  </si>
  <si>
    <r>
      <t>學習方法：</t>
    </r>
    <r>
      <rPr>
        <sz val="11"/>
        <color rgb="FF404040"/>
        <rFont val="Arial"/>
        <family val="2"/>
      </rPr>
      <t>土法煉鋼，多跟朋友請教互動。</t>
    </r>
  </si>
  <si>
    <r>
      <t>考試狀況：</t>
    </r>
    <r>
      <rPr>
        <sz val="11"/>
        <color rgb="FF404040"/>
        <rFont val="Arial"/>
        <family val="2"/>
      </rPr>
      <t>該準備的要充足，缺一不可，不要大意！</t>
    </r>
  </si>
  <si>
    <r>
      <t>與同學相處關係：</t>
    </r>
    <r>
      <rPr>
        <sz val="11"/>
        <color rgb="FF404040"/>
        <rFont val="Arial"/>
        <family val="2"/>
      </rPr>
      <t>各守本分，各忙其事，多主動熱情的互動會更好。</t>
    </r>
  </si>
  <si>
    <t>財運能量持平，雖然沒有很旺的財運，但也不至於有失財危機，都必須靠自己自食其力奮鬥，方能慢慢創造財富。</t>
  </si>
  <si>
    <r>
      <t>投資狀況：</t>
    </r>
    <r>
      <rPr>
        <sz val="11"/>
        <color rgb="FF404040"/>
        <rFont val="Arial"/>
        <family val="2"/>
      </rPr>
      <t>必須要十分謹慎，短期內不適合投資，多觀察先吧！</t>
    </r>
  </si>
  <si>
    <r>
      <t>樂透指數：</t>
    </r>
    <r>
      <rPr>
        <sz val="11"/>
        <color rgb="FF404040"/>
        <rFont val="Arial"/>
        <family val="2"/>
      </rPr>
      <t>整體狀況平平，拼樂透也是一半一半的機率囉！</t>
    </r>
  </si>
  <si>
    <t>问项</t>
  </si>
  <si>
    <t>工作</t>
  </si>
  <si>
    <t>爱情</t>
  </si>
  <si>
    <t>学业</t>
  </si>
  <si>
    <t>财运</t>
  </si>
  <si>
    <t>象棋占卜Fortune Telling By Chess @ 2017 Remy Lim</t>
  </si>
  <si>
    <t>友</t>
  </si>
  <si>
    <t>敌</t>
  </si>
  <si>
    <t>掌权</t>
  </si>
  <si>
    <t>计谋</t>
  </si>
  <si>
    <t>贵人</t>
  </si>
  <si>
    <t>兵戎</t>
  </si>
  <si>
    <t>远援</t>
  </si>
  <si>
    <t>实力</t>
  </si>
  <si>
    <t>王者</t>
  </si>
  <si>
    <t>掌权者</t>
  </si>
  <si>
    <t>实力者</t>
  </si>
  <si>
    <t>智者</t>
  </si>
  <si>
    <t>勇者</t>
  </si>
  <si>
    <t>大势力</t>
  </si>
  <si>
    <t>人际关系</t>
  </si>
  <si>
    <t>权势力</t>
  </si>
  <si>
    <t>相助</t>
  </si>
  <si>
    <t>阻碍</t>
  </si>
  <si>
    <t>直接而来</t>
  </si>
  <si>
    <t>人施计</t>
  </si>
  <si>
    <t>远势力</t>
  </si>
  <si>
    <t>小势力</t>
  </si>
  <si>
    <t>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</si>
</sst>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>
    <font>
      <sz val="11"/>
      <color theme="1"/>
      <name val="Calibri"/>
      <family val="2"/>
      <scheme val="minor"/>
    </font>
    <font>
      <sz val="12"/>
      <color rgb="FF464646"/>
      <name val="SimSun"/>
    </font>
    <font>
      <b/>
      <sz val="12"/>
      <color rgb="FF464646"/>
      <name val="SimSun"/>
    </font>
    <font>
      <sz val="12"/>
      <color theme="1"/>
      <name val="Calibri"/>
      <family val="2"/>
      <scheme val="minor"/>
    </font>
    <font>
      <sz val="12"/>
      <color rgb="FF464646"/>
      <name val="標楷體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36"/>
      <color indexed="8"/>
      <name val="Calibri"/>
      <family val="2"/>
      <scheme val="minor"/>
    </font>
    <font>
      <sz val="36"/>
      <color indexed="10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404040"/>
      <name val="Arial"/>
      <family val="2"/>
    </font>
    <font>
      <sz val="11"/>
      <color rgb="FFFF0000"/>
      <name val="Arial"/>
      <family val="2"/>
    </font>
    <font>
      <sz val="11"/>
      <color rgb="FF800080"/>
      <name val="Arial"/>
      <family val="2"/>
    </font>
    <font>
      <sz val="11"/>
      <color rgb="FF0000FF"/>
      <name val="Arial"/>
      <family val="2"/>
    </font>
    <font>
      <b/>
      <sz val="11"/>
      <color rgb="FFFF0000"/>
      <name val="Arial"/>
      <family val="2"/>
    </font>
    <font>
      <b/>
      <sz val="11"/>
      <color rgb="FF800080"/>
      <name val="Arial"/>
      <family val="2"/>
    </font>
    <font>
      <sz val="48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Alignment="1">
      <alignment horizontal="left" vertical="center" wrapText="1"/>
    </xf>
    <xf numFmtId="0" fontId="3" fillId="0" borderId="0" xfId="0" applyFont="1"/>
    <xf numFmtId="0" fontId="4" fillId="0" borderId="0" xfId="0" applyFont="1" applyAlignment="1">
      <alignment horizontal="left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2" borderId="0" xfId="0" applyFill="1"/>
    <xf numFmtId="0" fontId="15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0" fontId="10" fillId="2" borderId="0" xfId="0" applyFont="1" applyFill="1" applyBorder="1" applyAlignment="1">
      <alignment vertical="center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16" fillId="0" borderId="0" xfId="0" applyFont="1"/>
    <xf numFmtId="0" fontId="0" fillId="2" borderId="0" xfId="0" applyFill="1" applyBorder="1" applyAlignment="1">
      <alignment vertical="top" wrapText="1"/>
    </xf>
    <xf numFmtId="0" fontId="16" fillId="0" borderId="0" xfId="0" applyFont="1" applyAlignment="1">
      <alignment vertical="center" wrapText="1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 vertical="top"/>
    </xf>
    <xf numFmtId="0" fontId="0" fillId="2" borderId="18" xfId="0" applyFill="1" applyBorder="1" applyAlignment="1">
      <alignment horizontal="left" vertical="top"/>
    </xf>
    <xf numFmtId="0" fontId="0" fillId="2" borderId="0" xfId="0" applyFill="1" applyBorder="1" applyAlignment="1">
      <alignment horizontal="left" vertical="top"/>
    </xf>
    <xf numFmtId="0" fontId="0" fillId="2" borderId="19" xfId="0" applyFill="1" applyBorder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 wrapText="1"/>
    </xf>
    <xf numFmtId="0" fontId="0" fillId="2" borderId="3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13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 wrapText="1"/>
    </xf>
    <xf numFmtId="0" fontId="11" fillId="2" borderId="11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 vertical="center" wrapText="1"/>
    </xf>
    <xf numFmtId="0" fontId="11" fillId="2" borderId="13" xfId="0" applyFont="1" applyFill="1" applyBorder="1" applyAlignment="1">
      <alignment horizontal="center" vertical="center" wrapText="1"/>
    </xf>
    <xf numFmtId="0" fontId="11" fillId="2" borderId="14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12" fillId="2" borderId="0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/>
    </xf>
    <xf numFmtId="0" fontId="15" fillId="2" borderId="16" xfId="0" applyFont="1" applyFill="1" applyBorder="1" applyAlignment="1">
      <alignment horizontal="center"/>
    </xf>
    <xf numFmtId="0" fontId="15" fillId="2" borderId="17" xfId="0" applyFont="1" applyFill="1" applyBorder="1" applyAlignment="1">
      <alignment horizontal="center"/>
    </xf>
    <xf numFmtId="0" fontId="22" fillId="2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22" fmlaLink="$I$13" horiz="1" max="15" min="5" page="10" val="15"/>
</file>

<file path=xl/ctrlProps/ctrlProp2.xml><?xml version="1.0" encoding="utf-8"?>
<formControlPr xmlns="http://schemas.microsoft.com/office/spreadsheetml/2009/9/main" objectType="Scroll" dx="22" fmlaLink="$M$13" horiz="1" max="13" min="1" page="10" val="13"/>
</file>

<file path=xl/ctrlProps/ctrlProp3.xml><?xml version="1.0" encoding="utf-8"?>
<formControlPr xmlns="http://schemas.microsoft.com/office/spreadsheetml/2009/9/main" objectType="Drop" dropLines="4" dropStyle="combo" dx="16" fmlaLink="$P$2" fmlaRange="Data!$V$2:$V$5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jpeg"/><Relationship Id="rId2" Type="http://schemas.openxmlformats.org/officeDocument/2006/relationships/image" Target="../media/image16.jpeg"/><Relationship Id="rId1" Type="http://schemas.openxmlformats.org/officeDocument/2006/relationships/image" Target="../media/image15.jpeg"/><Relationship Id="rId4" Type="http://schemas.openxmlformats.org/officeDocument/2006/relationships/image" Target="../media/image18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2</xdr:col>
      <xdr:colOff>533400</xdr:colOff>
      <xdr:row>15</xdr:row>
      <xdr:rowOff>0</xdr:rowOff>
    </xdr:to>
    <xdr:pic>
      <xdr:nvPicPr>
        <xdr:cNvPr id="12" name="Picture 11" descr="%e6%96%b0%e7%89%88%e6%a3%8b%e5%8d%a1-%e5%88%86%e9%a0%81-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0"/>
          <a:ext cx="1714500" cy="285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552450</xdr:colOff>
      <xdr:row>0</xdr:row>
      <xdr:rowOff>0</xdr:rowOff>
    </xdr:from>
    <xdr:to>
      <xdr:col>5</xdr:col>
      <xdr:colOff>438150</xdr:colOff>
      <xdr:row>15</xdr:row>
      <xdr:rowOff>0</xdr:rowOff>
    </xdr:to>
    <xdr:pic>
      <xdr:nvPicPr>
        <xdr:cNvPr id="13" name="Picture 12" descr="%e6%96%b0%e7%89%88%e6%a3%8b%e5%8d%a1-%e5%88%86%e9%a0%81-0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0"/>
          <a:ext cx="1714500" cy="285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447674</xdr:colOff>
      <xdr:row>0</xdr:row>
      <xdr:rowOff>19050</xdr:rowOff>
    </xdr:from>
    <xdr:to>
      <xdr:col>8</xdr:col>
      <xdr:colOff>302209</xdr:colOff>
      <xdr:row>14</xdr:row>
      <xdr:rowOff>161925</xdr:rowOff>
    </xdr:to>
    <xdr:pic>
      <xdr:nvPicPr>
        <xdr:cNvPr id="14" name="Picture 13" descr="%e6%96%b0%e7%89%88%e6%a3%8b%e5%8d%a1-%e5%88%86%e9%a0%81-0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4" y="19050"/>
          <a:ext cx="1683335" cy="2809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323849</xdr:colOff>
      <xdr:row>0</xdr:row>
      <xdr:rowOff>19050</xdr:rowOff>
    </xdr:from>
    <xdr:to>
      <xdr:col>11</xdr:col>
      <xdr:colOff>178384</xdr:colOff>
      <xdr:row>14</xdr:row>
      <xdr:rowOff>161925</xdr:rowOff>
    </xdr:to>
    <xdr:pic>
      <xdr:nvPicPr>
        <xdr:cNvPr id="15" name="Picture 14" descr="%e6%96%b0%e7%89%88%e6%a3%8b%e5%8d%a1-%e5%88%86%e9%a0%81-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0649" y="19050"/>
          <a:ext cx="1683335" cy="2809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190500</xdr:colOff>
      <xdr:row>0</xdr:row>
      <xdr:rowOff>9525</xdr:rowOff>
    </xdr:from>
    <xdr:to>
      <xdr:col>14</xdr:col>
      <xdr:colOff>57150</xdr:colOff>
      <xdr:row>14</xdr:row>
      <xdr:rowOff>168275</xdr:rowOff>
    </xdr:to>
    <xdr:pic>
      <xdr:nvPicPr>
        <xdr:cNvPr id="17" name="Picture 16" descr="%e6%96%b0%e7%89%88%e6%a3%8b%e5%8d%a1-%e5%88%86%e9%a0%81-0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96100" y="9525"/>
          <a:ext cx="1695450" cy="282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66675</xdr:colOff>
      <xdr:row>0</xdr:row>
      <xdr:rowOff>0</xdr:rowOff>
    </xdr:from>
    <xdr:to>
      <xdr:col>16</xdr:col>
      <xdr:colOff>550545</xdr:colOff>
      <xdr:row>14</xdr:row>
      <xdr:rowOff>171450</xdr:rowOff>
    </xdr:to>
    <xdr:pic>
      <xdr:nvPicPr>
        <xdr:cNvPr id="18" name="Picture 17" descr="%e6%96%b0%e7%89%88%e6%a3%8b%e5%8d%a1-%e5%88%86%e9%a0%81-07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0"/>
          <a:ext cx="1703070" cy="283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561975</xdr:colOff>
      <xdr:row>0</xdr:row>
      <xdr:rowOff>0</xdr:rowOff>
    </xdr:from>
    <xdr:to>
      <xdr:col>19</xdr:col>
      <xdr:colOff>447675</xdr:colOff>
      <xdr:row>15</xdr:row>
      <xdr:rowOff>0</xdr:rowOff>
    </xdr:to>
    <xdr:pic>
      <xdr:nvPicPr>
        <xdr:cNvPr id="19" name="Picture 18" descr="%e6%96%b0%e7%89%88%e6%a3%8b%e5%8d%a1-%e5%88%86%e9%a0%81-0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15575" y="0"/>
          <a:ext cx="1714500" cy="285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57149</xdr:colOff>
      <xdr:row>15</xdr:row>
      <xdr:rowOff>9525</xdr:rowOff>
    </xdr:from>
    <xdr:to>
      <xdr:col>2</xdr:col>
      <xdr:colOff>542924</xdr:colOff>
      <xdr:row>29</xdr:row>
      <xdr:rowOff>188522</xdr:rowOff>
    </xdr:to>
    <xdr:pic>
      <xdr:nvPicPr>
        <xdr:cNvPr id="20" name="Picture 19" descr="http://www.924.com.tw/blog/wp-content/uploads/2016/12/%E6%96%B0%E7%89%88%E6%A3%8B%E5%8D%A1-%E5%88%86%E9%A0%81-09-180x300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49" y="2867025"/>
          <a:ext cx="1704975" cy="28459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552449</xdr:colOff>
      <xdr:row>15</xdr:row>
      <xdr:rowOff>38100</xdr:rowOff>
    </xdr:from>
    <xdr:to>
      <xdr:col>5</xdr:col>
      <xdr:colOff>401278</xdr:colOff>
      <xdr:row>29</xdr:row>
      <xdr:rowOff>171450</xdr:rowOff>
    </xdr:to>
    <xdr:pic>
      <xdr:nvPicPr>
        <xdr:cNvPr id="21" name="Picture 20" descr="http://www.924.com.tw/blog/wp-content/uploads/2016/12/%E6%96%B0%E7%89%88%E6%A3%8B%E5%8D%A1-%E5%88%86%E9%A0%81-10-180x300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49" y="2895600"/>
          <a:ext cx="1677629" cy="280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428625</xdr:colOff>
      <xdr:row>15</xdr:row>
      <xdr:rowOff>0</xdr:rowOff>
    </xdr:from>
    <xdr:to>
      <xdr:col>8</xdr:col>
      <xdr:colOff>311691</xdr:colOff>
      <xdr:row>30</xdr:row>
      <xdr:rowOff>0</xdr:rowOff>
    </xdr:to>
    <xdr:pic>
      <xdr:nvPicPr>
        <xdr:cNvPr id="22" name="Picture 21" descr="%e6%96%b0%e7%89%88%e6%a3%8b%e5%8d%a1-%e5%88%86%e9%a0%81-11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6625" y="2857500"/>
          <a:ext cx="1711866" cy="285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342899</xdr:colOff>
      <xdr:row>14</xdr:row>
      <xdr:rowOff>171450</xdr:rowOff>
    </xdr:from>
    <xdr:to>
      <xdr:col>11</xdr:col>
      <xdr:colOff>248790</xdr:colOff>
      <xdr:row>30</xdr:row>
      <xdr:rowOff>19050</xdr:rowOff>
    </xdr:to>
    <xdr:pic>
      <xdr:nvPicPr>
        <xdr:cNvPr id="23" name="Picture 22" descr="%e6%96%b0%e7%89%88%e6%a3%8b%e5%8d%a1-%e5%88%86%e9%a0%81-12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699" y="2838450"/>
          <a:ext cx="1734691" cy="289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266699</xdr:colOff>
      <xdr:row>14</xdr:row>
      <xdr:rowOff>180975</xdr:rowOff>
    </xdr:from>
    <xdr:to>
      <xdr:col>14</xdr:col>
      <xdr:colOff>166884</xdr:colOff>
      <xdr:row>30</xdr:row>
      <xdr:rowOff>19050</xdr:rowOff>
    </xdr:to>
    <xdr:pic>
      <xdr:nvPicPr>
        <xdr:cNvPr id="24" name="Picture 23" descr="%e6%96%b0%e7%89%88%e6%a3%8b%e5%8d%a1-%e5%88%86%e9%a0%81-13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72299" y="2847975"/>
          <a:ext cx="1728985" cy="2886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180975</xdr:colOff>
      <xdr:row>15</xdr:row>
      <xdr:rowOff>0</xdr:rowOff>
    </xdr:from>
    <xdr:to>
      <xdr:col>17</xdr:col>
      <xdr:colOff>52629</xdr:colOff>
      <xdr:row>29</xdr:row>
      <xdr:rowOff>171450</xdr:rowOff>
    </xdr:to>
    <xdr:pic>
      <xdr:nvPicPr>
        <xdr:cNvPr id="25" name="Picture 24" descr="%e6%96%b0%e7%89%88%e6%a3%8b%e5%8d%a1-%e5%88%86%e9%a0%81-14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15375" y="2857500"/>
          <a:ext cx="1700454" cy="283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15</xdr:row>
      <xdr:rowOff>9525</xdr:rowOff>
    </xdr:from>
    <xdr:to>
      <xdr:col>19</xdr:col>
      <xdr:colOff>551748</xdr:colOff>
      <xdr:row>29</xdr:row>
      <xdr:rowOff>171450</xdr:rowOff>
    </xdr:to>
    <xdr:pic>
      <xdr:nvPicPr>
        <xdr:cNvPr id="26" name="Picture 25" descr="%e6%96%b0%e7%89%88%e6%a3%8b%e5%8d%a1-%e5%88%86%e9%a0%81-15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39400" y="2867025"/>
          <a:ext cx="1694748" cy="2828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180975</xdr:rowOff>
    </xdr:from>
    <xdr:to>
      <xdr:col>1</xdr:col>
      <xdr:colOff>152400</xdr:colOff>
      <xdr:row>3</xdr:row>
      <xdr:rowOff>180975</xdr:rowOff>
    </xdr:to>
    <xdr:sp macro="[0]!Oval1_Click" textlink="">
      <xdr:nvSpPr>
        <xdr:cNvPr id="2" name="Oval 1"/>
        <xdr:cNvSpPr/>
      </xdr:nvSpPr>
      <xdr:spPr>
        <a:xfrm>
          <a:off x="381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</xdr:row>
      <xdr:rowOff>180975</xdr:rowOff>
    </xdr:from>
    <xdr:to>
      <xdr:col>3</xdr:col>
      <xdr:colOff>457200</xdr:colOff>
      <xdr:row>3</xdr:row>
      <xdr:rowOff>180975</xdr:rowOff>
    </xdr:to>
    <xdr:sp macro="[0]!Oval5_Click" textlink="">
      <xdr:nvSpPr>
        <xdr:cNvPr id="6" name="Oval 5"/>
        <xdr:cNvSpPr/>
      </xdr:nvSpPr>
      <xdr:spPr>
        <a:xfrm>
          <a:off x="1905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</xdr:row>
      <xdr:rowOff>180975</xdr:rowOff>
    </xdr:from>
    <xdr:to>
      <xdr:col>4</xdr:col>
      <xdr:colOff>228600</xdr:colOff>
      <xdr:row>3</xdr:row>
      <xdr:rowOff>180975</xdr:rowOff>
    </xdr:to>
    <xdr:sp macro="[0]!Oval6_Click" textlink="">
      <xdr:nvSpPr>
        <xdr:cNvPr id="7" name="Oval 6"/>
        <xdr:cNvSpPr/>
      </xdr:nvSpPr>
      <xdr:spPr>
        <a:xfrm>
          <a:off x="2286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</xdr:row>
      <xdr:rowOff>180975</xdr:rowOff>
    </xdr:from>
    <xdr:to>
      <xdr:col>5</xdr:col>
      <xdr:colOff>0</xdr:colOff>
      <xdr:row>3</xdr:row>
      <xdr:rowOff>180975</xdr:rowOff>
    </xdr:to>
    <xdr:sp macro="[0]!Oval7_Click" textlink="">
      <xdr:nvSpPr>
        <xdr:cNvPr id="8" name="Oval 7"/>
        <xdr:cNvSpPr/>
      </xdr:nvSpPr>
      <xdr:spPr>
        <a:xfrm>
          <a:off x="2667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</xdr:row>
      <xdr:rowOff>180975</xdr:rowOff>
    </xdr:from>
    <xdr:to>
      <xdr:col>5</xdr:col>
      <xdr:colOff>381000</xdr:colOff>
      <xdr:row>3</xdr:row>
      <xdr:rowOff>180975</xdr:rowOff>
    </xdr:to>
    <xdr:sp macro="[0]!Oval8_Click" textlink="">
      <xdr:nvSpPr>
        <xdr:cNvPr id="9" name="Oval 8"/>
        <xdr:cNvSpPr/>
      </xdr:nvSpPr>
      <xdr:spPr>
        <a:xfrm>
          <a:off x="3048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</xdr:row>
      <xdr:rowOff>180975</xdr:rowOff>
    </xdr:from>
    <xdr:to>
      <xdr:col>6</xdr:col>
      <xdr:colOff>152400</xdr:colOff>
      <xdr:row>3</xdr:row>
      <xdr:rowOff>180975</xdr:rowOff>
    </xdr:to>
    <xdr:sp macro="[0]!Oval9_Click" textlink="">
      <xdr:nvSpPr>
        <xdr:cNvPr id="10" name="Oval 9"/>
        <xdr:cNvSpPr/>
      </xdr:nvSpPr>
      <xdr:spPr>
        <a:xfrm>
          <a:off x="3429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</xdr:row>
      <xdr:rowOff>180975</xdr:rowOff>
    </xdr:from>
    <xdr:to>
      <xdr:col>6</xdr:col>
      <xdr:colOff>533400</xdr:colOff>
      <xdr:row>3</xdr:row>
      <xdr:rowOff>180975</xdr:rowOff>
    </xdr:to>
    <xdr:sp macro="[0]!Oval10_Click" textlink="">
      <xdr:nvSpPr>
        <xdr:cNvPr id="11" name="Oval 10"/>
        <xdr:cNvSpPr/>
      </xdr:nvSpPr>
      <xdr:spPr>
        <a:xfrm>
          <a:off x="3810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</xdr:row>
      <xdr:rowOff>180975</xdr:rowOff>
    </xdr:from>
    <xdr:to>
      <xdr:col>7</xdr:col>
      <xdr:colOff>304800</xdr:colOff>
      <xdr:row>3</xdr:row>
      <xdr:rowOff>180975</xdr:rowOff>
    </xdr:to>
    <xdr:sp macro="[0]!Oval11_Click" textlink="">
      <xdr:nvSpPr>
        <xdr:cNvPr id="12" name="Oval 11"/>
        <xdr:cNvSpPr/>
      </xdr:nvSpPr>
      <xdr:spPr>
        <a:xfrm>
          <a:off x="4191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</xdr:row>
      <xdr:rowOff>180975</xdr:rowOff>
    </xdr:from>
    <xdr:to>
      <xdr:col>8</xdr:col>
      <xdr:colOff>76200</xdr:colOff>
      <xdr:row>3</xdr:row>
      <xdr:rowOff>180975</xdr:rowOff>
    </xdr:to>
    <xdr:sp macro="[0]!Oval12_Click" textlink="">
      <xdr:nvSpPr>
        <xdr:cNvPr id="13" name="Oval 12"/>
        <xdr:cNvSpPr/>
      </xdr:nvSpPr>
      <xdr:spPr>
        <a:xfrm>
          <a:off x="4572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</xdr:row>
      <xdr:rowOff>180975</xdr:rowOff>
    </xdr:from>
    <xdr:to>
      <xdr:col>8</xdr:col>
      <xdr:colOff>457200</xdr:colOff>
      <xdr:row>3</xdr:row>
      <xdr:rowOff>180975</xdr:rowOff>
    </xdr:to>
    <xdr:sp macro="[0]!Oval13_Click" textlink="">
      <xdr:nvSpPr>
        <xdr:cNvPr id="14" name="Oval 13"/>
        <xdr:cNvSpPr/>
      </xdr:nvSpPr>
      <xdr:spPr>
        <a:xfrm>
          <a:off x="4953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</xdr:row>
      <xdr:rowOff>180975</xdr:rowOff>
    </xdr:from>
    <xdr:to>
      <xdr:col>9</xdr:col>
      <xdr:colOff>228600</xdr:colOff>
      <xdr:row>3</xdr:row>
      <xdr:rowOff>180975</xdr:rowOff>
    </xdr:to>
    <xdr:sp macro="[0]!Oval14_Click" textlink="">
      <xdr:nvSpPr>
        <xdr:cNvPr id="15" name="Oval 14"/>
        <xdr:cNvSpPr/>
      </xdr:nvSpPr>
      <xdr:spPr>
        <a:xfrm>
          <a:off x="5334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</xdr:row>
      <xdr:rowOff>180975</xdr:rowOff>
    </xdr:from>
    <xdr:to>
      <xdr:col>10</xdr:col>
      <xdr:colOff>0</xdr:colOff>
      <xdr:row>3</xdr:row>
      <xdr:rowOff>180975</xdr:rowOff>
    </xdr:to>
    <xdr:sp macro="[0]!Oval15_Click" textlink="">
      <xdr:nvSpPr>
        <xdr:cNvPr id="16" name="Oval 15"/>
        <xdr:cNvSpPr/>
      </xdr:nvSpPr>
      <xdr:spPr>
        <a:xfrm>
          <a:off x="5715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</xdr:row>
      <xdr:rowOff>180975</xdr:rowOff>
    </xdr:from>
    <xdr:to>
      <xdr:col>10</xdr:col>
      <xdr:colOff>381000</xdr:colOff>
      <xdr:row>3</xdr:row>
      <xdr:rowOff>180975</xdr:rowOff>
    </xdr:to>
    <xdr:sp macro="[0]!Oval16_Click" textlink="">
      <xdr:nvSpPr>
        <xdr:cNvPr id="17" name="Oval 16"/>
        <xdr:cNvSpPr/>
      </xdr:nvSpPr>
      <xdr:spPr>
        <a:xfrm>
          <a:off x="6096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3</xdr:row>
      <xdr:rowOff>180975</xdr:rowOff>
    </xdr:from>
    <xdr:to>
      <xdr:col>1</xdr:col>
      <xdr:colOff>152400</xdr:colOff>
      <xdr:row>5</xdr:row>
      <xdr:rowOff>180975</xdr:rowOff>
    </xdr:to>
    <xdr:sp macro="[0]!Oval17_Click" textlink="">
      <xdr:nvSpPr>
        <xdr:cNvPr id="18" name="Oval 17"/>
        <xdr:cNvSpPr/>
      </xdr:nvSpPr>
      <xdr:spPr>
        <a:xfrm>
          <a:off x="381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</xdr:row>
      <xdr:rowOff>180975</xdr:rowOff>
    </xdr:from>
    <xdr:to>
      <xdr:col>1</xdr:col>
      <xdr:colOff>533400</xdr:colOff>
      <xdr:row>5</xdr:row>
      <xdr:rowOff>180975</xdr:rowOff>
    </xdr:to>
    <xdr:sp macro="[0]!Oval18_Click" textlink="">
      <xdr:nvSpPr>
        <xdr:cNvPr id="19" name="Oval 18"/>
        <xdr:cNvSpPr/>
      </xdr:nvSpPr>
      <xdr:spPr>
        <a:xfrm>
          <a:off x="762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3</xdr:row>
      <xdr:rowOff>180975</xdr:rowOff>
    </xdr:from>
    <xdr:to>
      <xdr:col>2</xdr:col>
      <xdr:colOff>304800</xdr:colOff>
      <xdr:row>5</xdr:row>
      <xdr:rowOff>180975</xdr:rowOff>
    </xdr:to>
    <xdr:sp macro="[0]!Oval19_Click" textlink="">
      <xdr:nvSpPr>
        <xdr:cNvPr id="20" name="Oval 19"/>
        <xdr:cNvSpPr/>
      </xdr:nvSpPr>
      <xdr:spPr>
        <a:xfrm>
          <a:off x="1143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</xdr:row>
      <xdr:rowOff>180975</xdr:rowOff>
    </xdr:from>
    <xdr:to>
      <xdr:col>3</xdr:col>
      <xdr:colOff>76200</xdr:colOff>
      <xdr:row>5</xdr:row>
      <xdr:rowOff>180975</xdr:rowOff>
    </xdr:to>
    <xdr:sp macro="[0]!Oval20_Click" textlink="">
      <xdr:nvSpPr>
        <xdr:cNvPr id="21" name="Oval 20"/>
        <xdr:cNvSpPr/>
      </xdr:nvSpPr>
      <xdr:spPr>
        <a:xfrm>
          <a:off x="1524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</xdr:row>
      <xdr:rowOff>180975</xdr:rowOff>
    </xdr:from>
    <xdr:to>
      <xdr:col>3</xdr:col>
      <xdr:colOff>457200</xdr:colOff>
      <xdr:row>5</xdr:row>
      <xdr:rowOff>180975</xdr:rowOff>
    </xdr:to>
    <xdr:sp macro="[0]!Oval21_Click" textlink="">
      <xdr:nvSpPr>
        <xdr:cNvPr id="22" name="Oval 21"/>
        <xdr:cNvSpPr/>
      </xdr:nvSpPr>
      <xdr:spPr>
        <a:xfrm>
          <a:off x="1905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</xdr:row>
      <xdr:rowOff>180975</xdr:rowOff>
    </xdr:from>
    <xdr:to>
      <xdr:col>4</xdr:col>
      <xdr:colOff>228600</xdr:colOff>
      <xdr:row>5</xdr:row>
      <xdr:rowOff>180975</xdr:rowOff>
    </xdr:to>
    <xdr:sp macro="[0]!Oval22_Click" textlink="">
      <xdr:nvSpPr>
        <xdr:cNvPr id="23" name="Oval 22"/>
        <xdr:cNvSpPr/>
      </xdr:nvSpPr>
      <xdr:spPr>
        <a:xfrm>
          <a:off x="2286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</xdr:row>
      <xdr:rowOff>180975</xdr:rowOff>
    </xdr:from>
    <xdr:to>
      <xdr:col>5</xdr:col>
      <xdr:colOff>0</xdr:colOff>
      <xdr:row>5</xdr:row>
      <xdr:rowOff>180975</xdr:rowOff>
    </xdr:to>
    <xdr:sp macro="[0]!Oval23_Click" textlink="">
      <xdr:nvSpPr>
        <xdr:cNvPr id="24" name="Oval 23"/>
        <xdr:cNvSpPr/>
      </xdr:nvSpPr>
      <xdr:spPr>
        <a:xfrm>
          <a:off x="2667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</xdr:row>
      <xdr:rowOff>180975</xdr:rowOff>
    </xdr:from>
    <xdr:to>
      <xdr:col>5</xdr:col>
      <xdr:colOff>381000</xdr:colOff>
      <xdr:row>5</xdr:row>
      <xdr:rowOff>180975</xdr:rowOff>
    </xdr:to>
    <xdr:sp macro="[0]!Oval24_Click" textlink="">
      <xdr:nvSpPr>
        <xdr:cNvPr id="25" name="Oval 24"/>
        <xdr:cNvSpPr/>
      </xdr:nvSpPr>
      <xdr:spPr>
        <a:xfrm>
          <a:off x="3048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3</xdr:row>
      <xdr:rowOff>180975</xdr:rowOff>
    </xdr:from>
    <xdr:to>
      <xdr:col>6</xdr:col>
      <xdr:colOff>152400</xdr:colOff>
      <xdr:row>5</xdr:row>
      <xdr:rowOff>180975</xdr:rowOff>
    </xdr:to>
    <xdr:sp macro="[0]!Oval25_Click" textlink="">
      <xdr:nvSpPr>
        <xdr:cNvPr id="26" name="Oval 25"/>
        <xdr:cNvSpPr/>
      </xdr:nvSpPr>
      <xdr:spPr>
        <a:xfrm>
          <a:off x="3429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</xdr:row>
      <xdr:rowOff>180975</xdr:rowOff>
    </xdr:from>
    <xdr:to>
      <xdr:col>6</xdr:col>
      <xdr:colOff>533400</xdr:colOff>
      <xdr:row>5</xdr:row>
      <xdr:rowOff>180975</xdr:rowOff>
    </xdr:to>
    <xdr:sp macro="[0]!Oval26_Click" textlink="">
      <xdr:nvSpPr>
        <xdr:cNvPr id="27" name="Oval 26"/>
        <xdr:cNvSpPr/>
      </xdr:nvSpPr>
      <xdr:spPr>
        <a:xfrm>
          <a:off x="3810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3</xdr:row>
      <xdr:rowOff>180975</xdr:rowOff>
    </xdr:from>
    <xdr:to>
      <xdr:col>7</xdr:col>
      <xdr:colOff>304800</xdr:colOff>
      <xdr:row>5</xdr:row>
      <xdr:rowOff>180975</xdr:rowOff>
    </xdr:to>
    <xdr:sp macro="[0]!Oval27_Click" textlink="">
      <xdr:nvSpPr>
        <xdr:cNvPr id="28" name="Oval 27"/>
        <xdr:cNvSpPr/>
      </xdr:nvSpPr>
      <xdr:spPr>
        <a:xfrm>
          <a:off x="4191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</xdr:row>
      <xdr:rowOff>180975</xdr:rowOff>
    </xdr:from>
    <xdr:to>
      <xdr:col>8</xdr:col>
      <xdr:colOff>76200</xdr:colOff>
      <xdr:row>5</xdr:row>
      <xdr:rowOff>180975</xdr:rowOff>
    </xdr:to>
    <xdr:sp macro="[0]!Oval28_Click" textlink="">
      <xdr:nvSpPr>
        <xdr:cNvPr id="29" name="Oval 28"/>
        <xdr:cNvSpPr/>
      </xdr:nvSpPr>
      <xdr:spPr>
        <a:xfrm>
          <a:off x="4572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3</xdr:row>
      <xdr:rowOff>180975</xdr:rowOff>
    </xdr:from>
    <xdr:to>
      <xdr:col>8</xdr:col>
      <xdr:colOff>457200</xdr:colOff>
      <xdr:row>5</xdr:row>
      <xdr:rowOff>180975</xdr:rowOff>
    </xdr:to>
    <xdr:sp macro="[0]!Oval29_Click" textlink="">
      <xdr:nvSpPr>
        <xdr:cNvPr id="30" name="Oval 29"/>
        <xdr:cNvSpPr/>
      </xdr:nvSpPr>
      <xdr:spPr>
        <a:xfrm>
          <a:off x="4953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</xdr:row>
      <xdr:rowOff>180975</xdr:rowOff>
    </xdr:from>
    <xdr:to>
      <xdr:col>9</xdr:col>
      <xdr:colOff>228600</xdr:colOff>
      <xdr:row>5</xdr:row>
      <xdr:rowOff>180975</xdr:rowOff>
    </xdr:to>
    <xdr:sp macro="[0]!Oval30_Click" textlink="">
      <xdr:nvSpPr>
        <xdr:cNvPr id="31" name="Oval 30"/>
        <xdr:cNvSpPr/>
      </xdr:nvSpPr>
      <xdr:spPr>
        <a:xfrm>
          <a:off x="5334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3</xdr:row>
      <xdr:rowOff>180975</xdr:rowOff>
    </xdr:from>
    <xdr:to>
      <xdr:col>10</xdr:col>
      <xdr:colOff>0</xdr:colOff>
      <xdr:row>5</xdr:row>
      <xdr:rowOff>180975</xdr:rowOff>
    </xdr:to>
    <xdr:sp macro="[0]!Oval31_Click" textlink="">
      <xdr:nvSpPr>
        <xdr:cNvPr id="34" name="Oval 31"/>
        <xdr:cNvSpPr/>
      </xdr:nvSpPr>
      <xdr:spPr>
        <a:xfrm>
          <a:off x="5715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</xdr:row>
      <xdr:rowOff>180975</xdr:rowOff>
    </xdr:from>
    <xdr:to>
      <xdr:col>10</xdr:col>
      <xdr:colOff>381000</xdr:colOff>
      <xdr:row>5</xdr:row>
      <xdr:rowOff>180975</xdr:rowOff>
    </xdr:to>
    <xdr:sp macro="[0]!Oval32_Click" textlink="">
      <xdr:nvSpPr>
        <xdr:cNvPr id="35" name="Oval 32"/>
        <xdr:cNvSpPr/>
      </xdr:nvSpPr>
      <xdr:spPr>
        <a:xfrm>
          <a:off x="6096000" y="762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</xdr:row>
      <xdr:rowOff>180975</xdr:rowOff>
    </xdr:from>
    <xdr:to>
      <xdr:col>1</xdr:col>
      <xdr:colOff>533400</xdr:colOff>
      <xdr:row>3</xdr:row>
      <xdr:rowOff>180975</xdr:rowOff>
    </xdr:to>
    <xdr:sp macro="[0]!Oval2_Click" textlink="">
      <xdr:nvSpPr>
        <xdr:cNvPr id="36" name="Oval 2"/>
        <xdr:cNvSpPr/>
      </xdr:nvSpPr>
      <xdr:spPr>
        <a:xfrm>
          <a:off x="762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</xdr:row>
      <xdr:rowOff>180975</xdr:rowOff>
    </xdr:from>
    <xdr:to>
      <xdr:col>2</xdr:col>
      <xdr:colOff>304800</xdr:colOff>
      <xdr:row>3</xdr:row>
      <xdr:rowOff>180975</xdr:rowOff>
    </xdr:to>
    <xdr:sp macro="[0]!Oval3_Click" textlink="">
      <xdr:nvSpPr>
        <xdr:cNvPr id="37" name="Oval 3"/>
        <xdr:cNvSpPr/>
      </xdr:nvSpPr>
      <xdr:spPr>
        <a:xfrm>
          <a:off x="1143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</xdr:row>
      <xdr:rowOff>180975</xdr:rowOff>
    </xdr:from>
    <xdr:to>
      <xdr:col>3</xdr:col>
      <xdr:colOff>76200</xdr:colOff>
      <xdr:row>3</xdr:row>
      <xdr:rowOff>180975</xdr:rowOff>
    </xdr:to>
    <xdr:sp macro="[0]!Oval4_Click" textlink="">
      <xdr:nvSpPr>
        <xdr:cNvPr id="38" name="Oval 4"/>
        <xdr:cNvSpPr/>
      </xdr:nvSpPr>
      <xdr:spPr>
        <a:xfrm>
          <a:off x="1524000" y="381000"/>
          <a:ext cx="381000" cy="381000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390524</xdr:colOff>
      <xdr:row>6</xdr:row>
      <xdr:rowOff>57150</xdr:rowOff>
    </xdr:from>
    <xdr:to>
      <xdr:col>2</xdr:col>
      <xdr:colOff>557892</xdr:colOff>
      <xdr:row>9</xdr:row>
      <xdr:rowOff>28575</xdr:rowOff>
    </xdr:to>
    <xdr:sp macro="[0]!Reset" textlink="">
      <xdr:nvSpPr>
        <xdr:cNvPr id="39" name="Rounded Rectangle 38"/>
        <xdr:cNvSpPr/>
      </xdr:nvSpPr>
      <xdr:spPr>
        <a:xfrm>
          <a:off x="390524" y="1200150"/>
          <a:ext cx="1392011" cy="5429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重新洗牌</a:t>
          </a:r>
          <a:endParaRPr lang="en-US" sz="1100"/>
        </a:p>
      </xdr:txBody>
    </xdr:sp>
    <xdr:clientData/>
  </xdr:twoCellAnchor>
  <xdr:twoCellAnchor editAs="oneCell">
    <xdr:from>
      <xdr:col>0</xdr:col>
      <xdr:colOff>17316</xdr:colOff>
      <xdr:row>18</xdr:row>
      <xdr:rowOff>17318</xdr:rowOff>
    </xdr:from>
    <xdr:to>
      <xdr:col>6</xdr:col>
      <xdr:colOff>283577</xdr:colOff>
      <xdr:row>25</xdr:row>
      <xdr:rowOff>0</xdr:rowOff>
    </xdr:to>
    <xdr:pic>
      <xdr:nvPicPr>
        <xdr:cNvPr id="42" name="Picture 41" descr="Image result for chinese ches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6" y="3454977"/>
          <a:ext cx="3903079" cy="1316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17318</xdr:rowOff>
    </xdr:from>
    <xdr:to>
      <xdr:col>2</xdr:col>
      <xdr:colOff>502227</xdr:colOff>
      <xdr:row>18</xdr:row>
      <xdr:rowOff>25671</xdr:rowOff>
    </xdr:to>
    <xdr:pic>
      <xdr:nvPicPr>
        <xdr:cNvPr id="43" name="Picture 42" descr="Image result for 象棋占卜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40477"/>
          <a:ext cx="1714500" cy="1722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206028</xdr:colOff>
      <xdr:row>8</xdr:row>
      <xdr:rowOff>193606</xdr:rowOff>
    </xdr:from>
    <xdr:ext cx="800219" cy="1760225"/>
    <xdr:sp macro="" textlink="">
      <xdr:nvSpPr>
        <xdr:cNvPr id="44" name="Rectangle 43"/>
        <xdr:cNvSpPr/>
      </xdr:nvSpPr>
      <xdr:spPr>
        <a:xfrm>
          <a:off x="1418301" y="1717606"/>
          <a:ext cx="800219" cy="1760225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zh-CN" altLang="en-US" sz="4800" b="1" cap="none" spc="0">
              <a:ln/>
              <a:solidFill>
                <a:schemeClr val="accent4"/>
              </a:solidFill>
              <a:effectLst/>
            </a:rPr>
            <a:t>占</a:t>
          </a:r>
          <a:endParaRPr lang="en-US" altLang="zh-CN" sz="4800" b="1" cap="none" spc="0">
            <a:ln/>
            <a:solidFill>
              <a:schemeClr val="accent4"/>
            </a:solidFill>
            <a:effectLst/>
          </a:endParaRPr>
        </a:p>
        <a:p>
          <a:pPr algn="ctr"/>
          <a:r>
            <a:rPr lang="zh-CN" altLang="en-US" sz="4800" b="1" cap="none" spc="0">
              <a:ln/>
              <a:solidFill>
                <a:schemeClr val="accent4"/>
              </a:solidFill>
              <a:effectLst/>
            </a:rPr>
            <a:t>卜</a:t>
          </a:r>
          <a:endParaRPr lang="en-US" sz="4800" b="1" cap="none" spc="0">
            <a:ln/>
            <a:solidFill>
              <a:schemeClr val="accent4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11</xdr:row>
          <xdr:rowOff>19050</xdr:rowOff>
        </xdr:from>
        <xdr:to>
          <xdr:col>11</xdr:col>
          <xdr:colOff>19050</xdr:colOff>
          <xdr:row>13</xdr:row>
          <xdr:rowOff>9525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181840</xdr:colOff>
      <xdr:row>12</xdr:row>
      <xdr:rowOff>190499</xdr:rowOff>
    </xdr:from>
    <xdr:to>
      <xdr:col>10</xdr:col>
      <xdr:colOff>441612</xdr:colOff>
      <xdr:row>13</xdr:row>
      <xdr:rowOff>147205</xdr:rowOff>
    </xdr:to>
    <xdr:sp macro="" textlink="">
      <xdr:nvSpPr>
        <xdr:cNvPr id="45" name="Rectangle 44"/>
        <xdr:cNvSpPr/>
      </xdr:nvSpPr>
      <xdr:spPr>
        <a:xfrm>
          <a:off x="5030931" y="2692976"/>
          <a:ext cx="1472045" cy="147206"/>
        </a:xfrm>
        <a:prstGeom prst="rect">
          <a:avLst/>
        </a:prstGeom>
        <a:gradFill>
          <a:gsLst>
            <a:gs pos="0">
              <a:schemeClr val="tx1"/>
            </a:gs>
            <a:gs pos="40000">
              <a:schemeClr val="bg1">
                <a:lumMod val="85000"/>
              </a:schemeClr>
            </a:gs>
            <a:gs pos="51000">
              <a:srgbClr val="FF0000"/>
            </a:gs>
            <a:gs pos="100000">
              <a:srgbClr val="FF0000"/>
            </a:gs>
          </a:gsLst>
          <a:lin ang="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11</xdr:row>
          <xdr:rowOff>38100</xdr:rowOff>
        </xdr:from>
        <xdr:to>
          <xdr:col>14</xdr:col>
          <xdr:colOff>600075</xdr:colOff>
          <xdr:row>13</xdr:row>
          <xdr:rowOff>9525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319521</xdr:colOff>
      <xdr:row>13</xdr:row>
      <xdr:rowOff>19050</xdr:rowOff>
    </xdr:from>
    <xdr:to>
      <xdr:col>14</xdr:col>
      <xdr:colOff>284884</xdr:colOff>
      <xdr:row>13</xdr:row>
      <xdr:rowOff>183573</xdr:rowOff>
    </xdr:to>
    <xdr:sp macro="" textlink="">
      <xdr:nvSpPr>
        <xdr:cNvPr id="48" name="Rectangle 47"/>
        <xdr:cNvSpPr/>
      </xdr:nvSpPr>
      <xdr:spPr>
        <a:xfrm>
          <a:off x="7634721" y="2514600"/>
          <a:ext cx="1184563" cy="164523"/>
        </a:xfrm>
        <a:prstGeom prst="rect">
          <a:avLst/>
        </a:prstGeom>
        <a:gradFill>
          <a:gsLst>
            <a:gs pos="0">
              <a:schemeClr val="bg1">
                <a:lumMod val="95000"/>
              </a:schemeClr>
            </a:gs>
            <a:gs pos="41000">
              <a:schemeClr val="accent6">
                <a:lumMod val="60000"/>
                <a:lumOff val="40000"/>
              </a:schemeClr>
            </a:gs>
            <a:gs pos="51000">
              <a:srgbClr val="92D050"/>
            </a:gs>
            <a:gs pos="100000">
              <a:srgbClr val="92D050"/>
            </a:gs>
          </a:gsLst>
          <a:lin ang="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8</xdr:row>
      <xdr:rowOff>66675</xdr:rowOff>
    </xdr:from>
    <xdr:to>
      <xdr:col>7</xdr:col>
      <xdr:colOff>109537</xdr:colOff>
      <xdr:row>18</xdr:row>
      <xdr:rowOff>104775</xdr:rowOff>
    </xdr:to>
    <xdr:grpSp>
      <xdr:nvGrpSpPr>
        <xdr:cNvPr id="49" name="Group 48"/>
        <xdr:cNvGrpSpPr/>
      </xdr:nvGrpSpPr>
      <xdr:grpSpPr>
        <a:xfrm>
          <a:off x="2362200" y="1609725"/>
          <a:ext cx="2014537" cy="1943100"/>
          <a:chOff x="2362200" y="1609725"/>
          <a:chExt cx="2014537" cy="1943100"/>
        </a:xfrm>
      </xdr:grpSpPr>
      <xdr:sp macro="" textlink="">
        <xdr:nvSpPr>
          <xdr:cNvPr id="50" name="Oval 49"/>
          <xdr:cNvSpPr/>
        </xdr:nvSpPr>
        <xdr:spPr>
          <a:xfrm>
            <a:off x="2978943" y="2195513"/>
            <a:ext cx="781050" cy="771525"/>
          </a:xfrm>
          <a:prstGeom prst="ellipse">
            <a:avLst/>
          </a:prstGeom>
          <a:noFill/>
          <a:ln w="57150">
            <a:solidFill>
              <a:schemeClr val="accent4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7" name="Group 46"/>
          <xdr:cNvGrpSpPr/>
        </xdr:nvGrpSpPr>
        <xdr:grpSpPr>
          <a:xfrm>
            <a:off x="2362200" y="1609725"/>
            <a:ext cx="2014537" cy="1943100"/>
            <a:chOff x="2362200" y="1609725"/>
            <a:chExt cx="2014537" cy="1943100"/>
          </a:xfrm>
        </xdr:grpSpPr>
        <xdr:sp macro="" textlink="">
          <xdr:nvSpPr>
            <xdr:cNvPr id="46" name="Oval 45"/>
            <xdr:cNvSpPr/>
          </xdr:nvSpPr>
          <xdr:spPr>
            <a:xfrm>
              <a:off x="2362200" y="1609725"/>
              <a:ext cx="781050" cy="771525"/>
            </a:xfrm>
            <a:prstGeom prst="ellipse">
              <a:avLst/>
            </a:prstGeom>
            <a:noFill/>
            <a:ln w="57150">
              <a:solidFill>
                <a:schemeClr val="accent4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1" name="Oval 50"/>
            <xdr:cNvSpPr/>
          </xdr:nvSpPr>
          <xdr:spPr>
            <a:xfrm>
              <a:off x="3595687" y="1609725"/>
              <a:ext cx="781050" cy="771525"/>
            </a:xfrm>
            <a:prstGeom prst="ellipse">
              <a:avLst/>
            </a:prstGeom>
            <a:noFill/>
            <a:ln w="57150">
              <a:solidFill>
                <a:schemeClr val="accent4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2" name="Oval 51"/>
            <xdr:cNvSpPr/>
          </xdr:nvSpPr>
          <xdr:spPr>
            <a:xfrm>
              <a:off x="2362200" y="2781300"/>
              <a:ext cx="781050" cy="771525"/>
            </a:xfrm>
            <a:prstGeom prst="ellipse">
              <a:avLst/>
            </a:prstGeom>
            <a:noFill/>
            <a:ln w="57150">
              <a:solidFill>
                <a:schemeClr val="accent4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3" name="Oval 52"/>
            <xdr:cNvSpPr/>
          </xdr:nvSpPr>
          <xdr:spPr>
            <a:xfrm>
              <a:off x="3595687" y="2781300"/>
              <a:ext cx="781050" cy="771525"/>
            </a:xfrm>
            <a:prstGeom prst="ellipse">
              <a:avLst/>
            </a:prstGeom>
            <a:noFill/>
            <a:ln w="57150">
              <a:solidFill>
                <a:schemeClr val="accent4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0</xdr:rowOff>
        </xdr:from>
        <xdr:to>
          <xdr:col>16</xdr:col>
          <xdr:colOff>38100</xdr:colOff>
          <xdr:row>2</xdr:row>
          <xdr:rowOff>9525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152400</xdr:colOff>
      <xdr:row>18</xdr:row>
      <xdr:rowOff>138967</xdr:rowOff>
    </xdr:from>
    <xdr:to>
      <xdr:col>20</xdr:col>
      <xdr:colOff>361949</xdr:colOff>
      <xdr:row>26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15600" y="3587017"/>
          <a:ext cx="2038349" cy="13850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7"/>
  <sheetViews>
    <sheetView workbookViewId="0">
      <selection activeCell="B1" sqref="B1:B14"/>
    </sheetView>
  </sheetViews>
  <sheetFormatPr defaultRowHeight="15.75"/>
  <cols>
    <col min="1" max="2" width="3.28515625" style="2" bestFit="1" customWidth="1"/>
    <col min="3" max="3" width="8.28515625" style="2" hidden="1" customWidth="1"/>
    <col min="4" max="4" width="176.7109375" style="2" customWidth="1"/>
    <col min="5" max="16384" width="9.140625" style="2"/>
  </cols>
  <sheetData>
    <row r="1" spans="1:4" ht="28.5">
      <c r="A1" s="4" t="s">
        <v>29</v>
      </c>
      <c r="B1" s="5" t="s">
        <v>28</v>
      </c>
      <c r="C1" s="1" t="s">
        <v>14</v>
      </c>
      <c r="D1" s="1" t="s">
        <v>0</v>
      </c>
    </row>
    <row r="2" spans="1:4" ht="28.5">
      <c r="A2" s="4" t="s">
        <v>29</v>
      </c>
      <c r="B2" s="5" t="s">
        <v>30</v>
      </c>
      <c r="C2" s="1" t="s">
        <v>15</v>
      </c>
      <c r="D2" s="1" t="s">
        <v>1</v>
      </c>
    </row>
    <row r="3" spans="1:4" ht="28.5">
      <c r="A3" s="4" t="s">
        <v>29</v>
      </c>
      <c r="B3" s="5" t="s">
        <v>31</v>
      </c>
      <c r="C3" s="1" t="s">
        <v>16</v>
      </c>
      <c r="D3" s="1" t="s">
        <v>2</v>
      </c>
    </row>
    <row r="4" spans="1:4" ht="28.5">
      <c r="A4" s="4" t="s">
        <v>29</v>
      </c>
      <c r="B4" s="5" t="s">
        <v>32</v>
      </c>
      <c r="C4" s="1" t="s">
        <v>17</v>
      </c>
      <c r="D4" s="1" t="s">
        <v>3</v>
      </c>
    </row>
    <row r="5" spans="1:4" ht="28.5">
      <c r="A5" s="4" t="s">
        <v>29</v>
      </c>
      <c r="B5" s="5" t="s">
        <v>33</v>
      </c>
      <c r="C5" s="1" t="s">
        <v>18</v>
      </c>
      <c r="D5" s="1" t="s">
        <v>4</v>
      </c>
    </row>
    <row r="6" spans="1:4" ht="28.5">
      <c r="A6" s="4" t="s">
        <v>29</v>
      </c>
      <c r="B6" s="5" t="s">
        <v>34</v>
      </c>
      <c r="C6" s="1" t="s">
        <v>19</v>
      </c>
      <c r="D6" s="1" t="s">
        <v>5</v>
      </c>
    </row>
    <row r="7" spans="1:4" ht="28.5">
      <c r="A7" s="4" t="s">
        <v>29</v>
      </c>
      <c r="B7" s="5" t="s">
        <v>35</v>
      </c>
      <c r="C7" s="1" t="s">
        <v>20</v>
      </c>
      <c r="D7" s="1" t="s">
        <v>6</v>
      </c>
    </row>
    <row r="8" spans="1:4" ht="28.5">
      <c r="A8" s="2" t="s">
        <v>36</v>
      </c>
      <c r="B8" s="6" t="s">
        <v>37</v>
      </c>
      <c r="C8" s="1" t="s">
        <v>21</v>
      </c>
      <c r="D8" s="1" t="s">
        <v>7</v>
      </c>
    </row>
    <row r="9" spans="1:4" ht="28.5">
      <c r="A9" s="2" t="s">
        <v>36</v>
      </c>
      <c r="B9" s="6" t="s">
        <v>38</v>
      </c>
      <c r="C9" s="1" t="s">
        <v>22</v>
      </c>
      <c r="D9" s="1" t="s">
        <v>8</v>
      </c>
    </row>
    <row r="10" spans="1:4" ht="28.5">
      <c r="A10" s="2" t="s">
        <v>36</v>
      </c>
      <c r="B10" s="6" t="s">
        <v>39</v>
      </c>
      <c r="C10" s="1" t="s">
        <v>23</v>
      </c>
      <c r="D10" s="1" t="s">
        <v>9</v>
      </c>
    </row>
    <row r="11" spans="1:4" ht="28.5">
      <c r="A11" s="2" t="s">
        <v>36</v>
      </c>
      <c r="B11" s="6" t="s">
        <v>40</v>
      </c>
      <c r="C11" s="1" t="s">
        <v>24</v>
      </c>
      <c r="D11" s="1" t="s">
        <v>10</v>
      </c>
    </row>
    <row r="12" spans="1:4" ht="28.5">
      <c r="A12" s="2" t="s">
        <v>36</v>
      </c>
      <c r="B12" s="6" t="s">
        <v>41</v>
      </c>
      <c r="C12" s="1" t="s">
        <v>25</v>
      </c>
      <c r="D12" s="1" t="s">
        <v>11</v>
      </c>
    </row>
    <row r="13" spans="1:4" ht="28.5">
      <c r="A13" s="2" t="s">
        <v>36</v>
      </c>
      <c r="B13" s="6" t="s">
        <v>42</v>
      </c>
      <c r="C13" s="1" t="s">
        <v>26</v>
      </c>
      <c r="D13" s="1" t="s">
        <v>12</v>
      </c>
    </row>
    <row r="14" spans="1:4" ht="28.5">
      <c r="A14" s="2" t="s">
        <v>36</v>
      </c>
      <c r="B14" s="6" t="s">
        <v>43</v>
      </c>
      <c r="C14" s="1" t="s">
        <v>27</v>
      </c>
      <c r="D14" s="1" t="s">
        <v>13</v>
      </c>
    </row>
    <row r="15" spans="1:4">
      <c r="C15" s="3"/>
    </row>
    <row r="18" spans="3:3">
      <c r="C18" s="3"/>
    </row>
    <row r="19" spans="3:3">
      <c r="C19" s="3"/>
    </row>
    <row r="22" spans="3:3">
      <c r="C22" s="3"/>
    </row>
    <row r="23" spans="3:3">
      <c r="C23" s="3"/>
    </row>
    <row r="26" spans="3:3">
      <c r="C26" s="3"/>
    </row>
    <row r="27" spans="3:3">
      <c r="C27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7:L18"/>
  <sheetViews>
    <sheetView workbookViewId="0">
      <selection activeCell="U25" sqref="U25"/>
    </sheetView>
  </sheetViews>
  <sheetFormatPr defaultRowHeight="15"/>
  <sheetData>
    <row r="7" spans="8:12">
      <c r="H7" s="16"/>
    </row>
    <row r="16" spans="8:12">
      <c r="L16" s="16" t="s">
        <v>208</v>
      </c>
    </row>
    <row r="18" spans="5:5">
      <c r="E18" s="16" t="s">
        <v>207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72"/>
  <sheetViews>
    <sheetView topLeftCell="A43" zoomScale="78" zoomScaleNormal="78" workbookViewId="0">
      <selection activeCell="Q72" sqref="Q72"/>
    </sheetView>
  </sheetViews>
  <sheetFormatPr defaultRowHeight="15"/>
  <cols>
    <col min="6" max="6" width="10" bestFit="1" customWidth="1"/>
    <col min="27" max="27" width="86" customWidth="1"/>
    <col min="28" max="28" width="78.28515625" customWidth="1"/>
    <col min="29" max="42" width="95.42578125" customWidth="1"/>
  </cols>
  <sheetData>
    <row r="1" spans="1:40" ht="15.75">
      <c r="A1" s="5" t="s">
        <v>28</v>
      </c>
      <c r="B1">
        <v>3</v>
      </c>
      <c r="D1" t="s">
        <v>28</v>
      </c>
      <c r="E1">
        <v>7</v>
      </c>
      <c r="F1" t="s">
        <v>209</v>
      </c>
      <c r="G1">
        <v>1</v>
      </c>
      <c r="H1" t="s">
        <v>39</v>
      </c>
      <c r="I1">
        <v>29</v>
      </c>
      <c r="J1">
        <v>1</v>
      </c>
      <c r="K1">
        <v>23</v>
      </c>
      <c r="L1">
        <v>1</v>
      </c>
      <c r="M1" t="str">
        <f>INDEX(Explain!D1:D14,MATCH(INDEX(Data!A1:A32,Data!K1),Explain!B1:B14,0))</f>
        <v>目前运气很好而有收获，赢得许多战利品。储存很多金钱，或者收藏珍贵物资。目前非常丰盛富足，有能力买名牌包。关于所询问项目，可能会有飞跃的进展，甚至可以一举成功。</v>
      </c>
      <c r="T1" t="s">
        <v>44</v>
      </c>
    </row>
    <row r="2" spans="1:40" ht="15.75">
      <c r="A2" s="5" t="s">
        <v>30</v>
      </c>
      <c r="B2">
        <v>3</v>
      </c>
      <c r="D2" t="s">
        <v>30</v>
      </c>
      <c r="E2">
        <v>6</v>
      </c>
      <c r="F2" t="s">
        <v>210</v>
      </c>
      <c r="G2">
        <v>2</v>
      </c>
      <c r="H2" t="s">
        <v>34</v>
      </c>
      <c r="I2">
        <v>11</v>
      </c>
      <c r="J2">
        <v>3</v>
      </c>
      <c r="K2">
        <v>9</v>
      </c>
      <c r="L2">
        <v>3</v>
      </c>
      <c r="M2">
        <f>INDEX(E$1:E$14,MATCH(INDEX(A$1:A$32,K2),D$1:D$14,0))</f>
        <v>3</v>
      </c>
      <c r="N2" t="str">
        <f>IF(L2=L$1,M2,"")</f>
        <v/>
      </c>
      <c r="O2">
        <f>IF(L2&lt;&gt;L$1,M2,"")</f>
        <v>3</v>
      </c>
      <c r="T2" t="s">
        <v>47</v>
      </c>
      <c r="V2" t="s">
        <v>367</v>
      </c>
      <c r="AA2" s="15" t="s">
        <v>81</v>
      </c>
      <c r="AB2" s="12" t="s">
        <v>56</v>
      </c>
      <c r="AC2" s="12" t="s">
        <v>102</v>
      </c>
      <c r="AD2" s="12" t="s">
        <v>123</v>
      </c>
      <c r="AE2" s="12" t="s">
        <v>144</v>
      </c>
      <c r="AF2" s="12" t="s">
        <v>165</v>
      </c>
      <c r="AG2" s="12" t="s">
        <v>186</v>
      </c>
      <c r="AH2" s="12" t="s">
        <v>223</v>
      </c>
      <c r="AI2" s="12" t="s">
        <v>244</v>
      </c>
      <c r="AJ2" s="12" t="s">
        <v>265</v>
      </c>
      <c r="AK2" s="12" t="s">
        <v>286</v>
      </c>
      <c r="AL2" s="12" t="s">
        <v>307</v>
      </c>
      <c r="AM2" s="12" t="s">
        <v>328</v>
      </c>
      <c r="AN2" s="12" t="s">
        <v>350</v>
      </c>
    </row>
    <row r="3" spans="1:40" ht="15.75">
      <c r="A3" s="5" t="s">
        <v>30</v>
      </c>
      <c r="B3">
        <v>3</v>
      </c>
      <c r="D3" t="s">
        <v>31</v>
      </c>
      <c r="E3">
        <v>5</v>
      </c>
      <c r="F3" t="s">
        <v>211</v>
      </c>
      <c r="G3">
        <v>3</v>
      </c>
      <c r="H3" t="s">
        <v>43</v>
      </c>
      <c r="I3">
        <v>18</v>
      </c>
      <c r="J3">
        <v>1</v>
      </c>
      <c r="K3">
        <v>10</v>
      </c>
      <c r="L3">
        <v>3</v>
      </c>
      <c r="M3">
        <f>INDEX(E$1:E$14,MATCH(INDEX(A$1:A$32,K3),D$1:D$14,0))</f>
        <v>2</v>
      </c>
      <c r="N3" t="str">
        <f>IF(L3=L$1,M3,"")</f>
        <v/>
      </c>
      <c r="O3">
        <f>IF(L3&lt;&gt;L$1,M3,"")</f>
        <v>2</v>
      </c>
      <c r="T3" t="s">
        <v>48</v>
      </c>
      <c r="V3" t="s">
        <v>368</v>
      </c>
    </row>
    <row r="4" spans="1:40" ht="15.75">
      <c r="A4" s="5" t="s">
        <v>31</v>
      </c>
      <c r="B4">
        <v>3</v>
      </c>
      <c r="D4" t="s">
        <v>32</v>
      </c>
      <c r="E4">
        <v>4</v>
      </c>
      <c r="F4" t="s">
        <v>212</v>
      </c>
      <c r="G4">
        <v>4</v>
      </c>
      <c r="H4" t="s">
        <v>41</v>
      </c>
      <c r="I4">
        <v>24</v>
      </c>
      <c r="J4">
        <v>1</v>
      </c>
      <c r="K4">
        <v>18</v>
      </c>
      <c r="L4">
        <v>1</v>
      </c>
      <c r="M4">
        <f>INDEX(E$1:E$14,MATCH(INDEX(A$1:A$32,K4),D$1:D$14,0))</f>
        <v>1</v>
      </c>
      <c r="N4">
        <f>IF(L4=L$1,M4,"")</f>
        <v>1</v>
      </c>
      <c r="O4" t="str">
        <f>IF(L4&lt;&gt;L$1,M4,"")</f>
        <v/>
      </c>
      <c r="T4" t="s">
        <v>45</v>
      </c>
      <c r="V4" t="s">
        <v>369</v>
      </c>
      <c r="AA4" s="12" t="s">
        <v>57</v>
      </c>
      <c r="AB4" s="12" t="s">
        <v>57</v>
      </c>
      <c r="AC4" s="12" t="s">
        <v>57</v>
      </c>
      <c r="AD4" s="12" t="s">
        <v>57</v>
      </c>
      <c r="AE4" s="12" t="s">
        <v>57</v>
      </c>
      <c r="AF4" s="12" t="s">
        <v>57</v>
      </c>
      <c r="AG4" s="12" t="s">
        <v>57</v>
      </c>
      <c r="AH4" s="12" t="s">
        <v>57</v>
      </c>
      <c r="AI4" s="12" t="s">
        <v>57</v>
      </c>
      <c r="AJ4" s="12" t="s">
        <v>57</v>
      </c>
      <c r="AK4" s="12" t="s">
        <v>57</v>
      </c>
      <c r="AL4" s="12" t="s">
        <v>57</v>
      </c>
      <c r="AM4" s="12" t="s">
        <v>57</v>
      </c>
      <c r="AN4" s="12" t="s">
        <v>57</v>
      </c>
    </row>
    <row r="5" spans="1:40" ht="15.75">
      <c r="A5" s="5" t="s">
        <v>31</v>
      </c>
      <c r="B5">
        <v>3</v>
      </c>
      <c r="D5" t="s">
        <v>33</v>
      </c>
      <c r="E5">
        <v>3</v>
      </c>
      <c r="F5" t="s">
        <v>213</v>
      </c>
      <c r="G5">
        <v>5</v>
      </c>
      <c r="H5" t="s">
        <v>35</v>
      </c>
      <c r="I5">
        <v>13</v>
      </c>
      <c r="J5">
        <v>3</v>
      </c>
      <c r="K5">
        <v>8</v>
      </c>
      <c r="L5">
        <v>3</v>
      </c>
      <c r="M5">
        <f>INDEX(E$1:E$14,MATCH(INDEX(A$1:A$32,K5),D$1:D$14,0))</f>
        <v>3</v>
      </c>
      <c r="N5" t="str">
        <f>IF(L5=L$1,M5,"")</f>
        <v/>
      </c>
      <c r="O5">
        <f>IF(L5&lt;&gt;L$1,M5,"")</f>
        <v>3</v>
      </c>
      <c r="T5" t="s">
        <v>46</v>
      </c>
      <c r="V5" t="s">
        <v>370</v>
      </c>
      <c r="AA5" s="13" t="s">
        <v>82</v>
      </c>
      <c r="AB5" s="13" t="s">
        <v>58</v>
      </c>
      <c r="AC5" s="13" t="s">
        <v>103</v>
      </c>
      <c r="AD5" s="13" t="s">
        <v>124</v>
      </c>
      <c r="AE5" s="13" t="s">
        <v>145</v>
      </c>
      <c r="AF5" s="13" t="s">
        <v>166</v>
      </c>
      <c r="AG5" s="13" t="s">
        <v>187</v>
      </c>
      <c r="AH5" s="13" t="s">
        <v>224</v>
      </c>
      <c r="AI5" s="13" t="s">
        <v>245</v>
      </c>
      <c r="AJ5" s="13" t="s">
        <v>266</v>
      </c>
      <c r="AK5" s="18" t="s">
        <v>287</v>
      </c>
      <c r="AL5" s="18" t="s">
        <v>308</v>
      </c>
      <c r="AM5" s="18" t="s">
        <v>329</v>
      </c>
      <c r="AN5" s="18" t="s">
        <v>351</v>
      </c>
    </row>
    <row r="6" spans="1:40" ht="15.75">
      <c r="A6" s="5" t="s">
        <v>32</v>
      </c>
      <c r="B6">
        <v>3</v>
      </c>
      <c r="D6" t="s">
        <v>34</v>
      </c>
      <c r="E6">
        <v>2</v>
      </c>
      <c r="F6" t="s">
        <v>214</v>
      </c>
      <c r="G6">
        <v>6</v>
      </c>
      <c r="H6" t="s">
        <v>43</v>
      </c>
      <c r="I6">
        <v>19</v>
      </c>
      <c r="J6">
        <v>1</v>
      </c>
      <c r="T6" t="s">
        <v>49</v>
      </c>
      <c r="AA6" s="14" t="s">
        <v>83</v>
      </c>
      <c r="AB6" s="14" t="s">
        <v>59</v>
      </c>
      <c r="AC6" s="14" t="s">
        <v>104</v>
      </c>
      <c r="AD6" s="14" t="s">
        <v>125</v>
      </c>
      <c r="AE6" s="14" t="s">
        <v>146</v>
      </c>
      <c r="AF6" s="14" t="s">
        <v>167</v>
      </c>
      <c r="AG6" s="14" t="s">
        <v>188</v>
      </c>
      <c r="AH6" s="14" t="s">
        <v>225</v>
      </c>
      <c r="AI6" s="14" t="s">
        <v>246</v>
      </c>
      <c r="AJ6" s="14" t="s">
        <v>267</v>
      </c>
      <c r="AK6" s="14" t="s">
        <v>288</v>
      </c>
      <c r="AL6" s="14" t="s">
        <v>309</v>
      </c>
      <c r="AM6" s="14" t="s">
        <v>330</v>
      </c>
      <c r="AN6" s="14" t="s">
        <v>352</v>
      </c>
    </row>
    <row r="7" spans="1:40" ht="15.75">
      <c r="A7" s="5" t="s">
        <v>32</v>
      </c>
      <c r="B7">
        <v>3</v>
      </c>
      <c r="D7" t="s">
        <v>35</v>
      </c>
      <c r="E7">
        <v>1</v>
      </c>
      <c r="F7" t="s">
        <v>215</v>
      </c>
      <c r="G7">
        <v>7</v>
      </c>
      <c r="H7" t="s">
        <v>43</v>
      </c>
      <c r="I7">
        <v>17</v>
      </c>
      <c r="J7">
        <v>1</v>
      </c>
      <c r="L7">
        <f>SUM(L1:L5)</f>
        <v>11</v>
      </c>
      <c r="T7" t="s">
        <v>50</v>
      </c>
      <c r="AA7" s="14" t="s">
        <v>84</v>
      </c>
      <c r="AB7" s="14" t="s">
        <v>60</v>
      </c>
      <c r="AC7" s="14" t="s">
        <v>105</v>
      </c>
      <c r="AD7" s="14" t="s">
        <v>126</v>
      </c>
      <c r="AE7" s="14" t="s">
        <v>147</v>
      </c>
      <c r="AF7" s="14" t="s">
        <v>168</v>
      </c>
      <c r="AG7" s="14" t="s">
        <v>189</v>
      </c>
      <c r="AH7" s="14" t="s">
        <v>226</v>
      </c>
      <c r="AI7" s="14" t="s">
        <v>247</v>
      </c>
      <c r="AJ7" s="14" t="s">
        <v>268</v>
      </c>
      <c r="AK7" s="14" t="s">
        <v>289</v>
      </c>
      <c r="AL7" s="14" t="s">
        <v>310</v>
      </c>
      <c r="AM7" s="14" t="s">
        <v>331</v>
      </c>
      <c r="AN7" s="14" t="s">
        <v>353</v>
      </c>
    </row>
    <row r="8" spans="1:40" ht="15.75">
      <c r="A8" s="5" t="s">
        <v>33</v>
      </c>
      <c r="B8">
        <v>3</v>
      </c>
      <c r="D8" t="s">
        <v>37</v>
      </c>
      <c r="E8">
        <v>7</v>
      </c>
      <c r="F8" t="s">
        <v>216</v>
      </c>
      <c r="G8">
        <v>8</v>
      </c>
      <c r="H8" t="s">
        <v>32</v>
      </c>
      <c r="I8">
        <v>7</v>
      </c>
      <c r="J8">
        <v>3</v>
      </c>
      <c r="T8" t="str">
        <f>IF(Main!D7=0,T9,CONCATENATE(T6,INDEX(T1:T5,Main!D7),Data!T7))</f>
        <v>请选五颗棋子</v>
      </c>
      <c r="AA8" s="14" t="s">
        <v>85</v>
      </c>
      <c r="AB8" s="14" t="s">
        <v>61</v>
      </c>
      <c r="AC8" s="14" t="s">
        <v>106</v>
      </c>
      <c r="AD8" s="14" t="s">
        <v>127</v>
      </c>
      <c r="AE8" s="14" t="s">
        <v>148</v>
      </c>
      <c r="AF8" s="14" t="s">
        <v>169</v>
      </c>
      <c r="AG8" s="14" t="s">
        <v>190</v>
      </c>
      <c r="AH8" s="14" t="s">
        <v>227</v>
      </c>
      <c r="AI8" s="14" t="s">
        <v>248</v>
      </c>
      <c r="AJ8" s="14" t="s">
        <v>269</v>
      </c>
      <c r="AK8" s="14" t="s">
        <v>290</v>
      </c>
      <c r="AL8" s="14" t="s">
        <v>311</v>
      </c>
      <c r="AM8" s="14" t="s">
        <v>332</v>
      </c>
      <c r="AN8" s="14" t="s">
        <v>354</v>
      </c>
    </row>
    <row r="9" spans="1:40" ht="15.75">
      <c r="A9" s="5" t="s">
        <v>33</v>
      </c>
      <c r="B9">
        <v>3</v>
      </c>
      <c r="D9" t="s">
        <v>38</v>
      </c>
      <c r="E9">
        <v>6</v>
      </c>
      <c r="F9" t="s">
        <v>217</v>
      </c>
      <c r="G9">
        <v>9</v>
      </c>
      <c r="H9" t="s">
        <v>42</v>
      </c>
      <c r="I9">
        <v>23</v>
      </c>
      <c r="J9">
        <v>1</v>
      </c>
      <c r="L9">
        <f>L1</f>
        <v>1</v>
      </c>
      <c r="N9">
        <f>INDEX(E$1:E$14,MATCH(INDEX(A$1:A$32,K1),D$1:D$14,0))</f>
        <v>2</v>
      </c>
      <c r="T9" t="s">
        <v>51</v>
      </c>
      <c r="AA9" s="14" t="s">
        <v>86</v>
      </c>
      <c r="AB9" s="14" t="s">
        <v>62</v>
      </c>
      <c r="AC9" s="14" t="s">
        <v>107</v>
      </c>
      <c r="AD9" s="14" t="s">
        <v>128</v>
      </c>
      <c r="AE9" s="14" t="s">
        <v>149</v>
      </c>
      <c r="AF9" s="14" t="s">
        <v>170</v>
      </c>
      <c r="AG9" s="14" t="s">
        <v>191</v>
      </c>
      <c r="AH9" s="14" t="s">
        <v>228</v>
      </c>
      <c r="AI9" s="14" t="s">
        <v>249</v>
      </c>
      <c r="AJ9" s="14" t="s">
        <v>270</v>
      </c>
      <c r="AK9" s="14" t="s">
        <v>291</v>
      </c>
      <c r="AL9" s="14" t="s">
        <v>312</v>
      </c>
      <c r="AM9" s="14" t="s">
        <v>333</v>
      </c>
      <c r="AN9" s="14" t="s">
        <v>191</v>
      </c>
    </row>
    <row r="10" spans="1:40" ht="15.75">
      <c r="A10" s="5" t="s">
        <v>34</v>
      </c>
      <c r="B10">
        <v>3</v>
      </c>
      <c r="D10" t="s">
        <v>39</v>
      </c>
      <c r="E10">
        <v>5</v>
      </c>
      <c r="F10" t="s">
        <v>218</v>
      </c>
      <c r="G10">
        <v>10</v>
      </c>
      <c r="H10" t="s">
        <v>38</v>
      </c>
      <c r="I10">
        <v>30</v>
      </c>
      <c r="J10">
        <v>1</v>
      </c>
      <c r="L10">
        <f>COUNTIF(L2:L5,1)</f>
        <v>1</v>
      </c>
      <c r="N10">
        <f>LARGE(N2:N9,1)</f>
        <v>2</v>
      </c>
      <c r="AA10" s="14" t="s">
        <v>87</v>
      </c>
      <c r="AB10" s="14" t="s">
        <v>63</v>
      </c>
      <c r="AC10" s="14" t="s">
        <v>108</v>
      </c>
      <c r="AD10" s="14" t="s">
        <v>129</v>
      </c>
      <c r="AE10" s="14" t="s">
        <v>150</v>
      </c>
      <c r="AF10" s="14" t="s">
        <v>171</v>
      </c>
      <c r="AG10" s="14" t="s">
        <v>192</v>
      </c>
      <c r="AH10" s="14" t="s">
        <v>229</v>
      </c>
      <c r="AI10" s="14" t="s">
        <v>250</v>
      </c>
      <c r="AJ10" s="14" t="s">
        <v>271</v>
      </c>
      <c r="AK10" s="14" t="s">
        <v>292</v>
      </c>
      <c r="AL10" s="14" t="s">
        <v>313</v>
      </c>
      <c r="AM10" s="14" t="s">
        <v>334</v>
      </c>
      <c r="AN10" s="14" t="s">
        <v>192</v>
      </c>
    </row>
    <row r="11" spans="1:40" ht="15.75">
      <c r="A11" s="5" t="s">
        <v>34</v>
      </c>
      <c r="B11">
        <v>3</v>
      </c>
      <c r="D11" t="s">
        <v>40</v>
      </c>
      <c r="E11">
        <v>4</v>
      </c>
      <c r="F11" t="s">
        <v>219</v>
      </c>
      <c r="G11">
        <v>11</v>
      </c>
      <c r="H11" t="s">
        <v>38</v>
      </c>
      <c r="I11">
        <v>31</v>
      </c>
      <c r="J11">
        <v>1</v>
      </c>
      <c r="L11">
        <f>4-L10</f>
        <v>3</v>
      </c>
      <c r="O11">
        <f>LARGE(O2:O5,1)</f>
        <v>3</v>
      </c>
    </row>
    <row r="12" spans="1:40" ht="15.75">
      <c r="A12" s="5" t="s">
        <v>35</v>
      </c>
      <c r="B12">
        <v>3</v>
      </c>
      <c r="D12" t="s">
        <v>41</v>
      </c>
      <c r="E12">
        <v>3</v>
      </c>
      <c r="F12" t="s">
        <v>220</v>
      </c>
      <c r="G12">
        <v>12</v>
      </c>
      <c r="H12" t="s">
        <v>42</v>
      </c>
      <c r="I12">
        <v>22</v>
      </c>
      <c r="J12">
        <v>1</v>
      </c>
      <c r="AA12" s="12" t="s">
        <v>64</v>
      </c>
      <c r="AB12" s="12" t="s">
        <v>64</v>
      </c>
      <c r="AC12" s="12" t="s">
        <v>64</v>
      </c>
      <c r="AD12" s="12" t="s">
        <v>64</v>
      </c>
      <c r="AE12" s="12" t="s">
        <v>64</v>
      </c>
      <c r="AF12" s="12" t="s">
        <v>64</v>
      </c>
      <c r="AG12" s="12" t="s">
        <v>64</v>
      </c>
      <c r="AH12" s="12" t="s">
        <v>64</v>
      </c>
      <c r="AI12" s="12" t="s">
        <v>64</v>
      </c>
      <c r="AJ12" s="12" t="s">
        <v>64</v>
      </c>
      <c r="AK12" s="12" t="s">
        <v>64</v>
      </c>
      <c r="AL12" s="12" t="s">
        <v>64</v>
      </c>
      <c r="AM12" s="12" t="s">
        <v>64</v>
      </c>
      <c r="AN12" s="12" t="s">
        <v>64</v>
      </c>
    </row>
    <row r="13" spans="1:40" ht="15.75">
      <c r="A13" s="5" t="s">
        <v>35</v>
      </c>
      <c r="B13">
        <v>3</v>
      </c>
      <c r="D13" t="s">
        <v>42</v>
      </c>
      <c r="E13">
        <v>2</v>
      </c>
      <c r="F13" t="s">
        <v>221</v>
      </c>
      <c r="G13">
        <v>13</v>
      </c>
      <c r="H13" t="s">
        <v>28</v>
      </c>
      <c r="I13">
        <v>1</v>
      </c>
      <c r="J13">
        <v>3</v>
      </c>
      <c r="N13">
        <f>7+N10-O11</f>
        <v>6</v>
      </c>
      <c r="AA13" s="13" t="s">
        <v>88</v>
      </c>
      <c r="AB13" s="13" t="s">
        <v>65</v>
      </c>
      <c r="AC13" s="13" t="s">
        <v>109</v>
      </c>
      <c r="AD13" s="13" t="s">
        <v>130</v>
      </c>
      <c r="AE13" s="13" t="s">
        <v>151</v>
      </c>
      <c r="AF13" s="13" t="s">
        <v>172</v>
      </c>
      <c r="AG13" s="13" t="s">
        <v>193</v>
      </c>
      <c r="AH13" s="13" t="s">
        <v>230</v>
      </c>
      <c r="AI13" s="13" t="s">
        <v>251</v>
      </c>
      <c r="AJ13" s="13" t="s">
        <v>272</v>
      </c>
      <c r="AK13" s="18" t="s">
        <v>293</v>
      </c>
      <c r="AL13" s="18" t="s">
        <v>314</v>
      </c>
      <c r="AM13" s="18" t="s">
        <v>335</v>
      </c>
      <c r="AN13" s="18" t="s">
        <v>355</v>
      </c>
    </row>
    <row r="14" spans="1:40" ht="15.75">
      <c r="A14" s="5" t="s">
        <v>35</v>
      </c>
      <c r="B14">
        <v>3</v>
      </c>
      <c r="D14" t="s">
        <v>43</v>
      </c>
      <c r="E14">
        <v>1</v>
      </c>
      <c r="F14" t="s">
        <v>222</v>
      </c>
      <c r="G14">
        <v>14</v>
      </c>
      <c r="H14" t="s">
        <v>35</v>
      </c>
      <c r="I14">
        <v>16</v>
      </c>
      <c r="J14">
        <v>3</v>
      </c>
      <c r="N14" t="str">
        <f>INDEX(F$1:F$14,MATCH(INDEX(A$1:A$32,K1),D$1:D$14,0))</f>
        <v>Picture 24</v>
      </c>
      <c r="AA14" s="14" t="s">
        <v>89</v>
      </c>
      <c r="AB14" s="14" t="s">
        <v>66</v>
      </c>
      <c r="AC14" s="14" t="s">
        <v>110</v>
      </c>
      <c r="AD14" s="14" t="s">
        <v>131</v>
      </c>
      <c r="AE14" s="14" t="s">
        <v>152</v>
      </c>
      <c r="AF14" s="14" t="s">
        <v>173</v>
      </c>
      <c r="AG14" s="14" t="s">
        <v>194</v>
      </c>
      <c r="AH14" s="14" t="s">
        <v>231</v>
      </c>
      <c r="AI14" s="14" t="s">
        <v>252</v>
      </c>
      <c r="AJ14" s="14" t="s">
        <v>273</v>
      </c>
      <c r="AK14" s="14" t="s">
        <v>294</v>
      </c>
      <c r="AL14" s="14" t="s">
        <v>315</v>
      </c>
      <c r="AM14" s="14" t="s">
        <v>336</v>
      </c>
      <c r="AN14" s="14" t="s">
        <v>194</v>
      </c>
    </row>
    <row r="15" spans="1:40" ht="28.5">
      <c r="A15" s="5" t="s">
        <v>35</v>
      </c>
      <c r="B15">
        <v>3</v>
      </c>
      <c r="H15" t="s">
        <v>31</v>
      </c>
      <c r="I15">
        <v>5</v>
      </c>
      <c r="J15">
        <v>3</v>
      </c>
      <c r="N15" t="str">
        <f>INDEX(AA2:AN2,1,INDEX(G$1:G$14,MATCH(INDEX(A$1:A$32,K$1),D$1:D$14,0)))</f>
        <v>本周整體：★★☆☆☆   宜守不宜動，多練習口才表達，講話要得體適當，學習包容。</v>
      </c>
      <c r="AA15" s="14" t="s">
        <v>90</v>
      </c>
      <c r="AB15" s="14" t="s">
        <v>67</v>
      </c>
      <c r="AC15" s="14" t="s">
        <v>111</v>
      </c>
      <c r="AD15" s="14" t="s">
        <v>132</v>
      </c>
      <c r="AE15" s="14" t="s">
        <v>153</v>
      </c>
      <c r="AF15" s="14" t="s">
        <v>174</v>
      </c>
      <c r="AG15" s="14" t="s">
        <v>195</v>
      </c>
      <c r="AH15" s="14" t="s">
        <v>232</v>
      </c>
      <c r="AI15" s="14" t="s">
        <v>253</v>
      </c>
      <c r="AJ15" s="14" t="s">
        <v>274</v>
      </c>
      <c r="AK15" s="14" t="s">
        <v>295</v>
      </c>
      <c r="AL15" s="14" t="s">
        <v>316</v>
      </c>
      <c r="AM15" s="14" t="s">
        <v>337</v>
      </c>
      <c r="AN15" s="14" t="s">
        <v>356</v>
      </c>
    </row>
    <row r="16" spans="1:40" ht="28.5">
      <c r="A16" s="5" t="s">
        <v>35</v>
      </c>
      <c r="B16">
        <v>3</v>
      </c>
      <c r="H16" t="s">
        <v>33</v>
      </c>
      <c r="I16">
        <v>9</v>
      </c>
      <c r="J16">
        <v>3</v>
      </c>
      <c r="N16">
        <f>INDEX(AA3:AN3,1,INDEX(G$1:G$14,MATCH(INDEX(A$1:A$32,K$1),D$1:D$14,0)))</f>
        <v>0</v>
      </c>
      <c r="AA16" s="14" t="s">
        <v>91</v>
      </c>
      <c r="AB16" s="14" t="s">
        <v>68</v>
      </c>
      <c r="AC16" s="14" t="s">
        <v>112</v>
      </c>
      <c r="AD16" s="14" t="s">
        <v>133</v>
      </c>
      <c r="AE16" s="14" t="s">
        <v>154</v>
      </c>
      <c r="AF16" s="14" t="s">
        <v>175</v>
      </c>
      <c r="AG16" s="14" t="s">
        <v>196</v>
      </c>
      <c r="AH16" s="14" t="s">
        <v>233</v>
      </c>
      <c r="AI16" s="14" t="s">
        <v>254</v>
      </c>
      <c r="AJ16" s="14" t="s">
        <v>275</v>
      </c>
      <c r="AK16" s="14" t="s">
        <v>296</v>
      </c>
      <c r="AL16" s="14" t="s">
        <v>317</v>
      </c>
      <c r="AM16" s="14" t="s">
        <v>338</v>
      </c>
      <c r="AN16" s="14" t="s">
        <v>357</v>
      </c>
    </row>
    <row r="17" spans="1:40" ht="28.5">
      <c r="A17" s="6" t="s">
        <v>43</v>
      </c>
      <c r="B17">
        <v>1</v>
      </c>
      <c r="H17" t="s">
        <v>35</v>
      </c>
      <c r="I17">
        <v>15</v>
      </c>
      <c r="J17">
        <v>3</v>
      </c>
      <c r="K17">
        <v>1</v>
      </c>
      <c r="L17">
        <v>1</v>
      </c>
      <c r="M17" t="str">
        <f>CONCATENATE(K17,L17)</f>
        <v>11</v>
      </c>
      <c r="N17" t="str">
        <f>INDEX(AA4:AN4,1,INDEX(G$1:G$14,MATCH(INDEX(A$1:A$32,K$1),D$1:D$14,0)))</f>
        <v>本周工作：</v>
      </c>
      <c r="AA17" s="14" t="s">
        <v>92</v>
      </c>
      <c r="AB17" s="14" t="s">
        <v>69</v>
      </c>
      <c r="AC17" s="14" t="s">
        <v>113</v>
      </c>
      <c r="AD17" s="14" t="s">
        <v>134</v>
      </c>
      <c r="AE17" s="14" t="s">
        <v>155</v>
      </c>
      <c r="AF17" s="14" t="s">
        <v>176</v>
      </c>
      <c r="AG17" s="14" t="s">
        <v>197</v>
      </c>
      <c r="AH17" s="14" t="s">
        <v>234</v>
      </c>
      <c r="AI17" s="14" t="s">
        <v>255</v>
      </c>
      <c r="AJ17" s="14" t="s">
        <v>276</v>
      </c>
      <c r="AK17" s="14" t="s">
        <v>297</v>
      </c>
      <c r="AL17" s="14" t="s">
        <v>318</v>
      </c>
      <c r="AM17" s="14" t="s">
        <v>339</v>
      </c>
      <c r="AN17" s="14" t="s">
        <v>358</v>
      </c>
    </row>
    <row r="18" spans="1:40" ht="15.75">
      <c r="A18" s="6" t="s">
        <v>43</v>
      </c>
      <c r="B18">
        <v>1</v>
      </c>
      <c r="H18" t="s">
        <v>32</v>
      </c>
      <c r="I18">
        <v>6</v>
      </c>
      <c r="J18">
        <v>3</v>
      </c>
      <c r="K18">
        <v>1</v>
      </c>
      <c r="L18">
        <v>2</v>
      </c>
      <c r="M18" t="str">
        <f t="shared" ref="M18:M50" si="0">CONCATENATE(K18,L18)</f>
        <v>12</v>
      </c>
      <c r="N18" t="str">
        <f t="shared" ref="N18:N48" si="1">INDEX(AA5:AN5,1,INDEX(G$1:G$14,MATCH(INDEX(A$1:A$32,K$1),D$1:D$14,0)))</f>
        <v>守時以待，目前不適宜任何變動，多做事少說話就對了，小心是非伴隨！</v>
      </c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</row>
    <row r="19" spans="1:40" ht="15.75">
      <c r="A19" s="6" t="s">
        <v>43</v>
      </c>
      <c r="B19">
        <v>1</v>
      </c>
      <c r="H19" t="s">
        <v>40</v>
      </c>
      <c r="I19">
        <v>26</v>
      </c>
      <c r="J19">
        <v>1</v>
      </c>
      <c r="K19">
        <v>1</v>
      </c>
      <c r="L19">
        <v>3</v>
      </c>
      <c r="M19" t="str">
        <f t="shared" si="0"/>
        <v>13</v>
      </c>
      <c r="N19" t="str">
        <f t="shared" si="1"/>
        <v>如何解決困境：該說清楚講明白的地方還是要說，不開口誰知道你需要協助咧！</v>
      </c>
    </row>
    <row r="20" spans="1:40" ht="15.75">
      <c r="A20" s="6" t="s">
        <v>43</v>
      </c>
      <c r="B20">
        <v>1</v>
      </c>
      <c r="H20" t="s">
        <v>35</v>
      </c>
      <c r="I20">
        <v>12</v>
      </c>
      <c r="J20">
        <v>3</v>
      </c>
      <c r="K20">
        <v>1</v>
      </c>
      <c r="L20">
        <v>4</v>
      </c>
      <c r="M20" t="str">
        <f t="shared" si="0"/>
        <v>14</v>
      </c>
      <c r="N20" t="str">
        <f t="shared" si="1"/>
        <v>人際關係：說話不要太直或是太急太快，以免傷害他人而不自知</v>
      </c>
      <c r="AA20" s="12" t="s">
        <v>70</v>
      </c>
      <c r="AB20" s="12" t="s">
        <v>70</v>
      </c>
      <c r="AC20" s="12" t="s">
        <v>70</v>
      </c>
      <c r="AD20" s="12" t="s">
        <v>70</v>
      </c>
      <c r="AE20" s="12" t="s">
        <v>70</v>
      </c>
      <c r="AF20" s="12" t="s">
        <v>70</v>
      </c>
      <c r="AG20" s="12" t="s">
        <v>70</v>
      </c>
      <c r="AH20" s="12" t="s">
        <v>70</v>
      </c>
      <c r="AI20" s="12" t="s">
        <v>70</v>
      </c>
      <c r="AJ20" s="12" t="s">
        <v>70</v>
      </c>
      <c r="AK20" s="12" t="s">
        <v>70</v>
      </c>
      <c r="AL20" s="12" t="s">
        <v>70</v>
      </c>
      <c r="AM20" s="12" t="s">
        <v>340</v>
      </c>
      <c r="AN20" s="12" t="s">
        <v>70</v>
      </c>
    </row>
    <row r="21" spans="1:40" ht="15.75">
      <c r="A21" s="6" t="s">
        <v>43</v>
      </c>
      <c r="B21">
        <v>1</v>
      </c>
      <c r="H21" t="s">
        <v>35</v>
      </c>
      <c r="I21">
        <v>14</v>
      </c>
      <c r="J21">
        <v>3</v>
      </c>
      <c r="K21">
        <v>1</v>
      </c>
      <c r="L21">
        <v>5</v>
      </c>
      <c r="M21" t="str">
        <f t="shared" si="0"/>
        <v>15</v>
      </c>
      <c r="N21" t="str">
        <f t="shared" si="1"/>
        <v>與上司相處：謹言慎行，不該你發言的就學習閉嘴吧。</v>
      </c>
      <c r="AA21" s="13" t="s">
        <v>93</v>
      </c>
      <c r="AB21" s="13" t="s">
        <v>71</v>
      </c>
      <c r="AC21" s="13" t="s">
        <v>114</v>
      </c>
      <c r="AD21" s="13" t="s">
        <v>135</v>
      </c>
      <c r="AE21" s="13" t="s">
        <v>156</v>
      </c>
      <c r="AF21" s="13" t="s">
        <v>177</v>
      </c>
      <c r="AG21" s="13" t="s">
        <v>198</v>
      </c>
      <c r="AH21" s="13" t="s">
        <v>235</v>
      </c>
      <c r="AI21" s="13" t="s">
        <v>256</v>
      </c>
      <c r="AJ21" s="13" t="s">
        <v>277</v>
      </c>
      <c r="AK21" s="18" t="s">
        <v>298</v>
      </c>
      <c r="AL21" s="18" t="s">
        <v>319</v>
      </c>
      <c r="AM21" s="18" t="s">
        <v>341</v>
      </c>
      <c r="AN21" s="18" t="s">
        <v>359</v>
      </c>
    </row>
    <row r="22" spans="1:40" ht="28.5">
      <c r="A22" s="6" t="s">
        <v>42</v>
      </c>
      <c r="B22">
        <v>1</v>
      </c>
      <c r="H22" t="s">
        <v>34</v>
      </c>
      <c r="I22">
        <v>10</v>
      </c>
      <c r="J22">
        <v>3</v>
      </c>
      <c r="K22">
        <v>1</v>
      </c>
      <c r="L22">
        <v>6</v>
      </c>
      <c r="M22" t="str">
        <f t="shared" si="0"/>
        <v>16</v>
      </c>
      <c r="N22" t="str">
        <f t="shared" si="1"/>
        <v>發展性：不好，保守等待機會，再好好觀察狀況吧！</v>
      </c>
      <c r="AA22" s="14" t="s">
        <v>94</v>
      </c>
      <c r="AB22" s="14" t="s">
        <v>72</v>
      </c>
      <c r="AC22" s="14" t="s">
        <v>115</v>
      </c>
      <c r="AD22" s="14" t="s">
        <v>136</v>
      </c>
      <c r="AE22" s="14" t="s">
        <v>157</v>
      </c>
      <c r="AF22" s="14" t="s">
        <v>178</v>
      </c>
      <c r="AG22" s="14" t="s">
        <v>199</v>
      </c>
      <c r="AH22" s="14" t="s">
        <v>236</v>
      </c>
      <c r="AI22" s="14" t="s">
        <v>257</v>
      </c>
      <c r="AJ22" s="14" t="s">
        <v>278</v>
      </c>
      <c r="AK22" s="14" t="s">
        <v>299</v>
      </c>
      <c r="AL22" s="14" t="s">
        <v>320</v>
      </c>
      <c r="AM22" s="14" t="s">
        <v>342</v>
      </c>
      <c r="AN22" s="14" t="s">
        <v>360</v>
      </c>
    </row>
    <row r="23" spans="1:40" ht="28.5">
      <c r="A23" s="6" t="s">
        <v>42</v>
      </c>
      <c r="B23">
        <v>1</v>
      </c>
      <c r="H23" t="s">
        <v>31</v>
      </c>
      <c r="I23">
        <v>4</v>
      </c>
      <c r="J23">
        <v>3</v>
      </c>
      <c r="K23">
        <v>1</v>
      </c>
      <c r="L23">
        <v>7</v>
      </c>
      <c r="M23" t="str">
        <f t="shared" si="0"/>
        <v>17</v>
      </c>
      <c r="N23" t="str">
        <f t="shared" si="1"/>
        <v>換工作：不好，守時以待，等待更好的機會再異動！</v>
      </c>
      <c r="AA23" s="14" t="s">
        <v>95</v>
      </c>
      <c r="AB23" s="14" t="s">
        <v>73</v>
      </c>
      <c r="AC23" s="14" t="s">
        <v>116</v>
      </c>
      <c r="AD23" s="14" t="s">
        <v>137</v>
      </c>
      <c r="AE23" s="14" t="s">
        <v>158</v>
      </c>
      <c r="AF23" s="14" t="s">
        <v>179</v>
      </c>
      <c r="AG23" s="14" t="s">
        <v>200</v>
      </c>
      <c r="AH23" s="14" t="s">
        <v>237</v>
      </c>
      <c r="AI23" s="14" t="s">
        <v>258</v>
      </c>
      <c r="AJ23" s="14" t="s">
        <v>279</v>
      </c>
      <c r="AK23" s="14" t="s">
        <v>300</v>
      </c>
      <c r="AL23" s="14" t="s">
        <v>321</v>
      </c>
      <c r="AM23" s="14" t="s">
        <v>343</v>
      </c>
      <c r="AN23" s="14" t="s">
        <v>361</v>
      </c>
    </row>
    <row r="24" spans="1:40" ht="28.5">
      <c r="A24" s="6" t="s">
        <v>41</v>
      </c>
      <c r="B24">
        <v>1</v>
      </c>
      <c r="H24" t="s">
        <v>30</v>
      </c>
      <c r="I24">
        <v>3</v>
      </c>
      <c r="J24">
        <v>3</v>
      </c>
      <c r="K24">
        <v>1</v>
      </c>
      <c r="L24">
        <v>8</v>
      </c>
      <c r="M24" t="str">
        <f t="shared" si="0"/>
        <v>18</v>
      </c>
      <c r="N24">
        <f t="shared" si="1"/>
        <v>0</v>
      </c>
      <c r="AA24" s="14" t="s">
        <v>96</v>
      </c>
      <c r="AB24" s="14" t="s">
        <v>74</v>
      </c>
      <c r="AC24" s="14" t="s">
        <v>117</v>
      </c>
      <c r="AD24" s="14" t="s">
        <v>138</v>
      </c>
      <c r="AE24" s="14" t="s">
        <v>159</v>
      </c>
      <c r="AF24" s="14" t="s">
        <v>180</v>
      </c>
      <c r="AG24" s="14" t="s">
        <v>201</v>
      </c>
      <c r="AH24" s="14" t="s">
        <v>238</v>
      </c>
      <c r="AI24" s="14" t="s">
        <v>259</v>
      </c>
      <c r="AJ24" s="14" t="s">
        <v>280</v>
      </c>
      <c r="AK24" s="14" t="s">
        <v>301</v>
      </c>
      <c r="AL24" s="14" t="s">
        <v>322</v>
      </c>
      <c r="AM24" s="14" t="s">
        <v>344</v>
      </c>
      <c r="AN24" s="14" t="s">
        <v>201</v>
      </c>
    </row>
    <row r="25" spans="1:40" ht="28.5">
      <c r="A25" s="6" t="s">
        <v>41</v>
      </c>
      <c r="B25">
        <v>1</v>
      </c>
      <c r="H25" t="s">
        <v>43</v>
      </c>
      <c r="I25">
        <v>20</v>
      </c>
      <c r="J25">
        <v>1</v>
      </c>
      <c r="K25">
        <v>2</v>
      </c>
      <c r="L25">
        <v>1</v>
      </c>
      <c r="M25" t="str">
        <f t="shared" si="0"/>
        <v>21</v>
      </c>
      <c r="N25" t="str">
        <f t="shared" si="1"/>
        <v>本周愛情：</v>
      </c>
      <c r="AA25" s="14" t="s">
        <v>97</v>
      </c>
      <c r="AB25" s="14" t="s">
        <v>75</v>
      </c>
      <c r="AC25" s="14" t="s">
        <v>118</v>
      </c>
      <c r="AD25" s="14" t="s">
        <v>139</v>
      </c>
      <c r="AE25" s="14" t="s">
        <v>160</v>
      </c>
      <c r="AF25" s="14" t="s">
        <v>181</v>
      </c>
      <c r="AG25" s="14" t="s">
        <v>202</v>
      </c>
      <c r="AH25" s="14" t="s">
        <v>239</v>
      </c>
      <c r="AI25" s="14" t="s">
        <v>260</v>
      </c>
      <c r="AJ25" s="14" t="s">
        <v>281</v>
      </c>
      <c r="AK25" s="14" t="s">
        <v>302</v>
      </c>
      <c r="AL25" s="14" t="s">
        <v>323</v>
      </c>
      <c r="AM25" s="14" t="s">
        <v>345</v>
      </c>
      <c r="AN25" s="14" t="s">
        <v>362</v>
      </c>
    </row>
    <row r="26" spans="1:40" ht="15.75">
      <c r="A26" s="6" t="s">
        <v>40</v>
      </c>
      <c r="B26">
        <v>1</v>
      </c>
      <c r="H26" t="s">
        <v>43</v>
      </c>
      <c r="I26">
        <v>21</v>
      </c>
      <c r="J26">
        <v>1</v>
      </c>
      <c r="K26">
        <v>2</v>
      </c>
      <c r="L26">
        <v>2</v>
      </c>
      <c r="M26" t="str">
        <f t="shared" si="0"/>
        <v>22</v>
      </c>
      <c r="N26" t="str">
        <f t="shared" si="1"/>
        <v>兩人關係中，小心口角衝突，記得學會包容很重要喔！</v>
      </c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</row>
    <row r="27" spans="1:40" ht="15.75">
      <c r="A27" s="6" t="s">
        <v>40</v>
      </c>
      <c r="B27">
        <v>1</v>
      </c>
      <c r="H27" t="s">
        <v>39</v>
      </c>
      <c r="I27">
        <v>28</v>
      </c>
      <c r="J27">
        <v>1</v>
      </c>
      <c r="K27">
        <v>2</v>
      </c>
      <c r="L27">
        <v>3</v>
      </c>
      <c r="M27" t="str">
        <f t="shared" si="0"/>
        <v>23</v>
      </c>
      <c r="N27" t="str">
        <f t="shared" si="1"/>
        <v>新戀情可能性：機率不高，還要一些時間的等待，多開口請人家介紹吧！</v>
      </c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</row>
    <row r="28" spans="1:40" ht="15.75">
      <c r="A28" s="6" t="s">
        <v>39</v>
      </c>
      <c r="B28">
        <v>1</v>
      </c>
      <c r="H28" t="s">
        <v>37</v>
      </c>
      <c r="I28">
        <v>32</v>
      </c>
      <c r="J28">
        <v>1</v>
      </c>
      <c r="K28">
        <v>2</v>
      </c>
      <c r="L28">
        <v>4</v>
      </c>
      <c r="M28" t="str">
        <f t="shared" si="0"/>
        <v>24</v>
      </c>
      <c r="N28" t="str">
        <f t="shared" si="1"/>
        <v>性的吸引力：高，對性的興趣遠高過於愛情本身。</v>
      </c>
      <c r="AA28" s="12" t="s">
        <v>76</v>
      </c>
      <c r="AB28" s="12" t="s">
        <v>76</v>
      </c>
      <c r="AC28" s="12" t="s">
        <v>76</v>
      </c>
      <c r="AD28" s="12" t="s">
        <v>76</v>
      </c>
      <c r="AE28" s="12" t="s">
        <v>76</v>
      </c>
      <c r="AF28" s="12" t="s">
        <v>76</v>
      </c>
      <c r="AG28" s="12" t="s">
        <v>76</v>
      </c>
      <c r="AH28" s="12" t="s">
        <v>76</v>
      </c>
      <c r="AI28" s="12" t="s">
        <v>76</v>
      </c>
      <c r="AJ28" s="12" t="s">
        <v>76</v>
      </c>
      <c r="AK28" s="12" t="s">
        <v>76</v>
      </c>
      <c r="AL28" s="12" t="s">
        <v>76</v>
      </c>
      <c r="AM28" s="12" t="s">
        <v>76</v>
      </c>
      <c r="AN28" s="12" t="s">
        <v>76</v>
      </c>
    </row>
    <row r="29" spans="1:40" ht="28.5">
      <c r="A29" s="6" t="s">
        <v>39</v>
      </c>
      <c r="B29">
        <v>1</v>
      </c>
      <c r="H29" t="s">
        <v>40</v>
      </c>
      <c r="I29">
        <v>27</v>
      </c>
      <c r="J29">
        <v>1</v>
      </c>
      <c r="K29">
        <v>2</v>
      </c>
      <c r="L29">
        <v>5</v>
      </c>
      <c r="M29" t="str">
        <f t="shared" si="0"/>
        <v>25</v>
      </c>
      <c r="N29" t="str">
        <f t="shared" si="1"/>
        <v>如何化解爭執：除了包容還是包容，學習有容乃大的精神，多多包容對方。</v>
      </c>
      <c r="AA29" s="13" t="s">
        <v>98</v>
      </c>
      <c r="AB29" s="13" t="s">
        <v>77</v>
      </c>
      <c r="AC29" s="13" t="s">
        <v>119</v>
      </c>
      <c r="AD29" s="13" t="s">
        <v>140</v>
      </c>
      <c r="AE29" s="13" t="s">
        <v>161</v>
      </c>
      <c r="AF29" s="13" t="s">
        <v>182</v>
      </c>
      <c r="AG29" s="13" t="s">
        <v>203</v>
      </c>
      <c r="AH29" s="13" t="s">
        <v>240</v>
      </c>
      <c r="AI29" s="13" t="s">
        <v>261</v>
      </c>
      <c r="AJ29" s="13" t="s">
        <v>282</v>
      </c>
      <c r="AK29" s="18" t="s">
        <v>303</v>
      </c>
      <c r="AL29" s="18" t="s">
        <v>324</v>
      </c>
      <c r="AM29" s="18" t="s">
        <v>346</v>
      </c>
      <c r="AN29" s="18" t="s">
        <v>363</v>
      </c>
    </row>
    <row r="30" spans="1:40" ht="15.75">
      <c r="A30" s="6" t="s">
        <v>38</v>
      </c>
      <c r="B30">
        <v>1</v>
      </c>
      <c r="H30" t="s">
        <v>30</v>
      </c>
      <c r="I30">
        <v>2</v>
      </c>
      <c r="J30">
        <v>3</v>
      </c>
      <c r="K30">
        <v>2</v>
      </c>
      <c r="L30">
        <v>6</v>
      </c>
      <c r="M30" t="str">
        <f t="shared" si="0"/>
        <v>26</v>
      </c>
      <c r="N30" t="str">
        <f t="shared" si="1"/>
        <v>復合可能性：真的想復合，還需要一些時間，先被動的靜觀其變，看對方心意如何！</v>
      </c>
      <c r="AA30" s="14" t="s">
        <v>99</v>
      </c>
      <c r="AB30" s="14" t="s">
        <v>78</v>
      </c>
      <c r="AC30" s="14" t="s">
        <v>120</v>
      </c>
      <c r="AD30" s="14" t="s">
        <v>141</v>
      </c>
      <c r="AE30" s="14" t="s">
        <v>162</v>
      </c>
      <c r="AF30" s="14" t="s">
        <v>183</v>
      </c>
      <c r="AG30" s="14" t="s">
        <v>204</v>
      </c>
      <c r="AH30" s="14" t="s">
        <v>241</v>
      </c>
      <c r="AI30" s="14" t="s">
        <v>262</v>
      </c>
      <c r="AJ30" s="14" t="s">
        <v>283</v>
      </c>
      <c r="AK30" s="14" t="s">
        <v>304</v>
      </c>
      <c r="AL30" s="14" t="s">
        <v>325</v>
      </c>
      <c r="AM30" s="14" t="s">
        <v>347</v>
      </c>
      <c r="AN30" s="14" t="s">
        <v>364</v>
      </c>
    </row>
    <row r="31" spans="1:40" ht="15.75">
      <c r="A31" s="6" t="s">
        <v>38</v>
      </c>
      <c r="B31">
        <v>1</v>
      </c>
      <c r="H31" t="s">
        <v>41</v>
      </c>
      <c r="I31">
        <v>25</v>
      </c>
      <c r="J31">
        <v>1</v>
      </c>
      <c r="K31">
        <v>2</v>
      </c>
      <c r="L31">
        <v>7</v>
      </c>
      <c r="M31" t="str">
        <f t="shared" si="0"/>
        <v>27</v>
      </c>
      <c r="N31">
        <f t="shared" si="1"/>
        <v>0</v>
      </c>
      <c r="AA31" s="14" t="s">
        <v>100</v>
      </c>
      <c r="AB31" s="14" t="s">
        <v>79</v>
      </c>
      <c r="AC31" s="14" t="s">
        <v>121</v>
      </c>
      <c r="AD31" s="14" t="s">
        <v>142</v>
      </c>
      <c r="AE31" s="14" t="s">
        <v>163</v>
      </c>
      <c r="AF31" s="14" t="s">
        <v>184</v>
      </c>
      <c r="AG31" s="14" t="s">
        <v>205</v>
      </c>
      <c r="AH31" s="14" t="s">
        <v>242</v>
      </c>
      <c r="AI31" s="14" t="s">
        <v>263</v>
      </c>
      <c r="AJ31" s="14" t="s">
        <v>284</v>
      </c>
      <c r="AK31" s="14" t="s">
        <v>305</v>
      </c>
      <c r="AL31" s="14" t="s">
        <v>326</v>
      </c>
      <c r="AM31" s="14" t="s">
        <v>348</v>
      </c>
      <c r="AN31" s="14" t="s">
        <v>205</v>
      </c>
    </row>
    <row r="32" spans="1:40" ht="15.75">
      <c r="A32" s="6" t="s">
        <v>37</v>
      </c>
      <c r="B32">
        <v>1</v>
      </c>
      <c r="H32" t="s">
        <v>33</v>
      </c>
      <c r="I32">
        <v>8</v>
      </c>
      <c r="J32">
        <v>3</v>
      </c>
      <c r="K32">
        <v>2</v>
      </c>
      <c r="L32">
        <v>8</v>
      </c>
      <c r="M32" t="str">
        <f t="shared" si="0"/>
        <v>28</v>
      </c>
      <c r="N32">
        <f t="shared" si="1"/>
        <v>0</v>
      </c>
      <c r="AA32" s="14" t="s">
        <v>101</v>
      </c>
      <c r="AB32" s="14" t="s">
        <v>80</v>
      </c>
      <c r="AC32" s="14" t="s">
        <v>122</v>
      </c>
      <c r="AD32" s="14" t="s">
        <v>143</v>
      </c>
      <c r="AE32" s="14" t="s">
        <v>164</v>
      </c>
      <c r="AF32" s="14" t="s">
        <v>185</v>
      </c>
      <c r="AG32" s="14" t="s">
        <v>206</v>
      </c>
      <c r="AH32" s="14" t="s">
        <v>243</v>
      </c>
      <c r="AI32" s="14" t="s">
        <v>264</v>
      </c>
      <c r="AJ32" s="14" t="s">
        <v>285</v>
      </c>
      <c r="AK32" s="14" t="s">
        <v>306</v>
      </c>
      <c r="AL32" s="14" t="s">
        <v>327</v>
      </c>
      <c r="AM32" s="14" t="s">
        <v>349</v>
      </c>
      <c r="AN32" s="14" t="s">
        <v>365</v>
      </c>
    </row>
    <row r="33" spans="11:14">
      <c r="K33">
        <v>3</v>
      </c>
      <c r="L33">
        <v>1</v>
      </c>
      <c r="M33" t="str">
        <f t="shared" si="0"/>
        <v>31</v>
      </c>
      <c r="N33" t="str">
        <f t="shared" si="1"/>
        <v>本周學業：</v>
      </c>
    </row>
    <row r="34" spans="11:14">
      <c r="K34">
        <v>3</v>
      </c>
      <c r="L34">
        <v>2</v>
      </c>
      <c r="M34" t="str">
        <f t="shared" si="0"/>
        <v>32</v>
      </c>
      <c r="N34" t="str">
        <f t="shared" si="1"/>
        <v>不好，容易出包，在學習上要更用心，並且仔細閱讀問題與解答！</v>
      </c>
    </row>
    <row r="35" spans="11:14">
      <c r="K35">
        <v>3</v>
      </c>
      <c r="L35">
        <v>3</v>
      </c>
      <c r="M35" t="str">
        <f t="shared" si="0"/>
        <v>33</v>
      </c>
      <c r="N35" t="str">
        <f t="shared" si="1"/>
        <v>學習方法：能夠與別人多多討論對於學習會很有幫助喔！有問題一定要問清楚明白。</v>
      </c>
    </row>
    <row r="36" spans="11:14">
      <c r="K36">
        <v>3</v>
      </c>
      <c r="L36">
        <v>4</v>
      </c>
      <c r="M36" t="str">
        <f t="shared" si="0"/>
        <v>34</v>
      </c>
      <c r="N36" t="str">
        <f t="shared" si="1"/>
        <v>考試狀況：有被當風險，必須要加把勁使力，想通過測驗的念力要很強。！</v>
      </c>
    </row>
    <row r="37" spans="11:14">
      <c r="K37">
        <v>3</v>
      </c>
      <c r="L37">
        <v>5</v>
      </c>
      <c r="M37" t="str">
        <f t="shared" si="0"/>
        <v>35</v>
      </c>
      <c r="N37" t="str">
        <f t="shared" si="1"/>
        <v>與老師相處關係：切忌尊師重道很重要，言多必失，不要逾越分寸。</v>
      </c>
    </row>
    <row r="38" spans="11:14">
      <c r="K38">
        <v>3</v>
      </c>
      <c r="L38">
        <v>6</v>
      </c>
      <c r="M38" t="str">
        <f t="shared" si="0"/>
        <v>36</v>
      </c>
      <c r="N38" t="str">
        <f t="shared" si="1"/>
        <v>與同學相處關係：說話不要太直，說者無心，聽者有意，以免傷到彼此關係而不知道。</v>
      </c>
    </row>
    <row r="39" spans="11:14">
      <c r="K39">
        <v>3</v>
      </c>
      <c r="L39">
        <v>7</v>
      </c>
      <c r="M39" t="str">
        <f t="shared" si="0"/>
        <v>37</v>
      </c>
      <c r="N39">
        <f t="shared" si="1"/>
        <v>0</v>
      </c>
    </row>
    <row r="40" spans="11:14">
      <c r="K40">
        <v>3</v>
      </c>
      <c r="L40">
        <v>8</v>
      </c>
      <c r="M40" t="str">
        <f t="shared" si="0"/>
        <v>38</v>
      </c>
      <c r="N40">
        <f t="shared" si="1"/>
        <v>0</v>
      </c>
    </row>
    <row r="41" spans="11:14">
      <c r="K41">
        <v>4</v>
      </c>
      <c r="L41">
        <v>1</v>
      </c>
      <c r="M41" t="str">
        <f t="shared" si="0"/>
        <v>41</v>
      </c>
      <c r="N41" t="str">
        <f t="shared" si="1"/>
        <v>本周財運：</v>
      </c>
    </row>
    <row r="42" spans="11:14">
      <c r="K42">
        <v>4</v>
      </c>
      <c r="L42">
        <v>2</v>
      </c>
      <c r="M42" t="str">
        <f t="shared" si="0"/>
        <v>42</v>
      </c>
      <c r="N42" t="str">
        <f t="shared" si="1"/>
        <v>有漏財危機，財運能量不足，稍嫌停滯，目前理財狀況要採取比較保守的作為。</v>
      </c>
    </row>
    <row r="43" spans="11:14">
      <c r="K43">
        <v>4</v>
      </c>
      <c r="L43">
        <v>3</v>
      </c>
      <c r="M43" t="str">
        <f t="shared" si="0"/>
        <v>43</v>
      </c>
      <c r="N43" t="str">
        <f t="shared" si="1"/>
        <v>投資狀況：虧錢機率大，現在要保守一點，守時以待，目前不適合做任何投資</v>
      </c>
    </row>
    <row r="44" spans="11:14">
      <c r="K44">
        <v>4</v>
      </c>
      <c r="L44">
        <v>4</v>
      </c>
      <c r="M44" t="str">
        <f t="shared" si="0"/>
        <v>44</v>
      </c>
      <c r="N44" t="str">
        <f t="shared" si="1"/>
        <v>投資標的：可投資在皮件包包相關產業上面。</v>
      </c>
    </row>
    <row r="45" spans="11:14">
      <c r="K45">
        <v>4</v>
      </c>
      <c r="L45">
        <v>5</v>
      </c>
      <c r="M45" t="str">
        <f t="shared" si="0"/>
        <v>45</v>
      </c>
      <c r="N45" t="str">
        <f t="shared" si="1"/>
        <v>樂透指數：等待時機，現在離樂透有點遠，先好好學習當個宅男宅女吧！</v>
      </c>
    </row>
    <row r="46" spans="11:14">
      <c r="K46">
        <v>4</v>
      </c>
      <c r="L46">
        <v>6</v>
      </c>
      <c r="M46" t="str">
        <f t="shared" si="0"/>
        <v>46</v>
      </c>
      <c r="N46">
        <f t="shared" si="1"/>
        <v>0</v>
      </c>
    </row>
    <row r="47" spans="11:14">
      <c r="K47">
        <v>4</v>
      </c>
      <c r="L47">
        <v>7</v>
      </c>
      <c r="M47" t="str">
        <f t="shared" si="0"/>
        <v>47</v>
      </c>
      <c r="N47">
        <f t="shared" si="1"/>
        <v>0</v>
      </c>
    </row>
    <row r="48" spans="11:14">
      <c r="K48">
        <v>4</v>
      </c>
      <c r="L48">
        <v>8</v>
      </c>
      <c r="M48" t="str">
        <f t="shared" si="0"/>
        <v>48</v>
      </c>
      <c r="N48">
        <f t="shared" si="1"/>
        <v>0</v>
      </c>
    </row>
    <row r="49" spans="11:18">
      <c r="M49" t="str">
        <f t="shared" si="0"/>
        <v/>
      </c>
    </row>
    <row r="50" spans="11:18">
      <c r="K50">
        <f>Main!P2</f>
        <v>1</v>
      </c>
      <c r="L50">
        <v>1</v>
      </c>
      <c r="M50" t="str">
        <f t="shared" si="0"/>
        <v>11</v>
      </c>
      <c r="N50" t="str">
        <f t="shared" ref="N50:N57" si="2">INDEX(N$17:N$48,MATCH(M50,M$17:M$48,0))</f>
        <v>本周工作：</v>
      </c>
    </row>
    <row r="51" spans="11:18">
      <c r="K51">
        <f t="shared" ref="K51:K57" si="3">K50</f>
        <v>1</v>
      </c>
      <c r="L51">
        <v>2</v>
      </c>
      <c r="M51" t="str">
        <f t="shared" ref="M51:M57" si="4">CONCATENATE(K51,L51)</f>
        <v>12</v>
      </c>
      <c r="N51" t="str">
        <f t="shared" si="2"/>
        <v>守時以待，目前不適宜任何變動，多做事少說話就對了，小心是非伴隨！</v>
      </c>
    </row>
    <row r="52" spans="11:18">
      <c r="K52">
        <f t="shared" si="3"/>
        <v>1</v>
      </c>
      <c r="L52">
        <v>3</v>
      </c>
      <c r="M52" t="str">
        <f t="shared" si="4"/>
        <v>13</v>
      </c>
      <c r="N52" t="str">
        <f t="shared" si="2"/>
        <v>如何解決困境：該說清楚講明白的地方還是要說，不開口誰知道你需要協助咧！</v>
      </c>
    </row>
    <row r="53" spans="11:18">
      <c r="K53">
        <f t="shared" si="3"/>
        <v>1</v>
      </c>
      <c r="L53">
        <v>4</v>
      </c>
      <c r="M53" t="str">
        <f t="shared" si="4"/>
        <v>14</v>
      </c>
      <c r="N53" t="str">
        <f t="shared" si="2"/>
        <v>人際關係：說話不要太直或是太急太快，以免傷害他人而不自知</v>
      </c>
    </row>
    <row r="54" spans="11:18">
      <c r="K54">
        <f t="shared" si="3"/>
        <v>1</v>
      </c>
      <c r="L54">
        <v>5</v>
      </c>
      <c r="M54" t="str">
        <f t="shared" si="4"/>
        <v>15</v>
      </c>
      <c r="N54" t="str">
        <f t="shared" si="2"/>
        <v>與上司相處：謹言慎行，不該你發言的就學習閉嘴吧。</v>
      </c>
    </row>
    <row r="55" spans="11:18">
      <c r="K55">
        <f t="shared" si="3"/>
        <v>1</v>
      </c>
      <c r="L55">
        <v>6</v>
      </c>
      <c r="M55" t="str">
        <f t="shared" si="4"/>
        <v>16</v>
      </c>
      <c r="N55" t="str">
        <f t="shared" si="2"/>
        <v>發展性：不好，保守等待機會，再好好觀察狀況吧！</v>
      </c>
    </row>
    <row r="56" spans="11:18">
      <c r="K56">
        <f t="shared" si="3"/>
        <v>1</v>
      </c>
      <c r="L56">
        <v>7</v>
      </c>
      <c r="M56" t="str">
        <f t="shared" si="4"/>
        <v>17</v>
      </c>
      <c r="N56" t="str">
        <f t="shared" si="2"/>
        <v>換工作：不好，守時以待，等待更好的機會再異動！</v>
      </c>
    </row>
    <row r="57" spans="11:18">
      <c r="K57">
        <f t="shared" si="3"/>
        <v>1</v>
      </c>
      <c r="L57">
        <v>8</v>
      </c>
      <c r="M57" t="str">
        <f t="shared" si="4"/>
        <v>18</v>
      </c>
      <c r="N57">
        <f t="shared" si="2"/>
        <v>0</v>
      </c>
    </row>
    <row r="62" spans="11:18">
      <c r="Q62" t="s">
        <v>394</v>
      </c>
      <c r="R62" t="s">
        <v>394</v>
      </c>
    </row>
    <row r="63" spans="11:18">
      <c r="M63" t="s">
        <v>372</v>
      </c>
      <c r="N63" t="s">
        <v>373</v>
      </c>
      <c r="O63" t="s">
        <v>388</v>
      </c>
      <c r="P63" t="s">
        <v>389</v>
      </c>
    </row>
    <row r="64" spans="11:18">
      <c r="K64" t="s">
        <v>380</v>
      </c>
      <c r="L64">
        <v>7</v>
      </c>
      <c r="M64">
        <f>COUNTIF(N$2:N$5,$L64)</f>
        <v>0</v>
      </c>
      <c r="N64">
        <f>COUNTIF(O$2:O$5,$L64)</f>
        <v>0</v>
      </c>
      <c r="O64" t="s">
        <v>380</v>
      </c>
      <c r="P64" t="s">
        <v>385</v>
      </c>
      <c r="Q64" t="str">
        <f>IF(M64=0,"",O64)</f>
        <v/>
      </c>
      <c r="R64" t="str">
        <f>IF(N64=0,"",P64)</f>
        <v/>
      </c>
    </row>
    <row r="65" spans="11:18">
      <c r="K65" t="s">
        <v>376</v>
      </c>
      <c r="L65">
        <v>6</v>
      </c>
      <c r="M65">
        <f t="shared" ref="M65:N65" si="5">COUNTIF(N$2:N$5,$L65)</f>
        <v>0</v>
      </c>
      <c r="N65">
        <f t="shared" si="5"/>
        <v>0</v>
      </c>
      <c r="O65" t="s">
        <v>376</v>
      </c>
      <c r="P65" t="s">
        <v>386</v>
      </c>
      <c r="Q65" t="str">
        <f t="shared" ref="Q65:Q70" si="6">IF(M65=0,"",O65)</f>
        <v/>
      </c>
      <c r="R65" t="str">
        <f t="shared" ref="R65:R70" si="7">IF(N65=0,"",P65)</f>
        <v/>
      </c>
    </row>
    <row r="66" spans="11:18">
      <c r="K66" t="s">
        <v>374</v>
      </c>
      <c r="L66">
        <v>5</v>
      </c>
      <c r="M66">
        <f t="shared" ref="M66:N66" si="8">COUNTIF(N$2:N$5,$L66)</f>
        <v>0</v>
      </c>
      <c r="N66">
        <f t="shared" si="8"/>
        <v>0</v>
      </c>
      <c r="O66" t="s">
        <v>381</v>
      </c>
      <c r="P66" t="s">
        <v>387</v>
      </c>
      <c r="Q66" t="str">
        <f t="shared" si="6"/>
        <v/>
      </c>
      <c r="R66" t="str">
        <f t="shared" si="7"/>
        <v/>
      </c>
    </row>
    <row r="67" spans="11:18">
      <c r="K67" t="s">
        <v>379</v>
      </c>
      <c r="L67">
        <v>4</v>
      </c>
      <c r="M67">
        <f t="shared" ref="M67:N67" si="9">COUNTIF(N$2:N$5,$L67)</f>
        <v>0</v>
      </c>
      <c r="N67">
        <f t="shared" si="9"/>
        <v>0</v>
      </c>
      <c r="O67" t="s">
        <v>382</v>
      </c>
      <c r="P67" t="s">
        <v>390</v>
      </c>
      <c r="Q67" t="str">
        <f t="shared" si="6"/>
        <v/>
      </c>
      <c r="R67" t="str">
        <f t="shared" si="7"/>
        <v/>
      </c>
    </row>
    <row r="68" spans="11:18">
      <c r="K68" t="s">
        <v>375</v>
      </c>
      <c r="L68">
        <v>3</v>
      </c>
      <c r="M68">
        <f t="shared" ref="M68:N68" si="10">COUNTIF(N$2:N$5,$L68)</f>
        <v>0</v>
      </c>
      <c r="N68">
        <f t="shared" si="10"/>
        <v>2</v>
      </c>
      <c r="O68" t="s">
        <v>383</v>
      </c>
      <c r="P68" t="s">
        <v>391</v>
      </c>
      <c r="Q68" t="str">
        <f t="shared" si="6"/>
        <v/>
      </c>
      <c r="R68" t="str">
        <f t="shared" si="7"/>
        <v>人施计</v>
      </c>
    </row>
    <row r="69" spans="11:18">
      <c r="K69" t="s">
        <v>378</v>
      </c>
      <c r="L69">
        <v>2</v>
      </c>
      <c r="M69">
        <f t="shared" ref="M69:N69" si="11">COUNTIF(N$2:N$5,$L69)</f>
        <v>0</v>
      </c>
      <c r="N69">
        <f t="shared" si="11"/>
        <v>1</v>
      </c>
      <c r="O69" t="s">
        <v>378</v>
      </c>
      <c r="P69" t="s">
        <v>392</v>
      </c>
      <c r="Q69" t="str">
        <f t="shared" si="6"/>
        <v/>
      </c>
      <c r="R69" t="str">
        <f t="shared" si="7"/>
        <v>远势力</v>
      </c>
    </row>
    <row r="70" spans="11:18">
      <c r="K70" t="s">
        <v>377</v>
      </c>
      <c r="L70">
        <v>1</v>
      </c>
      <c r="M70">
        <f t="shared" ref="M70:N70" si="12">COUNTIF(N$2:N$5,$L70)</f>
        <v>1</v>
      </c>
      <c r="N70">
        <f t="shared" si="12"/>
        <v>0</v>
      </c>
      <c r="O70" t="s">
        <v>384</v>
      </c>
      <c r="P70" t="s">
        <v>393</v>
      </c>
      <c r="Q70" t="str">
        <f t="shared" si="6"/>
        <v>勇者</v>
      </c>
      <c r="R70" t="str">
        <f t="shared" si="7"/>
        <v/>
      </c>
    </row>
    <row r="72" spans="11:18">
      <c r="L72">
        <v>0</v>
      </c>
      <c r="M72">
        <f>COUNTIF(M64:M70,L72)</f>
        <v>6</v>
      </c>
      <c r="N72">
        <f>COUNTIF(N64:N70,L72)</f>
        <v>5</v>
      </c>
      <c r="Q72" t="str">
        <f>IF(M72=7,"",CONCATENATE(Q62,Q64,Q65,Q66,Q67,Q68,Q69,Q70,O63))</f>
        <v>有勇者相助</v>
      </c>
      <c r="R72" t="str">
        <f>IF(N72=7,"",CONCATENATE(R62,R64,R65,R66,R67,R68,R69,R70,P63))</f>
        <v>有人施计远势力阻碍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29"/>
  <sheetViews>
    <sheetView tabSelected="1" zoomScaleNormal="100" workbookViewId="0">
      <selection activeCell="M13" sqref="M13"/>
    </sheetView>
  </sheetViews>
  <sheetFormatPr defaultColWidth="0" defaultRowHeight="15" zeroHeight="1"/>
  <cols>
    <col min="1" max="21" width="9.140625" style="7" customWidth="1"/>
    <col min="22" max="16384" width="9.140625" style="7" hidden="1"/>
  </cols>
  <sheetData>
    <row r="1" spans="1:17" ht="15.75" thickBot="1">
      <c r="A1" s="41" t="str">
        <f>Data!T8</f>
        <v>请选五颗棋子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7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M2" s="48"/>
      <c r="N2" s="36"/>
      <c r="O2" s="19" t="s">
        <v>366</v>
      </c>
      <c r="P2" s="7">
        <v>1</v>
      </c>
    </row>
    <row r="3" spans="1:17">
      <c r="M3" s="37"/>
      <c r="N3" s="38"/>
    </row>
    <row r="4" spans="1:17">
      <c r="M4" s="37"/>
      <c r="N4" s="38"/>
    </row>
    <row r="5" spans="1:17">
      <c r="M5" s="37"/>
      <c r="N5" s="38"/>
    </row>
    <row r="6" spans="1:17" ht="15.75" thickBot="1">
      <c r="M6" s="39"/>
      <c r="N6" s="40"/>
    </row>
    <row r="7" spans="1:17">
      <c r="C7" s="43"/>
      <c r="D7" s="42">
        <f>6-B8</f>
        <v>5</v>
      </c>
    </row>
    <row r="8" spans="1:17" ht="15" customHeight="1">
      <c r="B8" s="7">
        <v>1</v>
      </c>
      <c r="C8" s="43"/>
      <c r="D8" s="42"/>
      <c r="I8" s="25"/>
      <c r="J8" s="26"/>
      <c r="K8" s="26"/>
      <c r="L8" s="26"/>
      <c r="M8" s="26"/>
      <c r="N8" s="26"/>
      <c r="O8" s="26"/>
      <c r="P8" s="26"/>
      <c r="Q8" s="27"/>
    </row>
    <row r="9" spans="1:17">
      <c r="C9" s="43"/>
      <c r="D9" s="42"/>
      <c r="I9" s="28"/>
      <c r="J9" s="29"/>
      <c r="K9" s="29"/>
      <c r="L9" s="29"/>
      <c r="M9" s="29"/>
      <c r="N9" s="29"/>
      <c r="O9" s="29"/>
      <c r="P9" s="29"/>
      <c r="Q9" s="30"/>
    </row>
    <row r="10" spans="1:17" ht="15" customHeight="1">
      <c r="E10" s="34"/>
      <c r="F10" s="11"/>
      <c r="G10" s="34"/>
      <c r="I10" s="28"/>
      <c r="J10" s="29"/>
      <c r="K10" s="29"/>
      <c r="L10" s="29"/>
      <c r="M10" s="29"/>
      <c r="N10" s="29"/>
      <c r="O10" s="29"/>
      <c r="P10" s="29"/>
      <c r="Q10" s="30"/>
    </row>
    <row r="11" spans="1:17" ht="15" customHeight="1">
      <c r="E11" s="35"/>
      <c r="F11" s="11"/>
      <c r="G11" s="35"/>
      <c r="I11" s="31"/>
      <c r="J11" s="32"/>
      <c r="K11" s="32"/>
      <c r="L11" s="32"/>
      <c r="M11" s="32"/>
      <c r="N11" s="32"/>
      <c r="O11" s="32"/>
      <c r="P11" s="32"/>
      <c r="Q11" s="33"/>
    </row>
    <row r="12" spans="1:17" ht="15" customHeight="1">
      <c r="E12" s="35"/>
      <c r="F12" s="11"/>
      <c r="G12" s="35"/>
      <c r="I12" s="17"/>
      <c r="J12" s="17"/>
      <c r="K12" s="17"/>
      <c r="L12" s="17"/>
      <c r="M12" s="17"/>
      <c r="N12" s="17"/>
      <c r="O12" s="17"/>
      <c r="P12" s="17"/>
      <c r="Q12" s="17"/>
    </row>
    <row r="13" spans="1:17" ht="15" customHeight="1">
      <c r="E13" s="11"/>
      <c r="F13" s="44"/>
      <c r="G13" s="11"/>
      <c r="I13" s="7">
        <v>15</v>
      </c>
      <c r="M13" s="7">
        <v>13</v>
      </c>
    </row>
    <row r="14" spans="1:17" ht="15" customHeight="1" thickBot="1">
      <c r="E14" s="11"/>
      <c r="F14" s="35"/>
      <c r="G14" s="11"/>
      <c r="I14" s="9" t="s">
        <v>52</v>
      </c>
      <c r="K14" s="8" t="s">
        <v>53</v>
      </c>
      <c r="M14" s="7" t="s">
        <v>54</v>
      </c>
      <c r="O14" s="10" t="s">
        <v>55</v>
      </c>
    </row>
    <row r="15" spans="1:17" ht="15" customHeight="1" thickTop="1">
      <c r="E15" s="11"/>
      <c r="F15" s="35"/>
      <c r="G15" s="11"/>
      <c r="I15" s="45"/>
      <c r="J15" s="46"/>
      <c r="K15" s="46"/>
      <c r="L15" s="46"/>
      <c r="M15" s="46"/>
      <c r="N15" s="46"/>
      <c r="O15" s="46"/>
      <c r="P15" s="46"/>
      <c r="Q15" s="47"/>
    </row>
    <row r="16" spans="1:17" ht="15" customHeight="1">
      <c r="E16" s="44"/>
      <c r="F16" s="11"/>
      <c r="G16" s="34"/>
      <c r="I16" s="21"/>
      <c r="J16" s="22"/>
      <c r="K16" s="22"/>
      <c r="L16" s="22"/>
      <c r="M16" s="22"/>
      <c r="N16" s="22"/>
      <c r="O16" s="22"/>
      <c r="P16" s="22"/>
      <c r="Q16" s="23"/>
    </row>
    <row r="17" spans="1:17" ht="15" customHeight="1">
      <c r="E17" s="35"/>
      <c r="F17" s="11"/>
      <c r="G17" s="35"/>
      <c r="I17" s="21"/>
      <c r="J17" s="22"/>
      <c r="K17" s="22"/>
      <c r="L17" s="22"/>
      <c r="M17" s="22"/>
      <c r="N17" s="22"/>
      <c r="O17" s="22"/>
      <c r="P17" s="22"/>
      <c r="Q17" s="23"/>
    </row>
    <row r="18" spans="1:17" ht="15" customHeight="1">
      <c r="E18" s="35"/>
      <c r="F18" s="11"/>
      <c r="G18" s="35"/>
      <c r="I18" s="21"/>
      <c r="J18" s="22"/>
      <c r="K18" s="22"/>
      <c r="L18" s="22"/>
      <c r="M18" s="22"/>
      <c r="N18" s="22"/>
      <c r="O18" s="22"/>
      <c r="P18" s="22"/>
      <c r="Q18" s="23"/>
    </row>
    <row r="19" spans="1:17">
      <c r="I19" s="21"/>
      <c r="J19" s="22"/>
      <c r="K19" s="22"/>
      <c r="L19" s="22"/>
      <c r="M19" s="22"/>
      <c r="N19" s="22"/>
      <c r="O19" s="22"/>
      <c r="P19" s="22"/>
      <c r="Q19" s="23"/>
    </row>
    <row r="20" spans="1:17">
      <c r="I20" s="21"/>
      <c r="J20" s="22"/>
      <c r="K20" s="22"/>
      <c r="L20" s="22"/>
      <c r="M20" s="22"/>
      <c r="N20" s="22"/>
      <c r="O20" s="22"/>
      <c r="P20" s="22"/>
      <c r="Q20" s="23"/>
    </row>
    <row r="21" spans="1:17">
      <c r="D21"/>
      <c r="I21" s="21"/>
      <c r="J21" s="22"/>
      <c r="K21" s="22"/>
      <c r="L21" s="22"/>
      <c r="M21" s="22"/>
      <c r="N21" s="22"/>
      <c r="O21" s="22"/>
      <c r="P21" s="22"/>
      <c r="Q21" s="23"/>
    </row>
    <row r="22" spans="1:17">
      <c r="I22" s="21"/>
      <c r="J22" s="22"/>
      <c r="K22" s="22"/>
      <c r="L22" s="22"/>
      <c r="M22" s="22"/>
      <c r="N22" s="22"/>
      <c r="O22" s="22"/>
      <c r="P22" s="22"/>
      <c r="Q22" s="23"/>
    </row>
    <row r="23" spans="1:17">
      <c r="I23" s="21"/>
      <c r="J23" s="22"/>
      <c r="K23" s="22"/>
      <c r="L23" s="22"/>
      <c r="M23" s="22"/>
      <c r="N23" s="22"/>
      <c r="O23" s="22"/>
      <c r="P23" s="22"/>
      <c r="Q23" s="23"/>
    </row>
    <row r="24" spans="1:17">
      <c r="I24" s="21"/>
      <c r="J24" s="22"/>
      <c r="K24" s="22"/>
      <c r="L24" s="22"/>
      <c r="M24" s="22"/>
      <c r="N24" s="22"/>
      <c r="O24" s="22"/>
      <c r="P24" s="22"/>
      <c r="Q24" s="23"/>
    </row>
    <row r="25" spans="1:17">
      <c r="I25" s="21"/>
      <c r="J25" s="22"/>
      <c r="K25" s="22"/>
      <c r="L25" s="22"/>
      <c r="M25" s="22"/>
      <c r="N25" s="22"/>
      <c r="O25" s="22"/>
      <c r="P25" s="22"/>
      <c r="Q25" s="23"/>
    </row>
    <row r="26" spans="1:17">
      <c r="A26" s="7" t="s">
        <v>371</v>
      </c>
      <c r="I26" s="21"/>
      <c r="J26" s="22"/>
      <c r="K26" s="22"/>
      <c r="L26" s="22"/>
      <c r="M26" s="22"/>
      <c r="N26" s="22"/>
      <c r="O26" s="22"/>
      <c r="P26" s="22"/>
      <c r="Q26" s="23"/>
    </row>
    <row r="27" spans="1:17" hidden="1">
      <c r="I27" s="24"/>
      <c r="J27" s="24"/>
      <c r="K27" s="24"/>
      <c r="L27" s="24"/>
      <c r="M27" s="24"/>
      <c r="N27" s="24"/>
      <c r="O27" s="24"/>
      <c r="P27" s="24"/>
      <c r="Q27" s="24"/>
    </row>
    <row r="28" spans="1:17" hidden="1">
      <c r="I28" s="20"/>
      <c r="J28" s="20"/>
      <c r="K28" s="20"/>
      <c r="L28" s="20"/>
      <c r="M28" s="20"/>
      <c r="N28" s="20"/>
      <c r="O28" s="20"/>
      <c r="P28" s="20"/>
      <c r="Q28" s="20"/>
    </row>
    <row r="29" spans="1:17" hidden="1">
      <c r="I29" s="20"/>
      <c r="J29" s="20"/>
      <c r="K29" s="20"/>
      <c r="L29" s="20"/>
      <c r="M29" s="20"/>
      <c r="N29" s="20"/>
      <c r="O29" s="20"/>
      <c r="P29" s="20"/>
      <c r="Q29" s="20"/>
    </row>
  </sheetData>
  <mergeCells count="24">
    <mergeCell ref="E16:E18"/>
    <mergeCell ref="G16:G18"/>
    <mergeCell ref="M2:N6"/>
    <mergeCell ref="A1:K2"/>
    <mergeCell ref="D7:D9"/>
    <mergeCell ref="C7:C9"/>
    <mergeCell ref="E10:E12"/>
    <mergeCell ref="F13:F15"/>
    <mergeCell ref="G10:G12"/>
    <mergeCell ref="I15:Q15"/>
    <mergeCell ref="I16:Q16"/>
    <mergeCell ref="I17:Q17"/>
    <mergeCell ref="I18:Q18"/>
    <mergeCell ref="I24:Q24"/>
    <mergeCell ref="I25:Q25"/>
    <mergeCell ref="I26:Q26"/>
    <mergeCell ref="I27:Q27"/>
    <mergeCell ref="I8:Q10"/>
    <mergeCell ref="I11:Q11"/>
    <mergeCell ref="I19:Q19"/>
    <mergeCell ref="I20:Q20"/>
    <mergeCell ref="I21:Q21"/>
    <mergeCell ref="I22:Q22"/>
    <mergeCell ref="I23:Q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Scroll Bar 4">
              <controlPr defaultSize="0" autoPict="0">
                <anchor moveWithCells="1">
                  <from>
                    <xdr:col>8</xdr:col>
                    <xdr:colOff>19050</xdr:colOff>
                    <xdr:row>11</xdr:row>
                    <xdr:rowOff>19050</xdr:rowOff>
                  </from>
                  <to>
                    <xdr:col>11</xdr:col>
                    <xdr:colOff>19050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Scroll Bar 5">
              <controlPr defaultSize="0" autoPict="0">
                <anchor moveWithCells="1">
                  <from>
                    <xdr:col>11</xdr:col>
                    <xdr:colOff>590550</xdr:colOff>
                    <xdr:row>11</xdr:row>
                    <xdr:rowOff>38100</xdr:rowOff>
                  </from>
                  <to>
                    <xdr:col>14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Drop Down 6">
              <controlPr defaultSize="0" autoLine="0" autoPict="0">
                <anchor mov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16</xdr:col>
                    <xdr:colOff>38100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Explain</vt:lpstr>
      <vt:lpstr>Cards</vt:lpstr>
      <vt:lpstr>Data</vt:lpstr>
      <vt:lpstr>Main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2017-11-09T00:56:29Z</dcterms:created>
  <dcterms:modified xsi:type="dcterms:W3CDTF">2017-11-09T12:26:53Z</dcterms:modified>
</cp:coreProperties>
</file>