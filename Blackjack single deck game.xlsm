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d.docs.live.net/67006b469a4455b3/Documents/"/>
    </mc:Choice>
  </mc:AlternateContent>
  <bookViews>
    <workbookView xWindow="0" yWindow="0" windowWidth="20490" windowHeight="8910"/>
  </bookViews>
  <sheets>
    <sheet name="Main" sheetId="3" r:id="rId1"/>
    <sheet name="Played_Card" sheetId="4" r:id="rId2"/>
    <sheet name="Card_Database" sheetId="2" r:id="rId3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3" i="3" l="1"/>
  <c r="E27" i="3" l="1"/>
  <c r="E4" i="3" s="1"/>
  <c r="J26" i="3"/>
  <c r="B26" i="3"/>
  <c r="O29" i="3"/>
  <c r="N29" i="3"/>
  <c r="D28" i="3"/>
  <c r="D29" i="3" s="1"/>
  <c r="E28" i="3"/>
  <c r="E29" i="3" s="1"/>
  <c r="F28" i="3"/>
  <c r="F29" i="3" s="1"/>
  <c r="G28" i="3"/>
  <c r="G29" i="3" s="1"/>
  <c r="K28" i="3"/>
  <c r="L28" i="3"/>
  <c r="L29" i="3" s="1"/>
  <c r="M28" i="3"/>
  <c r="M29" i="3" s="1"/>
  <c r="N28" i="3"/>
  <c r="O28" i="3"/>
  <c r="C28" i="3"/>
  <c r="D27" i="3"/>
  <c r="D4" i="3" s="1"/>
  <c r="F27" i="3"/>
  <c r="F4" i="3" s="1"/>
  <c r="G27" i="3"/>
  <c r="G4" i="3" s="1"/>
  <c r="K27" i="3"/>
  <c r="K4" i="3" s="1"/>
  <c r="L27" i="3"/>
  <c r="L4" i="3" s="1"/>
  <c r="M27" i="3"/>
  <c r="M4" i="3" s="1"/>
  <c r="N27" i="3"/>
  <c r="N4" i="3" s="1"/>
  <c r="O27" i="3"/>
  <c r="O4" i="3" s="1"/>
  <c r="C27" i="3"/>
  <c r="C4" i="3" s="1"/>
  <c r="I6" i="3"/>
  <c r="J35" i="3" l="1"/>
  <c r="K29" i="3" s="1"/>
  <c r="K30" i="3" s="1"/>
  <c r="I27" i="3" s="1"/>
  <c r="B35" i="3"/>
  <c r="C29" i="3" l="1"/>
  <c r="C30" i="3" s="1"/>
  <c r="I26" i="3" s="1"/>
  <c r="I25" i="3" s="1"/>
  <c r="E31" i="3" l="1"/>
  <c r="H29" i="3"/>
  <c r="H4" i="3" s="1"/>
  <c r="F31" i="3"/>
  <c r="D31" i="3"/>
  <c r="D32" i="3" s="1"/>
  <c r="G31" i="3"/>
  <c r="C1" i="3" l="1"/>
  <c r="E32" i="3"/>
  <c r="F32" i="3" s="1"/>
  <c r="G32" i="3" s="1"/>
  <c r="H32" i="3" l="1"/>
  <c r="C2" i="3" s="1"/>
  <c r="M31" i="3"/>
  <c r="N31" i="3"/>
  <c r="O31" i="3"/>
  <c r="J29" i="3"/>
  <c r="J4" i="3" s="1"/>
  <c r="I30" i="3"/>
  <c r="L31" i="3"/>
  <c r="L32" i="3" s="1"/>
  <c r="M32" i="3" l="1"/>
  <c r="N32" i="3" s="1"/>
  <c r="O32" i="3" s="1"/>
  <c r="K1" i="3"/>
  <c r="P32" i="3" l="1"/>
  <c r="K2" i="3" s="1"/>
  <c r="I4" i="3" s="1"/>
</calcChain>
</file>

<file path=xl/sharedStrings.xml><?xml version="1.0" encoding="utf-8"?>
<sst xmlns="http://schemas.openxmlformats.org/spreadsheetml/2006/main" count="191" uniqueCount="66">
  <si>
    <t>N</t>
  </si>
  <si>
    <t>S</t>
  </si>
  <si>
    <t>K</t>
  </si>
  <si>
    <t>w</t>
  </si>
  <si>
    <t>A</t>
  </si>
  <si>
    <t>Q</t>
  </si>
  <si>
    <t>J</t>
  </si>
  <si>
    <t>q</t>
  </si>
  <si>
    <t>e</t>
  </si>
  <si>
    <t>r</t>
  </si>
  <si>
    <t>t</t>
  </si>
  <si>
    <t>y</t>
  </si>
  <si>
    <t>u</t>
  </si>
  <si>
    <t>i</t>
  </si>
  <si>
    <t>o</t>
  </si>
  <si>
    <t>p</t>
  </si>
  <si>
    <t>a</t>
  </si>
  <si>
    <t>s</t>
  </si>
  <si>
    <t>d</t>
  </si>
  <si>
    <t>f</t>
  </si>
  <si>
    <t>g</t>
  </si>
  <si>
    <t>h</t>
  </si>
  <si>
    <t>j</t>
  </si>
  <si>
    <t>k</t>
  </si>
  <si>
    <t>l</t>
  </si>
  <si>
    <t>z</t>
  </si>
  <si>
    <t>x</t>
  </si>
  <si>
    <t>c</t>
  </si>
  <si>
    <t>v</t>
  </si>
  <si>
    <t>b</t>
  </si>
  <si>
    <t>n</t>
  </si>
  <si>
    <t>m</t>
  </si>
  <si>
    <t>W</t>
  </si>
  <si>
    <t>E</t>
  </si>
  <si>
    <t>R</t>
  </si>
  <si>
    <t>T</t>
  </si>
  <si>
    <t>Y</t>
  </si>
  <si>
    <t>U</t>
  </si>
  <si>
    <t>I</t>
  </si>
  <si>
    <t>O</t>
  </si>
  <si>
    <t>P</t>
  </si>
  <si>
    <t>D</t>
  </si>
  <si>
    <t>F</t>
  </si>
  <si>
    <t>G</t>
  </si>
  <si>
    <t>H</t>
  </si>
  <si>
    <t>L</t>
  </si>
  <si>
    <t>Z</t>
  </si>
  <si>
    <t>X</t>
  </si>
  <si>
    <t>C</t>
  </si>
  <si>
    <t>B</t>
  </si>
  <si>
    <t>M</t>
  </si>
  <si>
    <t>?</t>
  </si>
  <si>
    <t>V</t>
  </si>
  <si>
    <t>Player</t>
  </si>
  <si>
    <t>Banker</t>
  </si>
  <si>
    <t>Blackjack</t>
  </si>
  <si>
    <t>Check</t>
  </si>
  <si>
    <t>BUST</t>
  </si>
  <si>
    <t>GAME OVER</t>
  </si>
  <si>
    <t>NEXT GAME</t>
  </si>
  <si>
    <t>CLICK DEAL</t>
  </si>
  <si>
    <t>Single Deck Black Jack Program By Remy Lim 2017 Mar Ver 1.0</t>
  </si>
  <si>
    <t>House Rule</t>
  </si>
  <si>
    <t>* First Ace is always 11 until the 3rd Ace comes along</t>
  </si>
  <si>
    <t>* Banker must Hit when score is below 17</t>
  </si>
  <si>
    <t>* Game Over when deck has reached the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</si>
</sst>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Playing Cards"/>
    </font>
    <font>
      <sz val="36"/>
      <color theme="1"/>
      <name val="Playing Cards"/>
    </font>
    <font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0"/>
      <name val="Playing Cards"/>
    </font>
    <font>
      <b/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7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 wrapText="1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</cellXfs>
  <cellStyles count="1">
    <cellStyle name="Normal" xfId="0" builtinId="0"/>
  </cellStyles>
  <dxfs count="4">
    <dxf>
      <font>
        <color rgb="FFFFFF00"/>
      </font>
      <fill>
        <patternFill>
          <bgColor rgb="FFFFFF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color theme="0"/>
      </font>
    </dxf>
    <dxf>
      <font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theme="0"/>
      </font>
      <fill>
        <patternFill>
          <bgColor rgb="FFFF00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croll" dx="22" fmlaLink="$I$6" horiz="1" max="52" min="1" page="10" val="52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</xdr:colOff>
      <xdr:row>7</xdr:row>
      <xdr:rowOff>19050</xdr:rowOff>
    </xdr:from>
    <xdr:to>
      <xdr:col>9</xdr:col>
      <xdr:colOff>600075</xdr:colOff>
      <xdr:row>10</xdr:row>
      <xdr:rowOff>19050</xdr:rowOff>
    </xdr:to>
    <xdr:sp macro="[0]!Deal" textlink="">
      <xdr:nvSpPr>
        <xdr:cNvPr id="2" name="Rounded Rectangle 1"/>
        <xdr:cNvSpPr/>
      </xdr:nvSpPr>
      <xdr:spPr>
        <a:xfrm>
          <a:off x="4305300" y="2019300"/>
          <a:ext cx="1781175" cy="571500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 w="698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DEAL</a:t>
          </a:r>
        </a:p>
      </xdr:txBody>
    </xdr:sp>
    <xdr:clientData/>
  </xdr:twoCellAnchor>
  <xdr:twoCellAnchor>
    <xdr:from>
      <xdr:col>7</xdr:col>
      <xdr:colOff>66675</xdr:colOff>
      <xdr:row>11</xdr:row>
      <xdr:rowOff>19050</xdr:rowOff>
    </xdr:from>
    <xdr:to>
      <xdr:col>10</xdr:col>
      <xdr:colOff>19050</xdr:colOff>
      <xdr:row>14</xdr:row>
      <xdr:rowOff>19050</xdr:rowOff>
    </xdr:to>
    <xdr:sp macro="[0]!Reshuffle" textlink="">
      <xdr:nvSpPr>
        <xdr:cNvPr id="8" name="Rounded Rectangle 7"/>
        <xdr:cNvSpPr/>
      </xdr:nvSpPr>
      <xdr:spPr>
        <a:xfrm>
          <a:off x="4333875" y="2781300"/>
          <a:ext cx="1781175" cy="571500"/>
        </a:xfrm>
        <a:prstGeom prst="roundRect">
          <a:avLst/>
        </a:prstGeom>
        <a:solidFill>
          <a:srgbClr val="0070C0"/>
        </a:solidFill>
        <a:scene3d>
          <a:camera prst="orthographicFront"/>
          <a:lightRig rig="threePt" dir="t"/>
        </a:scene3d>
        <a:sp3d>
          <a:bevelT w="698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RESHUFFLE</a:t>
          </a:r>
        </a:p>
      </xdr:txBody>
    </xdr:sp>
    <xdr:clientData/>
  </xdr:twoCellAnchor>
  <xdr:oneCellAnchor>
    <xdr:from>
      <xdr:col>2</xdr:col>
      <xdr:colOff>504826</xdr:colOff>
      <xdr:row>17</xdr:row>
      <xdr:rowOff>1</xdr:rowOff>
    </xdr:from>
    <xdr:ext cx="7486650" cy="977383"/>
    <xdr:sp macro="" textlink="">
      <xdr:nvSpPr>
        <xdr:cNvPr id="9" name="Rectangle 8"/>
        <xdr:cNvSpPr/>
      </xdr:nvSpPr>
      <xdr:spPr>
        <a:xfrm>
          <a:off x="1724026" y="3905251"/>
          <a:ext cx="7486650" cy="977383"/>
        </a:xfrm>
        <a:prstGeom prst="rect">
          <a:avLst/>
        </a:prstGeom>
        <a:noFill/>
        <a:effectLst>
          <a:glow rad="228600">
            <a:schemeClr val="accent4">
              <a:satMod val="175000"/>
              <a:alpha val="40000"/>
            </a:schemeClr>
          </a:glow>
        </a:effectLst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ROYAL</a:t>
          </a:r>
          <a:r>
            <a:rPr lang="en-US" sz="44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 CASINO BLACKJACK</a:t>
          </a:r>
          <a:r>
            <a:rPr lang="en-US" sz="4400" b="0" cap="none" spc="0" baseline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  <a:latin typeface="Playing Cards" panose="00000500000000000000" pitchFamily="2" charset="0"/>
            </a:rPr>
            <a:t>aZ</a:t>
          </a:r>
          <a:endParaRPr lang="en-US" sz="44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twoCellAnchor>
    <xdr:from>
      <xdr:col>5</xdr:col>
      <xdr:colOff>57150</xdr:colOff>
      <xdr:row>5</xdr:row>
      <xdr:rowOff>28575</xdr:rowOff>
    </xdr:from>
    <xdr:to>
      <xdr:col>6</xdr:col>
      <xdr:colOff>28575</xdr:colOff>
      <xdr:row>7</xdr:row>
      <xdr:rowOff>161925</xdr:rowOff>
    </xdr:to>
    <xdr:grpSp>
      <xdr:nvGrpSpPr>
        <xdr:cNvPr id="12" name="Group 11"/>
        <xdr:cNvGrpSpPr/>
      </xdr:nvGrpSpPr>
      <xdr:grpSpPr>
        <a:xfrm>
          <a:off x="3105150" y="1495425"/>
          <a:ext cx="581025" cy="514350"/>
          <a:chOff x="2466975" y="1657350"/>
          <a:chExt cx="581025" cy="514350"/>
        </a:xfrm>
      </xdr:grpSpPr>
      <xdr:sp macro="[0]!Hit_Me" textlink="">
        <xdr:nvSpPr>
          <xdr:cNvPr id="3" name="Oval 2"/>
          <xdr:cNvSpPr/>
        </xdr:nvSpPr>
        <xdr:spPr>
          <a:xfrm>
            <a:off x="2466975" y="1657350"/>
            <a:ext cx="581025" cy="514350"/>
          </a:xfrm>
          <a:prstGeom prst="ellipse">
            <a:avLst/>
          </a:prstGeom>
          <a:solidFill>
            <a:srgbClr val="FF0000"/>
          </a:solidFill>
          <a:scene3d>
            <a:camera prst="orthographicFront"/>
            <a:lightRig rig="threePt" dir="t"/>
          </a:scene3d>
          <a:sp3d contourW="12700" prstMaterial="powder">
            <a:bevelT w="127000"/>
            <a:contourClr>
              <a:schemeClr val="bg1">
                <a:lumMod val="95000"/>
              </a:schemeClr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800" b="1"/>
          </a:p>
        </xdr:txBody>
      </xdr:sp>
      <xdr:sp macro="[0]!Hit_Me" textlink="">
        <xdr:nvSpPr>
          <xdr:cNvPr id="11" name="Rectangle 10"/>
          <xdr:cNvSpPr/>
        </xdr:nvSpPr>
        <xdr:spPr>
          <a:xfrm>
            <a:off x="2481754" y="1712410"/>
            <a:ext cx="560987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20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HIT</a:t>
            </a:r>
          </a:p>
        </xdr:txBody>
      </xdr:sp>
    </xdr:grpSp>
    <xdr:clientData/>
  </xdr:twoCellAnchor>
  <xdr:twoCellAnchor>
    <xdr:from>
      <xdr:col>2</xdr:col>
      <xdr:colOff>504825</xdr:colOff>
      <xdr:row>5</xdr:row>
      <xdr:rowOff>104775</xdr:rowOff>
    </xdr:from>
    <xdr:to>
      <xdr:col>4</xdr:col>
      <xdr:colOff>466725</xdr:colOff>
      <xdr:row>7</xdr:row>
      <xdr:rowOff>104775</xdr:rowOff>
    </xdr:to>
    <xdr:sp macro="[0]!Stay" textlink="">
      <xdr:nvSpPr>
        <xdr:cNvPr id="13" name="Bevel 12"/>
        <xdr:cNvSpPr/>
      </xdr:nvSpPr>
      <xdr:spPr>
        <a:xfrm>
          <a:off x="1724025" y="1724025"/>
          <a:ext cx="1181100" cy="381000"/>
        </a:xfrm>
        <a:prstGeom prst="bevel">
          <a:avLst/>
        </a:prstGeom>
        <a:solidFill>
          <a:srgbClr val="00B0F0"/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STAY</a:t>
          </a:r>
        </a:p>
      </xdr:txBody>
    </xdr:sp>
    <xdr:clientData/>
  </xdr:twoCellAnchor>
  <xdr:twoCellAnchor>
    <xdr:from>
      <xdr:col>7</xdr:col>
      <xdr:colOff>19050</xdr:colOff>
      <xdr:row>5</xdr:row>
      <xdr:rowOff>0</xdr:rowOff>
    </xdr:from>
    <xdr:to>
      <xdr:col>9</xdr:col>
      <xdr:colOff>485775</xdr:colOff>
      <xdr:row>6</xdr:row>
      <xdr:rowOff>57150</xdr:rowOff>
    </xdr:to>
    <xdr:grpSp>
      <xdr:nvGrpSpPr>
        <xdr:cNvPr id="19" name="Group 18"/>
        <xdr:cNvGrpSpPr/>
      </xdr:nvGrpSpPr>
      <xdr:grpSpPr>
        <a:xfrm>
          <a:off x="4286250" y="1466850"/>
          <a:ext cx="1781175" cy="247650"/>
          <a:chOff x="4286250" y="1466850"/>
          <a:chExt cx="1781175" cy="2476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sp macro="" textlink="">
                <xdr:nvSpPr>
                  <xdr:cNvPr id="2050" name="Scroll Bar 2" hidden="1">
                    <a:extLst>
                      <a:ext uri="{63B3BB69-23CF-44E3-9099-C40C66FF867C}">
                        <a14:compatExt spid="_x0000_s2050"/>
                      </a:ext>
                    </a:extLst>
                  </xdr:cNvPr>
                  <xdr:cNvSpPr/>
                </xdr:nvSpPr>
                <xdr:spPr bwMode="auto">
                  <a:xfrm>
                    <a:off x="4286250" y="1466850"/>
                    <a:ext cx="1781175" cy="247650"/>
                  </a:xfrm>
                  <a:prstGeom prst="rect">
                    <a:avLst/>
                  </a:prstGeom>
                  <a:noFill/>
                  <a:ln w="9525">
                    <a:miter lim="800000"/>
                    <a:headEnd/>
                    <a:tailEnd/>
                  </a:ln>
                </xdr:spPr>
              </xdr:sp>
            </mc:Choice>
            <mc:Fallback/>
          </mc:AlternateContent>
        </mc:Choice>
        <mc:Fallback xmlns=""/>
      </mc:AlternateContent>
      <xdr:grpSp>
        <xdr:nvGrpSpPr>
          <xdr:cNvPr id="18" name="Group 17"/>
          <xdr:cNvGrpSpPr/>
        </xdr:nvGrpSpPr>
        <xdr:grpSpPr>
          <a:xfrm>
            <a:off x="4324352" y="1466850"/>
            <a:ext cx="1695448" cy="247650"/>
            <a:chOff x="4343402" y="1676400"/>
            <a:chExt cx="1685924" cy="276225"/>
          </a:xfrm>
        </xdr:grpSpPr>
        <xdr:cxnSp macro="">
          <xdr:nvCxnSpPr>
            <xdr:cNvPr id="15" name="Straight Connector 14"/>
            <xdr:cNvCxnSpPr/>
          </xdr:nvCxnSpPr>
          <xdr:spPr>
            <a:xfrm>
              <a:off x="4800600" y="1676400"/>
              <a:ext cx="0" cy="266700"/>
            </a:xfrm>
            <a:prstGeom prst="line">
              <a:avLst/>
            </a:prstGeom>
            <a:ln w="63500">
              <a:solidFill>
                <a:srgbClr val="FF000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" name="Rectangle 15"/>
            <xdr:cNvSpPr/>
          </xdr:nvSpPr>
          <xdr:spPr>
            <a:xfrm>
              <a:off x="4343402" y="1676400"/>
              <a:ext cx="1685924" cy="276225"/>
            </a:xfrm>
            <a:prstGeom prst="rect">
              <a:avLst/>
            </a:prstGeom>
            <a:noFill/>
            <a:ln w="63500">
              <a:solidFill>
                <a:schemeClr val="accent5">
                  <a:lumMod val="7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7" name="Rectangle 16"/>
            <xdr:cNvSpPr/>
          </xdr:nvSpPr>
          <xdr:spPr>
            <a:xfrm>
              <a:off x="4371975" y="1714500"/>
              <a:ext cx="104775" cy="219075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Rectangle 19"/>
            <xdr:cNvSpPr/>
          </xdr:nvSpPr>
          <xdr:spPr>
            <a:xfrm>
              <a:off x="5895975" y="1704975"/>
              <a:ext cx="104775" cy="219075"/>
            </a:xfrm>
            <a:prstGeom prst="rect">
              <a:avLst/>
            </a:prstGeom>
            <a:solidFill>
              <a:schemeClr val="accent5">
                <a:lumMod val="7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35"/>
  <sheetViews>
    <sheetView tabSelected="1" workbookViewId="0">
      <selection activeCell="H16" sqref="H16"/>
    </sheetView>
  </sheetViews>
  <sheetFormatPr defaultColWidth="0" defaultRowHeight="15" zeroHeight="1" x14ac:dyDescent="0.25"/>
  <cols>
    <col min="1" max="8" width="9.140625" customWidth="1"/>
    <col min="9" max="9" width="10.5703125" bestFit="1" customWidth="1"/>
    <col min="10" max="17" width="9.140625" customWidth="1"/>
    <col min="18" max="16384" width="9.140625" hidden="1"/>
  </cols>
  <sheetData>
    <row r="1" spans="1:17" x14ac:dyDescent="0.25">
      <c r="A1" s="7"/>
      <c r="B1" s="7"/>
      <c r="C1" s="19" t="str">
        <f>IF(C30,"Player Have BlackJack !","")</f>
        <v/>
      </c>
      <c r="D1" s="19"/>
      <c r="E1" s="19"/>
      <c r="F1" s="19"/>
      <c r="G1" s="19"/>
      <c r="H1" s="18"/>
      <c r="I1" s="18"/>
      <c r="J1" s="18"/>
      <c r="K1" s="19" t="str">
        <f>IF(K30,"Banker Have BlackJack !","")</f>
        <v/>
      </c>
      <c r="L1" s="19"/>
      <c r="M1" s="19"/>
      <c r="N1" s="19"/>
      <c r="O1" s="19"/>
      <c r="P1" s="7"/>
      <c r="Q1" s="7"/>
    </row>
    <row r="2" spans="1:17" x14ac:dyDescent="0.25">
      <c r="A2" s="7"/>
      <c r="B2" s="7"/>
      <c r="C2" s="19" t="str">
        <f>IF(H32,"Player BUSTED !","")</f>
        <v/>
      </c>
      <c r="D2" s="19"/>
      <c r="E2" s="19"/>
      <c r="F2" s="19"/>
      <c r="G2" s="19"/>
      <c r="H2" s="7"/>
      <c r="I2" s="7"/>
      <c r="J2" s="7"/>
      <c r="K2" s="19" t="str">
        <f>IF(P32,"Banker BUSTED !","")</f>
        <v/>
      </c>
      <c r="L2" s="19"/>
      <c r="M2" s="19"/>
      <c r="N2" s="19"/>
      <c r="O2" s="19"/>
      <c r="P2" s="7"/>
      <c r="Q2" s="7"/>
    </row>
    <row r="3" spans="1:17" x14ac:dyDescent="0.25">
      <c r="A3" s="7"/>
      <c r="B3" s="7"/>
      <c r="C3" s="20" t="s">
        <v>53</v>
      </c>
      <c r="D3" s="20"/>
      <c r="E3" s="20"/>
      <c r="F3" s="20"/>
      <c r="G3" s="20"/>
      <c r="H3" s="8"/>
      <c r="I3" s="7"/>
      <c r="J3" s="8"/>
      <c r="K3" s="20" t="s">
        <v>54</v>
      </c>
      <c r="L3" s="20"/>
      <c r="M3" s="20"/>
      <c r="N3" s="20"/>
      <c r="O3" s="20"/>
      <c r="P3" s="7"/>
      <c r="Q3" s="7"/>
    </row>
    <row r="4" spans="1:17" ht="67.5" customHeight="1" x14ac:dyDescent="0.75">
      <c r="A4" s="7"/>
      <c r="B4" s="7"/>
      <c r="C4" s="21" t="str">
        <f>IF(C27="","",C27)</f>
        <v/>
      </c>
      <c r="D4" s="21" t="str">
        <f>IF(D27="","",D27)</f>
        <v/>
      </c>
      <c r="E4" s="21" t="str">
        <f>IF(E27="","",E27)</f>
        <v/>
      </c>
      <c r="F4" s="21" t="str">
        <f>IF(F27="","",F27)</f>
        <v/>
      </c>
      <c r="G4" s="21" t="str">
        <f>IF(G27="","",G27)</f>
        <v/>
      </c>
      <c r="H4" s="17">
        <f>H29</f>
        <v>0</v>
      </c>
      <c r="I4" s="22" t="str">
        <f>IF(C1="",IF(C2="",IF(K1="",IF(K2="",IF(H1="","",H33),H33),H33),H33),H33)</f>
        <v/>
      </c>
      <c r="J4" s="17">
        <f>J29</f>
        <v>0</v>
      </c>
      <c r="K4" s="21" t="str">
        <f>IF(K27="","",K27)</f>
        <v/>
      </c>
      <c r="L4" s="21" t="str">
        <f>IF(L27="","",L27)</f>
        <v/>
      </c>
      <c r="M4" s="21" t="str">
        <f>IF(M27="","",M27)</f>
        <v/>
      </c>
      <c r="N4" s="21" t="str">
        <f>IF(N27="","",N27)</f>
        <v/>
      </c>
      <c r="O4" s="21" t="str">
        <f>IF(O27="","",O27)</f>
        <v/>
      </c>
      <c r="P4" s="7"/>
      <c r="Q4" s="7"/>
    </row>
    <row r="5" spans="1:17" ht="3" customHeight="1" x14ac:dyDescent="0.25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</row>
    <row r="6" spans="1:17" x14ac:dyDescent="0.25">
      <c r="A6" s="7"/>
      <c r="B6" s="7"/>
      <c r="C6" s="7"/>
      <c r="D6" s="7"/>
      <c r="E6" s="7"/>
      <c r="F6" s="7"/>
      <c r="G6" s="7"/>
      <c r="H6" s="7"/>
      <c r="I6" s="7">
        <f>52-Played_Card!A1</f>
        <v>52</v>
      </c>
      <c r="J6" s="7"/>
      <c r="K6" s="7" t="s">
        <v>62</v>
      </c>
      <c r="L6" s="7"/>
      <c r="M6" s="7"/>
      <c r="N6" s="7"/>
      <c r="O6" s="7"/>
      <c r="P6" s="7"/>
      <c r="Q6" s="7"/>
    </row>
    <row r="7" spans="1:17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 t="s">
        <v>64</v>
      </c>
      <c r="L7" s="7"/>
      <c r="M7" s="7"/>
      <c r="N7" s="7"/>
      <c r="O7" s="7"/>
      <c r="P7" s="7"/>
      <c r="Q7" s="7"/>
    </row>
    <row r="8" spans="1:17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 t="s">
        <v>63</v>
      </c>
      <c r="L8" s="7"/>
      <c r="M8" s="7"/>
      <c r="N8" s="7"/>
      <c r="O8" s="7"/>
      <c r="P8" s="7"/>
      <c r="Q8" s="7"/>
    </row>
    <row r="9" spans="1:1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 t="s">
        <v>65</v>
      </c>
      <c r="L9" s="7"/>
      <c r="M9" s="7"/>
      <c r="N9" s="7"/>
      <c r="O9" s="7"/>
      <c r="P9" s="7"/>
      <c r="Q9" s="7"/>
    </row>
    <row r="10" spans="1:17" ht="15.75" thickBot="1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</row>
    <row r="11" spans="1:17" x14ac:dyDescent="0.25">
      <c r="A11" s="7"/>
      <c r="B11" s="7"/>
      <c r="C11" s="7"/>
      <c r="D11" s="7"/>
      <c r="E11" s="23" t="s">
        <v>53</v>
      </c>
      <c r="F11" s="7"/>
      <c r="G11" s="7"/>
      <c r="H11" s="7"/>
      <c r="I11" s="7"/>
      <c r="J11" s="7"/>
      <c r="K11" s="7"/>
      <c r="L11" s="23" t="s">
        <v>54</v>
      </c>
      <c r="M11" s="7"/>
      <c r="N11" s="7"/>
      <c r="O11" s="7"/>
      <c r="P11" s="7"/>
      <c r="Q11" s="7"/>
    </row>
    <row r="12" spans="1:17" ht="15.75" thickBot="1" x14ac:dyDescent="0.3">
      <c r="A12" s="7"/>
      <c r="B12" s="7"/>
      <c r="C12" s="7"/>
      <c r="D12" s="7"/>
      <c r="E12" s="24">
        <v>0</v>
      </c>
      <c r="F12" s="7"/>
      <c r="G12" s="7"/>
      <c r="H12" s="7"/>
      <c r="I12" s="7"/>
      <c r="J12" s="7"/>
      <c r="K12" s="7"/>
      <c r="L12" s="24">
        <v>0</v>
      </c>
      <c r="M12" s="7"/>
      <c r="N12" s="7"/>
      <c r="O12" s="7"/>
      <c r="P12" s="7"/>
      <c r="Q12" s="7"/>
    </row>
    <row r="13" spans="1:17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</row>
    <row r="14" spans="1:17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</row>
    <row r="15" spans="1:17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</row>
    <row r="16" spans="1:17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</row>
    <row r="17" spans="1:17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</row>
    <row r="18" spans="1:17" x14ac:dyDescent="0.25">
      <c r="A18" s="7"/>
      <c r="B18" s="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7"/>
    </row>
    <row r="19" spans="1:17" x14ac:dyDescent="0.25">
      <c r="A19" s="7"/>
      <c r="B19" s="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7"/>
    </row>
    <row r="20" spans="1:17" x14ac:dyDescent="0.25">
      <c r="A20" s="7"/>
      <c r="B20" s="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7"/>
    </row>
    <row r="21" spans="1:17" x14ac:dyDescent="0.25">
      <c r="A21" s="7"/>
      <c r="B21" s="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7"/>
    </row>
    <row r="22" spans="1:17" x14ac:dyDescent="0.25">
      <c r="A22" s="7"/>
      <c r="B22" s="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7"/>
    </row>
    <row r="23" spans="1:17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 t="s">
        <v>61</v>
      </c>
      <c r="M23" s="7"/>
      <c r="N23" s="7"/>
      <c r="O23" s="7"/>
      <c r="P23" s="7"/>
      <c r="Q23" s="7"/>
    </row>
    <row r="24" spans="1:17" hidden="1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</row>
    <row r="25" spans="1:17" hidden="1" x14ac:dyDescent="0.25">
      <c r="I25">
        <f>IF(I26=1,0,IF(I27=1,0,1))</f>
        <v>1</v>
      </c>
    </row>
    <row r="26" spans="1:17" hidden="1" x14ac:dyDescent="0.25">
      <c r="B26">
        <f>COUNT(C26:G26)</f>
        <v>0</v>
      </c>
      <c r="C26" s="9"/>
      <c r="D26" s="9"/>
      <c r="E26" s="9"/>
      <c r="F26" s="9"/>
      <c r="G26" s="9"/>
      <c r="I26">
        <f>IF(LEFT(H1,1)="P",1,IF(C30=1,1,0))</f>
        <v>0</v>
      </c>
      <c r="J26">
        <f>COUNT(K26:O26)</f>
        <v>0</v>
      </c>
      <c r="K26" s="10"/>
      <c r="L26" s="10"/>
      <c r="M26" s="10"/>
      <c r="N26" s="10"/>
      <c r="O26" s="10"/>
    </row>
    <row r="27" spans="1:17" hidden="1" x14ac:dyDescent="0.25">
      <c r="C27" s="15" t="str">
        <f>IF(C$26="","",LOOKUP(C$26,Card_Database!$A$1:$C$53))</f>
        <v/>
      </c>
      <c r="D27" s="15" t="str">
        <f>IF(D$26="","",LOOKUP(D$26,Card_Database!$A$1:$C$53))</f>
        <v/>
      </c>
      <c r="E27" s="15" t="str">
        <f>IF(E$26="","",LOOKUP(E$26,Card_Database!$A$1:$C$53))</f>
        <v/>
      </c>
      <c r="F27" s="15" t="str">
        <f>IF(F$26="","",LOOKUP(F$26,Card_Database!$A$1:$C$53))</f>
        <v/>
      </c>
      <c r="G27" s="15" t="str">
        <f>IF(G$26="","",LOOKUP(G$26,Card_Database!$A$1:$C$53))</f>
        <v/>
      </c>
      <c r="H27" s="1"/>
      <c r="I27">
        <f>IF(LEFT(H1,1)="B",1,IF(K30=1,1,0))</f>
        <v>0</v>
      </c>
      <c r="J27" s="1"/>
      <c r="K27" s="15" t="str">
        <f>IF(K$26="","",LOOKUP(K$26,Card_Database!$A$1:$C$53))</f>
        <v/>
      </c>
      <c r="L27" s="15" t="str">
        <f>IF(L$26="","",LOOKUP(L$26,Card_Database!$A$1:$C$53))</f>
        <v/>
      </c>
      <c r="M27" s="15" t="str">
        <f>IF(M$26="","",LOOKUP(M$26,Card_Database!$A$1:$C$53))</f>
        <v/>
      </c>
      <c r="N27" s="15" t="str">
        <f>IF(N$26="","",LOOKUP(N$26,Card_Database!$A$1:$C$53))</f>
        <v/>
      </c>
      <c r="O27" s="15" t="str">
        <f>IF(O$26="","",LOOKUP(O$26,Card_Database!$A$1:$C$53))</f>
        <v/>
      </c>
    </row>
    <row r="28" spans="1:17" hidden="1" x14ac:dyDescent="0.25">
      <c r="C28" s="15" t="str">
        <f>IF(C$26="","",LOOKUP(C$26,Card_Database!$A$1:$B$53))</f>
        <v/>
      </c>
      <c r="D28" s="15" t="str">
        <f>IF(D$26="","",LOOKUP(D$26,Card_Database!$A$1:$B$53))</f>
        <v/>
      </c>
      <c r="E28" s="15" t="str">
        <f>IF(E$26="","",LOOKUP(E$26,Card_Database!$A$1:$B$53))</f>
        <v/>
      </c>
      <c r="F28" s="15" t="str">
        <f>IF(F$26="","",LOOKUP(F$26,Card_Database!$A$1:$B$53))</f>
        <v/>
      </c>
      <c r="G28" s="15" t="str">
        <f>IF(G$26="","",LOOKUP(G$26,Card_Database!$A$1:$B$53))</f>
        <v/>
      </c>
      <c r="H28" s="1"/>
      <c r="I28" s="1"/>
      <c r="J28" s="1"/>
      <c r="K28" s="15" t="str">
        <f>IF(K$26="","",LOOKUP(K$26,Card_Database!$A$1:$B$53))</f>
        <v/>
      </c>
      <c r="L28" s="15" t="str">
        <f>IF(L$26="","",LOOKUP(L$26,Card_Database!$A$1:$B$53))</f>
        <v/>
      </c>
      <c r="M28" s="15" t="str">
        <f>IF(M$26="","",LOOKUP(M$26,Card_Database!$A$1:$B$53))</f>
        <v/>
      </c>
      <c r="N28" s="15" t="str">
        <f>IF(N$26="","",LOOKUP(N$26,Card_Database!$A$1:$B$53))</f>
        <v/>
      </c>
      <c r="O28" s="15" t="str">
        <f>IF(O$26="","",LOOKUP(O$26,Card_Database!$A$1:$B$53))</f>
        <v/>
      </c>
    </row>
    <row r="29" spans="1:17" ht="15.75" hidden="1" thickBot="1" x14ac:dyDescent="0.3">
      <c r="C29" s="16" t="str">
        <f>IF(C26="","",IF(ISTEXT(C28),IF(C28="A",IF(B35&lt;3,11,1),10),C28))</f>
        <v/>
      </c>
      <c r="D29" s="16" t="str">
        <f>IF(D26="","",IF(ISTEXT(D28),IF(D28="A",IF(C28="A",1,11),10),D28))</f>
        <v/>
      </c>
      <c r="E29" s="16" t="str">
        <f>IF(E26="","",IF(ISTEXT(E28),IF(E28="A",1,10),E28))</f>
        <v/>
      </c>
      <c r="F29" s="16" t="str">
        <f>IF(F26="","",IF(ISTEXT(F28),IF(F28="A",1,10),F28))</f>
        <v/>
      </c>
      <c r="G29" s="16" t="str">
        <f>IF(G26="","",IF(ISTEXT(G28),IF(G28="A",1,10),G28))</f>
        <v/>
      </c>
      <c r="H29">
        <f>SUM(C29:G29)</f>
        <v>0</v>
      </c>
      <c r="J29">
        <f>SUM(K29:O29)</f>
        <v>0</v>
      </c>
      <c r="K29" s="16" t="str">
        <f>IF(K26="","",IF(ISTEXT(K28),IF(K28="A",IF(J35&lt;3,11,1),10),K28))</f>
        <v/>
      </c>
      <c r="L29" s="16" t="str">
        <f>IF(L26="","",IF(ISTEXT(L28),IF(L28="A",IF(K28="A",1,11),10),L28))</f>
        <v/>
      </c>
      <c r="M29" s="16" t="str">
        <f>IF(M26="","",IF(ISTEXT(M28),IF(M28="A",1,10),M28))</f>
        <v/>
      </c>
      <c r="N29" s="16" t="str">
        <f>IF(N26="","",IF(ISTEXT(N28),IF(N28="A",1,10),N28))</f>
        <v/>
      </c>
      <c r="O29" s="16" t="str">
        <f>IF(O26="","",IF(ISTEXT(O28),IF(O28="A",1,10),O28))</f>
        <v/>
      </c>
    </row>
    <row r="30" spans="1:17" ht="15.75" hidden="1" thickBot="1" x14ac:dyDescent="0.3">
      <c r="A30" s="11" t="s">
        <v>55</v>
      </c>
      <c r="B30" s="12" t="s">
        <v>56</v>
      </c>
      <c r="C30" s="14" t="b">
        <f>IF(C29=11,IF(D29=10,1,0),IF(C29=10,IF(D29=1,1,IF(D29=11,1,0))))</f>
        <v>0</v>
      </c>
      <c r="D30" s="14"/>
      <c r="E30" s="14"/>
      <c r="F30" s="14"/>
      <c r="G30" s="14"/>
      <c r="H30" s="12"/>
      <c r="I30" s="12" t="str">
        <f>IF(C30=1,IF(K30=1,"Tie","Player Win"),IF(K30=1,"Banker Win",""))</f>
        <v/>
      </c>
      <c r="J30" s="12"/>
      <c r="K30" s="14" t="b">
        <f>IF(K29=11,IF(L29=10,1,0),IF(K29=10,IF(L29=1,1,IF(L29=11,1,0))))</f>
        <v>0</v>
      </c>
      <c r="L30" s="14"/>
      <c r="M30" s="14"/>
      <c r="N30" s="14"/>
      <c r="O30" s="14"/>
      <c r="P30" s="12"/>
      <c r="Q30" s="13"/>
    </row>
    <row r="31" spans="1:17" hidden="1" x14ac:dyDescent="0.25">
      <c r="D31">
        <f>SUM($C29:D29)</f>
        <v>0</v>
      </c>
      <c r="E31">
        <f>SUM($C29:E29)</f>
        <v>0</v>
      </c>
      <c r="F31">
        <f>SUM($C29:F29)</f>
        <v>0</v>
      </c>
      <c r="G31">
        <f>SUM($C29:G29)</f>
        <v>0</v>
      </c>
      <c r="L31">
        <f>SUM($K29:L29)</f>
        <v>0</v>
      </c>
      <c r="M31">
        <f>SUM($K29:M29)</f>
        <v>0</v>
      </c>
      <c r="N31">
        <f>SUM($K29:N29)</f>
        <v>0</v>
      </c>
      <c r="O31">
        <f>SUM($K29:O29)</f>
        <v>0</v>
      </c>
    </row>
    <row r="32" spans="1:17" hidden="1" x14ac:dyDescent="0.25">
      <c r="A32" t="s">
        <v>57</v>
      </c>
      <c r="B32" t="s">
        <v>56</v>
      </c>
      <c r="D32" t="b">
        <f>IF(D31&gt;21,TRUE,FALSE)</f>
        <v>0</v>
      </c>
      <c r="E32" t="b">
        <f>IF(D32=FALSE,IF(E31&gt;21,TRUE,FALSE),FALSE)</f>
        <v>0</v>
      </c>
      <c r="F32" t="b">
        <f>IF(E32=FALSE,IF(F31&gt;21,TRUE,FALSE),FALSE)</f>
        <v>0</v>
      </c>
      <c r="G32" t="b">
        <f>IF(F32=FALSE,IF(G31&gt;21,IF(E32=FALSE,TRUE,FALSE),FALSE),FALSE)</f>
        <v>0</v>
      </c>
      <c r="H32">
        <f>COUNTIF(D32:G32,TRUE)</f>
        <v>0</v>
      </c>
      <c r="L32" t="b">
        <f>IF(L31&gt;21,TRUE,FALSE)</f>
        <v>0</v>
      </c>
      <c r="M32" t="b">
        <f>IF(L32=FALSE,IF(M31&gt;21,TRUE,FALSE),FALSE)</f>
        <v>0</v>
      </c>
      <c r="N32" t="b">
        <f>IF(M32=FALSE,IF(N31&gt;21,TRUE,FALSE),FALSE)</f>
        <v>0</v>
      </c>
      <c r="O32" t="b">
        <f>IF(N32=FALSE,IF(O31&gt;21,IF(M32=FALSE,TRUE,FALSE),FALSE),FALSE)</f>
        <v>0</v>
      </c>
      <c r="P32">
        <f>COUNTIF(L32:O32,TRUE)</f>
        <v>0</v>
      </c>
    </row>
    <row r="33" spans="1:10" hidden="1" x14ac:dyDescent="0.25">
      <c r="E33" t="s">
        <v>58</v>
      </c>
      <c r="F33" t="s">
        <v>59</v>
      </c>
      <c r="G33" t="s">
        <v>60</v>
      </c>
      <c r="H33" t="str">
        <f>CONCATENATE(E33,CHAR(10),F33,CHAR(10),G33)</f>
        <v>GAME OVER
NEXT GAME
CLICK DEAL</v>
      </c>
    </row>
    <row r="34" spans="1:10" hidden="1" x14ac:dyDescent="0.25"/>
    <row r="35" spans="1:10" hidden="1" x14ac:dyDescent="0.25">
      <c r="A35" t="s">
        <v>4</v>
      </c>
      <c r="B35">
        <f>COUNTIF(C28:G28,A35)</f>
        <v>0</v>
      </c>
      <c r="J35">
        <f>COUNTIF(K28:O28,A35)</f>
        <v>0</v>
      </c>
    </row>
  </sheetData>
  <sheetProtection selectLockedCells="1" selectUnlockedCells="1"/>
  <mergeCells count="8">
    <mergeCell ref="C18:P22"/>
    <mergeCell ref="C2:G2"/>
    <mergeCell ref="C1:G1"/>
    <mergeCell ref="K2:O2"/>
    <mergeCell ref="K1:O1"/>
    <mergeCell ref="C3:G3"/>
    <mergeCell ref="K3:O3"/>
    <mergeCell ref="H1:J1"/>
  </mergeCells>
  <conditionalFormatting sqref="C3:G4">
    <cfRule type="expression" dxfId="3" priority="4">
      <formula>$I$26</formula>
    </cfRule>
  </conditionalFormatting>
  <conditionalFormatting sqref="K3:O4">
    <cfRule type="expression" dxfId="2" priority="3">
      <formula>$I$27</formula>
    </cfRule>
  </conditionalFormatting>
  <conditionalFormatting sqref="J4">
    <cfRule type="expression" dxfId="1" priority="2">
      <formula>$I$25</formula>
    </cfRule>
  </conditionalFormatting>
  <conditionalFormatting sqref="K4">
    <cfRule type="expression" dxfId="0" priority="1">
      <formula>$I$25</formula>
    </cfRule>
  </conditionalFormatting>
  <pageMargins left="0.7" right="0.7" top="0.75" bottom="0.75" header="0.3" footer="0.3"/>
  <pageSetup orientation="portrait" r:id="rId1"/>
  <ignoredErrors>
    <ignoredError sqref="I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croll Bar 2">
              <controlPr defaultSize="0" autoPict="0">
                <anchor moveWithCells="1">
                  <from>
                    <xdr:col>7</xdr:col>
                    <xdr:colOff>19050</xdr:colOff>
                    <xdr:row>5</xdr:row>
                    <xdr:rowOff>0</xdr:rowOff>
                  </from>
                  <to>
                    <xdr:col>9</xdr:col>
                    <xdr:colOff>485775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"/>
  <sheetViews>
    <sheetView workbookViewId="0">
      <selection activeCell="B7" sqref="B7"/>
    </sheetView>
  </sheetViews>
  <sheetFormatPr defaultRowHeight="45" customHeight="1" x14ac:dyDescent="0.25"/>
  <cols>
    <col min="2" max="2" width="9.140625" style="2"/>
  </cols>
  <sheetData>
    <row r="1" spans="1:1" ht="45" customHeight="1" x14ac:dyDescent="0.25">
      <c r="A1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K53"/>
  <sheetViews>
    <sheetView topLeftCell="A47" zoomScale="90" zoomScaleNormal="90" workbookViewId="0">
      <selection activeCell="C53" sqref="C53"/>
    </sheetView>
  </sheetViews>
  <sheetFormatPr defaultRowHeight="46.5" x14ac:dyDescent="0.25"/>
  <cols>
    <col min="1" max="1" width="9.140625" style="3"/>
    <col min="2" max="2" width="3" style="3" bestFit="1" customWidth="1"/>
    <col min="3" max="3" width="12" style="3" bestFit="1" customWidth="1"/>
    <col min="4" max="4" width="12" style="3" customWidth="1"/>
    <col min="5" max="5" width="9.5703125" style="5" customWidth="1"/>
    <col min="6" max="37" width="9.140625" style="5"/>
    <col min="38" max="16384" width="9.140625" style="3"/>
  </cols>
  <sheetData>
    <row r="1" spans="1:17" ht="57.75" x14ac:dyDescent="0.25">
      <c r="A1" s="3">
        <v>1</v>
      </c>
      <c r="B1" s="3" t="s">
        <v>4</v>
      </c>
      <c r="C1" s="4" t="s">
        <v>16</v>
      </c>
      <c r="D1" s="4"/>
    </row>
    <row r="2" spans="1:17" ht="57.75" x14ac:dyDescent="0.25">
      <c r="A2" s="3">
        <v>2</v>
      </c>
      <c r="B2" s="3" t="s">
        <v>2</v>
      </c>
      <c r="C2" s="4" t="s">
        <v>31</v>
      </c>
      <c r="D2" s="4"/>
      <c r="F2" s="5" t="s">
        <v>7</v>
      </c>
      <c r="G2" s="5" t="s">
        <v>3</v>
      </c>
      <c r="H2" s="5" t="s">
        <v>8</v>
      </c>
      <c r="I2" s="5" t="s">
        <v>9</v>
      </c>
      <c r="J2" s="5" t="s">
        <v>10</v>
      </c>
      <c r="K2" s="5" t="s">
        <v>11</v>
      </c>
      <c r="L2" s="5" t="s">
        <v>12</v>
      </c>
      <c r="M2" s="5" t="s">
        <v>13</v>
      </c>
      <c r="N2" s="5" t="s">
        <v>14</v>
      </c>
      <c r="O2" s="5" t="s">
        <v>15</v>
      </c>
    </row>
    <row r="3" spans="1:17" ht="57.75" x14ac:dyDescent="0.25">
      <c r="A3" s="3">
        <v>3</v>
      </c>
      <c r="B3" s="3" t="s">
        <v>5</v>
      </c>
      <c r="C3" s="4" t="s">
        <v>24</v>
      </c>
      <c r="D3" s="4"/>
      <c r="F3" s="4" t="s">
        <v>7</v>
      </c>
      <c r="G3" s="4" t="s">
        <v>3</v>
      </c>
      <c r="H3" s="4" t="s">
        <v>8</v>
      </c>
      <c r="I3" s="4" t="s">
        <v>9</v>
      </c>
      <c r="J3" s="4" t="s">
        <v>10</v>
      </c>
      <c r="K3" s="4" t="s">
        <v>11</v>
      </c>
      <c r="L3" s="4" t="s">
        <v>12</v>
      </c>
      <c r="M3" s="4" t="s">
        <v>13</v>
      </c>
      <c r="N3" s="4" t="s">
        <v>14</v>
      </c>
      <c r="O3" s="4" t="s">
        <v>15</v>
      </c>
    </row>
    <row r="4" spans="1:17" ht="57.75" x14ac:dyDescent="0.25">
      <c r="A4" s="3">
        <v>4</v>
      </c>
      <c r="B4" s="3" t="s">
        <v>6</v>
      </c>
      <c r="C4" s="4" t="s">
        <v>23</v>
      </c>
      <c r="D4" s="4"/>
      <c r="F4" s="5" t="s">
        <v>16</v>
      </c>
      <c r="G4" s="5" t="s">
        <v>17</v>
      </c>
      <c r="H4" s="5" t="s">
        <v>18</v>
      </c>
      <c r="I4" s="5" t="s">
        <v>19</v>
      </c>
      <c r="J4" s="5" t="s">
        <v>20</v>
      </c>
      <c r="K4" s="5" t="s">
        <v>21</v>
      </c>
      <c r="L4" s="5" t="s">
        <v>22</v>
      </c>
      <c r="M4" s="5" t="s">
        <v>23</v>
      </c>
      <c r="N4" s="5" t="s">
        <v>24</v>
      </c>
    </row>
    <row r="5" spans="1:17" ht="57.75" x14ac:dyDescent="0.25">
      <c r="A5" s="3">
        <v>5</v>
      </c>
      <c r="B5" s="3">
        <v>10</v>
      </c>
      <c r="C5" s="4" t="s">
        <v>22</v>
      </c>
      <c r="D5" s="4"/>
      <c r="F5" s="4" t="s">
        <v>16</v>
      </c>
      <c r="G5" s="4" t="s">
        <v>17</v>
      </c>
      <c r="H5" s="4" t="s">
        <v>18</v>
      </c>
      <c r="I5" s="4" t="s">
        <v>19</v>
      </c>
      <c r="J5" s="4" t="s">
        <v>20</v>
      </c>
      <c r="K5" s="4" t="s">
        <v>21</v>
      </c>
      <c r="L5" s="4" t="s">
        <v>22</v>
      </c>
      <c r="M5" s="4" t="s">
        <v>23</v>
      </c>
      <c r="N5" s="4" t="s">
        <v>24</v>
      </c>
      <c r="Q5" s="6"/>
    </row>
    <row r="6" spans="1:17" ht="57.75" x14ac:dyDescent="0.25">
      <c r="A6" s="3">
        <v>6</v>
      </c>
      <c r="B6" s="3">
        <v>9</v>
      </c>
      <c r="C6" s="4" t="s">
        <v>13</v>
      </c>
      <c r="D6" s="4"/>
      <c r="F6" s="5" t="s">
        <v>25</v>
      </c>
      <c r="G6" s="5" t="s">
        <v>26</v>
      </c>
      <c r="H6" s="5" t="s">
        <v>27</v>
      </c>
      <c r="I6" s="5" t="s">
        <v>28</v>
      </c>
      <c r="J6" s="5" t="s">
        <v>29</v>
      </c>
      <c r="K6" s="5" t="s">
        <v>30</v>
      </c>
      <c r="L6" s="5" t="s">
        <v>31</v>
      </c>
      <c r="P6" s="6"/>
    </row>
    <row r="7" spans="1:17" ht="57.75" x14ac:dyDescent="0.25">
      <c r="A7" s="3">
        <v>7</v>
      </c>
      <c r="B7" s="3">
        <v>8</v>
      </c>
      <c r="C7" s="4" t="s">
        <v>21</v>
      </c>
      <c r="D7" s="4"/>
      <c r="F7" s="4" t="s">
        <v>25</v>
      </c>
      <c r="G7" s="4" t="s">
        <v>26</v>
      </c>
      <c r="H7" s="4" t="s">
        <v>27</v>
      </c>
      <c r="I7" s="4" t="s">
        <v>28</v>
      </c>
      <c r="J7" s="4" t="s">
        <v>29</v>
      </c>
      <c r="K7" s="4" t="s">
        <v>30</v>
      </c>
      <c r="L7" s="4" t="s">
        <v>31</v>
      </c>
    </row>
    <row r="8" spans="1:17" ht="57.75" x14ac:dyDescent="0.25">
      <c r="A8" s="3">
        <v>8</v>
      </c>
      <c r="B8" s="3">
        <v>7</v>
      </c>
      <c r="C8" s="4" t="s">
        <v>20</v>
      </c>
      <c r="D8" s="4"/>
      <c r="F8" s="5" t="s">
        <v>5</v>
      </c>
      <c r="G8" s="5" t="s">
        <v>32</v>
      </c>
      <c r="H8" s="5" t="s">
        <v>33</v>
      </c>
      <c r="I8" s="5" t="s">
        <v>34</v>
      </c>
      <c r="J8" s="5" t="s">
        <v>35</v>
      </c>
      <c r="K8" s="5" t="s">
        <v>36</v>
      </c>
      <c r="L8" s="5" t="s">
        <v>37</v>
      </c>
      <c r="M8" s="5" t="s">
        <v>38</v>
      </c>
      <c r="N8" s="5" t="s">
        <v>39</v>
      </c>
      <c r="O8" s="5" t="s">
        <v>40</v>
      </c>
    </row>
    <row r="9" spans="1:17" ht="57.75" x14ac:dyDescent="0.25">
      <c r="A9" s="3">
        <v>9</v>
      </c>
      <c r="B9" s="3">
        <v>6</v>
      </c>
      <c r="C9" s="4" t="s">
        <v>19</v>
      </c>
      <c r="D9" s="4"/>
      <c r="F9" s="4" t="s">
        <v>5</v>
      </c>
      <c r="G9" s="4" t="s">
        <v>32</v>
      </c>
      <c r="H9" s="4" t="s">
        <v>33</v>
      </c>
      <c r="I9" s="4" t="s">
        <v>34</v>
      </c>
      <c r="J9" s="4" t="s">
        <v>35</v>
      </c>
      <c r="K9" s="4" t="s">
        <v>36</v>
      </c>
      <c r="L9" s="4" t="s">
        <v>37</v>
      </c>
      <c r="M9" s="4" t="s">
        <v>38</v>
      </c>
      <c r="N9" s="4" t="s">
        <v>39</v>
      </c>
      <c r="O9" s="4" t="s">
        <v>40</v>
      </c>
    </row>
    <row r="10" spans="1:17" ht="57.75" x14ac:dyDescent="0.25">
      <c r="A10" s="3">
        <v>10</v>
      </c>
      <c r="B10" s="3">
        <v>5</v>
      </c>
      <c r="C10" s="4" t="s">
        <v>8</v>
      </c>
      <c r="D10" s="4"/>
      <c r="F10" s="5" t="s">
        <v>4</v>
      </c>
      <c r="G10" s="5" t="s">
        <v>1</v>
      </c>
      <c r="H10" s="5" t="s">
        <v>41</v>
      </c>
      <c r="I10" s="5" t="s">
        <v>42</v>
      </c>
      <c r="J10" s="5" t="s">
        <v>43</v>
      </c>
      <c r="K10" s="5" t="s">
        <v>44</v>
      </c>
      <c r="L10" s="5" t="s">
        <v>6</v>
      </c>
      <c r="M10" s="5" t="s">
        <v>2</v>
      </c>
      <c r="N10" s="5" t="s">
        <v>45</v>
      </c>
    </row>
    <row r="11" spans="1:17" ht="57.75" x14ac:dyDescent="0.25">
      <c r="A11" s="3">
        <v>11</v>
      </c>
      <c r="B11" s="3">
        <v>4</v>
      </c>
      <c r="C11" s="4" t="s">
        <v>18</v>
      </c>
      <c r="D11" s="4"/>
      <c r="F11" s="4" t="s">
        <v>4</v>
      </c>
      <c r="G11" s="4" t="s">
        <v>1</v>
      </c>
      <c r="H11" s="4" t="s">
        <v>41</v>
      </c>
      <c r="I11" s="4" t="s">
        <v>42</v>
      </c>
      <c r="J11" s="4" t="s">
        <v>43</v>
      </c>
      <c r="K11" s="4" t="s">
        <v>44</v>
      </c>
      <c r="L11" s="4" t="s">
        <v>6</v>
      </c>
      <c r="M11" s="4" t="s">
        <v>2</v>
      </c>
      <c r="N11" s="4" t="s">
        <v>45</v>
      </c>
    </row>
    <row r="12" spans="1:17" ht="57.75" x14ac:dyDescent="0.25">
      <c r="A12" s="3">
        <v>12</v>
      </c>
      <c r="B12" s="3">
        <v>3</v>
      </c>
      <c r="C12" s="4" t="s">
        <v>27</v>
      </c>
      <c r="D12" s="4"/>
      <c r="F12" s="5" t="s">
        <v>46</v>
      </c>
      <c r="G12" s="5" t="s">
        <v>47</v>
      </c>
      <c r="H12" s="5" t="s">
        <v>48</v>
      </c>
      <c r="I12" s="5" t="s">
        <v>52</v>
      </c>
      <c r="J12" s="5" t="s">
        <v>49</v>
      </c>
      <c r="K12" s="5" t="s">
        <v>0</v>
      </c>
      <c r="L12" s="5" t="s">
        <v>50</v>
      </c>
    </row>
    <row r="13" spans="1:17" ht="57.75" x14ac:dyDescent="0.25">
      <c r="A13" s="3">
        <v>13</v>
      </c>
      <c r="B13" s="3">
        <v>2</v>
      </c>
      <c r="C13" s="4" t="s">
        <v>29</v>
      </c>
      <c r="D13" s="4"/>
      <c r="F13" s="4" t="s">
        <v>46</v>
      </c>
      <c r="G13" s="4" t="s">
        <v>47</v>
      </c>
      <c r="H13" s="4" t="s">
        <v>48</v>
      </c>
      <c r="I13" s="4" t="s">
        <v>52</v>
      </c>
      <c r="J13" s="4" t="s">
        <v>49</v>
      </c>
      <c r="K13" s="4" t="s">
        <v>0</v>
      </c>
      <c r="L13" s="4" t="s">
        <v>50</v>
      </c>
    </row>
    <row r="14" spans="1:17" ht="57.75" x14ac:dyDescent="0.25">
      <c r="A14" s="3">
        <v>14</v>
      </c>
      <c r="B14" s="3" t="s">
        <v>4</v>
      </c>
      <c r="C14" s="4" t="s">
        <v>0</v>
      </c>
      <c r="D14" s="4"/>
    </row>
    <row r="15" spans="1:17" ht="57.75" x14ac:dyDescent="0.25">
      <c r="A15" s="3">
        <v>15</v>
      </c>
      <c r="B15" s="3" t="s">
        <v>2</v>
      </c>
      <c r="C15" s="4" t="s">
        <v>46</v>
      </c>
      <c r="D15" s="4"/>
    </row>
    <row r="16" spans="1:17" ht="57.75" x14ac:dyDescent="0.25">
      <c r="A16" s="3">
        <v>16</v>
      </c>
      <c r="B16" s="3" t="s">
        <v>5</v>
      </c>
      <c r="C16" s="4" t="s">
        <v>36</v>
      </c>
      <c r="D16" s="4"/>
    </row>
    <row r="17" spans="1:4" ht="57.75" x14ac:dyDescent="0.25">
      <c r="A17" s="3">
        <v>17</v>
      </c>
      <c r="B17" s="3" t="s">
        <v>6</v>
      </c>
      <c r="C17" s="4" t="s">
        <v>47</v>
      </c>
      <c r="D17" s="4"/>
    </row>
    <row r="18" spans="1:4" ht="57.75" x14ac:dyDescent="0.25">
      <c r="A18" s="3">
        <v>18</v>
      </c>
      <c r="B18" s="3">
        <v>10</v>
      </c>
      <c r="C18" s="4" t="s">
        <v>32</v>
      </c>
      <c r="D18" s="4"/>
    </row>
    <row r="19" spans="1:4" ht="57.75" x14ac:dyDescent="0.25">
      <c r="A19" s="3">
        <v>19</v>
      </c>
      <c r="B19" s="3">
        <v>9</v>
      </c>
      <c r="C19" s="4" t="s">
        <v>52</v>
      </c>
      <c r="D19" s="4"/>
    </row>
    <row r="20" spans="1:4" ht="57.75" x14ac:dyDescent="0.25">
      <c r="A20" s="3">
        <v>20</v>
      </c>
      <c r="B20" s="3">
        <v>8</v>
      </c>
      <c r="C20" s="4" t="s">
        <v>37</v>
      </c>
      <c r="D20" s="4"/>
    </row>
    <row r="21" spans="1:4" ht="57.75" x14ac:dyDescent="0.25">
      <c r="A21" s="3">
        <v>21</v>
      </c>
      <c r="B21" s="3">
        <v>7</v>
      </c>
      <c r="C21" s="4" t="s">
        <v>35</v>
      </c>
      <c r="D21" s="4"/>
    </row>
    <row r="22" spans="1:4" ht="57.75" x14ac:dyDescent="0.25">
      <c r="A22" s="3">
        <v>22</v>
      </c>
      <c r="B22" s="3">
        <v>6</v>
      </c>
      <c r="C22" s="4" t="s">
        <v>1</v>
      </c>
      <c r="D22" s="4"/>
    </row>
    <row r="23" spans="1:4" ht="57.75" x14ac:dyDescent="0.25">
      <c r="A23" s="3">
        <v>23</v>
      </c>
      <c r="B23" s="3">
        <v>5</v>
      </c>
      <c r="C23" s="4" t="s">
        <v>34</v>
      </c>
      <c r="D23" s="4"/>
    </row>
    <row r="24" spans="1:4" ht="57.75" x14ac:dyDescent="0.25">
      <c r="A24" s="3">
        <v>24</v>
      </c>
      <c r="B24" s="3">
        <v>4</v>
      </c>
      <c r="C24" s="4" t="s">
        <v>5</v>
      </c>
      <c r="D24" s="4"/>
    </row>
    <row r="25" spans="1:4" ht="57.75" x14ac:dyDescent="0.25">
      <c r="A25" s="3">
        <v>25</v>
      </c>
      <c r="B25" s="3">
        <v>3</v>
      </c>
      <c r="C25" s="4" t="s">
        <v>40</v>
      </c>
      <c r="D25" s="4"/>
    </row>
    <row r="26" spans="1:4" ht="57.75" x14ac:dyDescent="0.25">
      <c r="A26" s="3">
        <v>26</v>
      </c>
      <c r="B26" s="3">
        <v>2</v>
      </c>
      <c r="C26" s="4" t="s">
        <v>39</v>
      </c>
      <c r="D26" s="4"/>
    </row>
    <row r="27" spans="1:4" ht="57.75" x14ac:dyDescent="0.25">
      <c r="A27" s="3">
        <v>27</v>
      </c>
      <c r="B27" s="3" t="s">
        <v>4</v>
      </c>
      <c r="C27" s="4" t="s">
        <v>30</v>
      </c>
      <c r="D27" s="4"/>
    </row>
    <row r="28" spans="1:4" ht="57.75" x14ac:dyDescent="0.25">
      <c r="A28" s="3">
        <v>28</v>
      </c>
      <c r="B28" s="3" t="s">
        <v>2</v>
      </c>
      <c r="C28" s="4" t="s">
        <v>25</v>
      </c>
      <c r="D28" s="4"/>
    </row>
    <row r="29" spans="1:4" ht="57.75" x14ac:dyDescent="0.25">
      <c r="A29" s="3">
        <v>29</v>
      </c>
      <c r="B29" s="3" t="s">
        <v>5</v>
      </c>
      <c r="C29" s="4" t="s">
        <v>11</v>
      </c>
      <c r="D29" s="4"/>
    </row>
    <row r="30" spans="1:4" ht="57.75" x14ac:dyDescent="0.25">
      <c r="A30" s="3">
        <v>30</v>
      </c>
      <c r="B30" s="3" t="s">
        <v>6</v>
      </c>
      <c r="C30" s="4" t="s">
        <v>26</v>
      </c>
      <c r="D30" s="4"/>
    </row>
    <row r="31" spans="1:4" ht="57.75" x14ac:dyDescent="0.25">
      <c r="A31" s="3">
        <v>31</v>
      </c>
      <c r="B31" s="3">
        <v>10</v>
      </c>
      <c r="C31" s="4" t="s">
        <v>3</v>
      </c>
      <c r="D31" s="4"/>
    </row>
    <row r="32" spans="1:4" ht="57.75" x14ac:dyDescent="0.25">
      <c r="A32" s="3">
        <v>32</v>
      </c>
      <c r="B32" s="3">
        <v>9</v>
      </c>
      <c r="C32" s="4" t="s">
        <v>28</v>
      </c>
      <c r="D32" s="4"/>
    </row>
    <row r="33" spans="1:4" ht="57.75" x14ac:dyDescent="0.25">
      <c r="A33" s="3">
        <v>33</v>
      </c>
      <c r="B33" s="3">
        <v>8</v>
      </c>
      <c r="C33" s="4" t="s">
        <v>12</v>
      </c>
      <c r="D33" s="4"/>
    </row>
    <row r="34" spans="1:4" ht="57.75" x14ac:dyDescent="0.25">
      <c r="A34" s="3">
        <v>34</v>
      </c>
      <c r="B34" s="3">
        <v>7</v>
      </c>
      <c r="C34" s="4" t="s">
        <v>10</v>
      </c>
      <c r="D34" s="4"/>
    </row>
    <row r="35" spans="1:4" ht="57.75" x14ac:dyDescent="0.25">
      <c r="A35" s="3">
        <v>35</v>
      </c>
      <c r="B35" s="3">
        <v>6</v>
      </c>
      <c r="C35" s="4" t="s">
        <v>17</v>
      </c>
      <c r="D35" s="4"/>
    </row>
    <row r="36" spans="1:4" ht="57.75" x14ac:dyDescent="0.25">
      <c r="A36" s="3">
        <v>36</v>
      </c>
      <c r="B36" s="3">
        <v>5</v>
      </c>
      <c r="C36" s="4" t="s">
        <v>9</v>
      </c>
      <c r="D36" s="4"/>
    </row>
    <row r="37" spans="1:4" ht="57.75" x14ac:dyDescent="0.25">
      <c r="A37" s="3">
        <v>37</v>
      </c>
      <c r="B37" s="3">
        <v>4</v>
      </c>
      <c r="C37" s="4" t="s">
        <v>7</v>
      </c>
      <c r="D37" s="4"/>
    </row>
    <row r="38" spans="1:4" ht="57.75" x14ac:dyDescent="0.25">
      <c r="A38" s="3">
        <v>38</v>
      </c>
      <c r="B38" s="3">
        <v>3</v>
      </c>
      <c r="C38" s="4" t="s">
        <v>15</v>
      </c>
      <c r="D38" s="4"/>
    </row>
    <row r="39" spans="1:4" ht="57.75" x14ac:dyDescent="0.25">
      <c r="A39" s="3">
        <v>39</v>
      </c>
      <c r="B39" s="3">
        <v>2</v>
      </c>
      <c r="C39" s="4" t="s">
        <v>14</v>
      </c>
      <c r="D39" s="4"/>
    </row>
    <row r="40" spans="1:4" ht="57.75" x14ac:dyDescent="0.25">
      <c r="A40" s="3">
        <v>40</v>
      </c>
      <c r="B40" s="3" t="s">
        <v>4</v>
      </c>
      <c r="C40" s="4" t="s">
        <v>4</v>
      </c>
      <c r="D40" s="4"/>
    </row>
    <row r="41" spans="1:4" ht="57.75" x14ac:dyDescent="0.25">
      <c r="A41" s="3">
        <v>41</v>
      </c>
      <c r="B41" s="3" t="s">
        <v>2</v>
      </c>
      <c r="C41" s="4" t="s">
        <v>50</v>
      </c>
      <c r="D41" s="4"/>
    </row>
    <row r="42" spans="1:4" ht="57.75" x14ac:dyDescent="0.25">
      <c r="A42" s="3">
        <v>42</v>
      </c>
      <c r="B42" s="3" t="s">
        <v>5</v>
      </c>
      <c r="C42" s="4" t="s">
        <v>45</v>
      </c>
      <c r="D42" s="4"/>
    </row>
    <row r="43" spans="1:4" ht="57.75" x14ac:dyDescent="0.25">
      <c r="A43" s="3">
        <v>43</v>
      </c>
      <c r="B43" s="3" t="s">
        <v>6</v>
      </c>
      <c r="C43" s="4" t="s">
        <v>2</v>
      </c>
      <c r="D43" s="4"/>
    </row>
    <row r="44" spans="1:4" ht="57.75" x14ac:dyDescent="0.25">
      <c r="A44" s="3">
        <v>44</v>
      </c>
      <c r="B44" s="3">
        <v>10</v>
      </c>
      <c r="C44" s="4" t="s">
        <v>6</v>
      </c>
      <c r="D44" s="4"/>
    </row>
    <row r="45" spans="1:4" ht="57.75" x14ac:dyDescent="0.25">
      <c r="A45" s="3">
        <v>45</v>
      </c>
      <c r="B45" s="3">
        <v>9</v>
      </c>
      <c r="C45" s="4" t="s">
        <v>38</v>
      </c>
      <c r="D45" s="4"/>
    </row>
    <row r="46" spans="1:4" ht="57.75" x14ac:dyDescent="0.25">
      <c r="A46" s="3">
        <v>46</v>
      </c>
      <c r="B46" s="3">
        <v>8</v>
      </c>
      <c r="C46" s="4" t="s">
        <v>44</v>
      </c>
      <c r="D46" s="4"/>
    </row>
    <row r="47" spans="1:4" ht="57.75" x14ac:dyDescent="0.25">
      <c r="A47" s="3">
        <v>47</v>
      </c>
      <c r="B47" s="3">
        <v>7</v>
      </c>
      <c r="C47" s="4" t="s">
        <v>43</v>
      </c>
      <c r="D47" s="4"/>
    </row>
    <row r="48" spans="1:4" ht="57.75" x14ac:dyDescent="0.25">
      <c r="A48" s="3">
        <v>48</v>
      </c>
      <c r="B48" s="3">
        <v>6</v>
      </c>
      <c r="C48" s="4" t="s">
        <v>42</v>
      </c>
      <c r="D48" s="4"/>
    </row>
    <row r="49" spans="1:4" ht="57.75" x14ac:dyDescent="0.25">
      <c r="A49" s="3">
        <v>49</v>
      </c>
      <c r="B49" s="3">
        <v>5</v>
      </c>
      <c r="C49" s="4" t="s">
        <v>33</v>
      </c>
      <c r="D49" s="4"/>
    </row>
    <row r="50" spans="1:4" ht="57.75" x14ac:dyDescent="0.25">
      <c r="A50" s="3">
        <v>50</v>
      </c>
      <c r="B50" s="3">
        <v>4</v>
      </c>
      <c r="C50" s="4" t="s">
        <v>41</v>
      </c>
      <c r="D50" s="4"/>
    </row>
    <row r="51" spans="1:4" ht="57.75" x14ac:dyDescent="0.25">
      <c r="A51" s="3">
        <v>51</v>
      </c>
      <c r="B51" s="3">
        <v>3</v>
      </c>
      <c r="C51" s="4" t="s">
        <v>48</v>
      </c>
      <c r="D51" s="4"/>
    </row>
    <row r="52" spans="1:4" ht="57.75" x14ac:dyDescent="0.25">
      <c r="A52" s="3">
        <v>52</v>
      </c>
      <c r="B52" s="3">
        <v>2</v>
      </c>
      <c r="C52" s="4" t="s">
        <v>49</v>
      </c>
      <c r="D52" s="4"/>
    </row>
    <row r="53" spans="1:4" ht="57.75" x14ac:dyDescent="0.25">
      <c r="A53" s="3">
        <v>53</v>
      </c>
      <c r="B53" s="3" t="s">
        <v>1</v>
      </c>
      <c r="C53" s="4" t="s">
        <v>51</v>
      </c>
      <c r="D53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Played_Card</vt:lpstr>
      <vt:lpstr>Card_Database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2017-03-24T13:10:12Z</dcterms:created>
  <dcterms:modified xsi:type="dcterms:W3CDTF">2017-03-25T14:14:25Z</dcterms:modified>
</cp:coreProperties>
</file>